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kondepudi_gayattre_accenture_com/Documents/Documents/Data Science/Internship Offer Letter/Project 1/Data sets for Project 1/Final/"/>
    </mc:Choice>
  </mc:AlternateContent>
  <xr:revisionPtr revIDLastSave="625" documentId="8_{6DAFB3A0-8A0A-4411-80E1-BB5F537621F9}" xr6:coauthVersionLast="47" xr6:coauthVersionMax="47" xr10:uidLastSave="{CEEF57AA-9D41-4C1B-B97E-B462EC9E11A1}"/>
  <bookViews>
    <workbookView xWindow="-108" yWindow="-108" windowWidth="23256" windowHeight="12456" firstSheet="2" activeTab="7" xr2:uid="{5AE80519-717C-4F37-AE43-9AB28FF594CF}"/>
  </bookViews>
  <sheets>
    <sheet name="dataset_3" sheetId="3" r:id="rId1"/>
    <sheet name="dataset_2" sheetId="11" r:id="rId2"/>
    <sheet name="dataset_1" sheetId="12" r:id="rId3"/>
    <sheet name="Merge_Dataset_4" sheetId="2" r:id="rId4"/>
    <sheet name="Append_Dataset_5" sheetId="4" r:id="rId5"/>
    <sheet name="STDEV" sheetId="8" r:id="rId6"/>
    <sheet name="CORREL" sheetId="9" r:id="rId7"/>
    <sheet name="Rentals on Weekday &amp; Weekend" sheetId="13" r:id="rId8"/>
    <sheet name="Rentals in Month" sheetId="14" r:id="rId9"/>
  </sheets>
  <definedNames>
    <definedName name="ExternalData_1" localSheetId="3" hidden="1">Merge_Dataset_4!$A$1:$R$611</definedName>
    <definedName name="ExternalData_2" localSheetId="0" hidden="1">dataset_3!$A$1:$P$391</definedName>
    <definedName name="ExternalData_3" localSheetId="4" hidden="1">Append_Dataset_5!$A$1:$V$1001</definedName>
    <definedName name="ExternalData_3" localSheetId="2" hidden="1">dataset_1!$A$1:$J$611</definedName>
    <definedName name="ExternalData_3" localSheetId="1" hidden="1">dataset_2!$A$1:$H$999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da0a4896-4177-424c-beba-0fbba2f7510f" name="Table1" connection="Query - 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8" l="1"/>
  <c r="A24" i="8"/>
  <c r="A21" i="8"/>
  <c r="B21" i="8"/>
  <c r="B18" i="8"/>
  <c r="A18" i="8"/>
  <c r="A1001" i="14"/>
  <c r="A1000" i="14"/>
  <c r="A999" i="14"/>
  <c r="A998" i="14"/>
  <c r="A997" i="14"/>
  <c r="A996" i="14"/>
  <c r="A995" i="14"/>
  <c r="A994" i="14"/>
  <c r="A993" i="14"/>
  <c r="A992" i="14"/>
  <c r="A991" i="14"/>
  <c r="A990" i="14"/>
  <c r="A989" i="14"/>
  <c r="A988" i="14"/>
  <c r="A987" i="14"/>
  <c r="A986" i="14"/>
  <c r="A985" i="14"/>
  <c r="A984" i="14"/>
  <c r="A983" i="14"/>
  <c r="A982" i="14"/>
  <c r="A981" i="14"/>
  <c r="A980" i="14"/>
  <c r="A979" i="14"/>
  <c r="A978" i="14"/>
  <c r="A977" i="14"/>
  <c r="A976" i="14"/>
  <c r="A975" i="14"/>
  <c r="A974" i="14"/>
  <c r="A973" i="14"/>
  <c r="A972" i="14"/>
  <c r="A971" i="14"/>
  <c r="A970" i="14"/>
  <c r="A969" i="14"/>
  <c r="A968" i="14"/>
  <c r="A967" i="14"/>
  <c r="A966" i="14"/>
  <c r="A965" i="14"/>
  <c r="A964" i="14"/>
  <c r="A963" i="14"/>
  <c r="A962" i="14"/>
  <c r="A961" i="14"/>
  <c r="A960" i="14"/>
  <c r="A959" i="14"/>
  <c r="A958" i="14"/>
  <c r="A957" i="14"/>
  <c r="A956" i="14"/>
  <c r="A955" i="14"/>
  <c r="A954" i="14"/>
  <c r="A953" i="14"/>
  <c r="A952" i="14"/>
  <c r="A951" i="14"/>
  <c r="A950" i="14"/>
  <c r="A949" i="14"/>
  <c r="A948" i="14"/>
  <c r="A947" i="14"/>
  <c r="A946" i="14"/>
  <c r="A945" i="14"/>
  <c r="A944" i="14"/>
  <c r="A943" i="14"/>
  <c r="A942" i="14"/>
  <c r="A941" i="14"/>
  <c r="A940" i="14"/>
  <c r="A939" i="14"/>
  <c r="A938" i="14"/>
  <c r="A937" i="14"/>
  <c r="A936" i="14"/>
  <c r="A935" i="14"/>
  <c r="A934" i="14"/>
  <c r="A933" i="14"/>
  <c r="A932" i="14"/>
  <c r="A931" i="14"/>
  <c r="A930" i="14"/>
  <c r="A929" i="14"/>
  <c r="A928" i="14"/>
  <c r="A927" i="14"/>
  <c r="A926" i="14"/>
  <c r="A925" i="14"/>
  <c r="A924" i="14"/>
  <c r="A923" i="14"/>
  <c r="A922" i="14"/>
  <c r="A921" i="14"/>
  <c r="A920" i="14"/>
  <c r="A919" i="14"/>
  <c r="A918" i="14"/>
  <c r="A917" i="14"/>
  <c r="A916" i="14"/>
  <c r="A915" i="14"/>
  <c r="A914" i="14"/>
  <c r="A913" i="14"/>
  <c r="A912" i="14"/>
  <c r="A911" i="14"/>
  <c r="A910" i="14"/>
  <c r="A909" i="14"/>
  <c r="A908" i="14"/>
  <c r="A907" i="14"/>
  <c r="A906" i="14"/>
  <c r="A905" i="14"/>
  <c r="A904" i="14"/>
  <c r="A903" i="14"/>
  <c r="A902" i="14"/>
  <c r="A901" i="14"/>
  <c r="A900" i="14"/>
  <c r="A899" i="14"/>
  <c r="A898" i="14"/>
  <c r="A897" i="14"/>
  <c r="A896" i="14"/>
  <c r="A895" i="14"/>
  <c r="A894" i="14"/>
  <c r="A893" i="14"/>
  <c r="A892" i="14"/>
  <c r="A891" i="14"/>
  <c r="A890" i="14"/>
  <c r="A889" i="14"/>
  <c r="A888" i="14"/>
  <c r="A887" i="14"/>
  <c r="A886" i="14"/>
  <c r="A885" i="14"/>
  <c r="A884" i="14"/>
  <c r="A883" i="14"/>
  <c r="A882" i="14"/>
  <c r="A881" i="14"/>
  <c r="A880" i="14"/>
  <c r="A879" i="14"/>
  <c r="A878" i="14"/>
  <c r="A877" i="14"/>
  <c r="A876" i="14"/>
  <c r="A875" i="14"/>
  <c r="A874" i="14"/>
  <c r="A873" i="14"/>
  <c r="A872" i="14"/>
  <c r="A871" i="14"/>
  <c r="A870" i="14"/>
  <c r="A869" i="14"/>
  <c r="A868" i="14"/>
  <c r="A867" i="14"/>
  <c r="A866" i="14"/>
  <c r="A865" i="14"/>
  <c r="A864" i="14"/>
  <c r="A863" i="14"/>
  <c r="A862" i="14"/>
  <c r="A861" i="14"/>
  <c r="A860" i="14"/>
  <c r="A859" i="14"/>
  <c r="A858" i="14"/>
  <c r="A857" i="14"/>
  <c r="A856" i="14"/>
  <c r="A855" i="14"/>
  <c r="A854" i="14"/>
  <c r="A853" i="14"/>
  <c r="A852" i="14"/>
  <c r="A851" i="14"/>
  <c r="A850" i="14"/>
  <c r="A849" i="14"/>
  <c r="A848" i="14"/>
  <c r="A847" i="14"/>
  <c r="A846" i="14"/>
  <c r="A845" i="14"/>
  <c r="A844" i="14"/>
  <c r="A843" i="14"/>
  <c r="A842" i="14"/>
  <c r="A841" i="14"/>
  <c r="A840" i="14"/>
  <c r="A839" i="14"/>
  <c r="A838" i="14"/>
  <c r="A837" i="14"/>
  <c r="A836" i="14"/>
  <c r="A835" i="14"/>
  <c r="A834" i="14"/>
  <c r="A833" i="14"/>
  <c r="A832" i="14"/>
  <c r="A831" i="14"/>
  <c r="A830" i="14"/>
  <c r="A829" i="14"/>
  <c r="A828" i="14"/>
  <c r="A827" i="14"/>
  <c r="A826" i="14"/>
  <c r="A825" i="14"/>
  <c r="A824" i="14"/>
  <c r="A823" i="14"/>
  <c r="A822" i="14"/>
  <c r="A821" i="14"/>
  <c r="A820" i="14"/>
  <c r="A819" i="14"/>
  <c r="A818" i="14"/>
  <c r="A817" i="14"/>
  <c r="A816" i="14"/>
  <c r="A815" i="14"/>
  <c r="A814" i="14"/>
  <c r="A813" i="14"/>
  <c r="A812" i="14"/>
  <c r="A811" i="14"/>
  <c r="A810" i="14"/>
  <c r="A809" i="14"/>
  <c r="A808" i="14"/>
  <c r="A807" i="14"/>
  <c r="A806" i="14"/>
  <c r="A805" i="14"/>
  <c r="A804" i="14"/>
  <c r="A803" i="14"/>
  <c r="A802" i="14"/>
  <c r="A801" i="14"/>
  <c r="A800" i="14"/>
  <c r="A799" i="14"/>
  <c r="A798" i="14"/>
  <c r="A797" i="14"/>
  <c r="A796" i="14"/>
  <c r="A795" i="14"/>
  <c r="A794" i="14"/>
  <c r="A793" i="14"/>
  <c r="A792" i="14"/>
  <c r="A791" i="14"/>
  <c r="A790" i="14"/>
  <c r="A789" i="14"/>
  <c r="A788" i="14"/>
  <c r="A787" i="14"/>
  <c r="A786" i="14"/>
  <c r="A785" i="14"/>
  <c r="A784" i="14"/>
  <c r="A783" i="14"/>
  <c r="A782" i="14"/>
  <c r="A781" i="14"/>
  <c r="A780" i="14"/>
  <c r="A779" i="14"/>
  <c r="A778" i="14"/>
  <c r="A777" i="14"/>
  <c r="A776" i="14"/>
  <c r="A775" i="14"/>
  <c r="A774" i="14"/>
  <c r="A773" i="14"/>
  <c r="A772" i="14"/>
  <c r="A771" i="14"/>
  <c r="A770" i="14"/>
  <c r="A769" i="14"/>
  <c r="A768" i="14"/>
  <c r="A767" i="14"/>
  <c r="A766" i="14"/>
  <c r="A765" i="14"/>
  <c r="A764" i="14"/>
  <c r="A763" i="14"/>
  <c r="A762" i="14"/>
  <c r="A761" i="14"/>
  <c r="A760" i="14"/>
  <c r="A759" i="14"/>
  <c r="A758" i="14"/>
  <c r="A757" i="14"/>
  <c r="A756" i="14"/>
  <c r="A755" i="14"/>
  <c r="A754" i="14"/>
  <c r="A753" i="14"/>
  <c r="A752" i="14"/>
  <c r="A751" i="14"/>
  <c r="A750" i="14"/>
  <c r="A749" i="14"/>
  <c r="A748" i="14"/>
  <c r="A747" i="14"/>
  <c r="A746" i="14"/>
  <c r="A745" i="14"/>
  <c r="A744" i="14"/>
  <c r="A743" i="14"/>
  <c r="A742" i="14"/>
  <c r="A741" i="14"/>
  <c r="A740" i="14"/>
  <c r="A739" i="14"/>
  <c r="A738" i="14"/>
  <c r="A737" i="14"/>
  <c r="A736" i="14"/>
  <c r="A735" i="14"/>
  <c r="A734" i="14"/>
  <c r="A733" i="14"/>
  <c r="A732" i="14"/>
  <c r="A731" i="14"/>
  <c r="A730" i="14"/>
  <c r="A729" i="14"/>
  <c r="A728" i="14"/>
  <c r="A727" i="14"/>
  <c r="A726" i="14"/>
  <c r="A725" i="14"/>
  <c r="A724" i="14"/>
  <c r="A723" i="14"/>
  <c r="A722" i="14"/>
  <c r="A721" i="14"/>
  <c r="A720" i="14"/>
  <c r="A719" i="14"/>
  <c r="A718" i="14"/>
  <c r="A717" i="14"/>
  <c r="A716" i="14"/>
  <c r="A715" i="14"/>
  <c r="A714" i="14"/>
  <c r="A713" i="14"/>
  <c r="A712" i="14"/>
  <c r="A711" i="14"/>
  <c r="A710" i="14"/>
  <c r="A709" i="14"/>
  <c r="A708" i="14"/>
  <c r="A707" i="14"/>
  <c r="A706" i="14"/>
  <c r="A705" i="14"/>
  <c r="A704" i="14"/>
  <c r="A703" i="14"/>
  <c r="A702" i="14"/>
  <c r="A701" i="14"/>
  <c r="A700" i="14"/>
  <c r="A699" i="14"/>
  <c r="A698" i="14"/>
  <c r="A697" i="14"/>
  <c r="A696" i="14"/>
  <c r="A695" i="14"/>
  <c r="A694" i="14"/>
  <c r="A693" i="14"/>
  <c r="A692" i="14"/>
  <c r="A691" i="14"/>
  <c r="A690" i="14"/>
  <c r="A689" i="14"/>
  <c r="A688" i="14"/>
  <c r="A687" i="14"/>
  <c r="A686" i="14"/>
  <c r="A685" i="14"/>
  <c r="A684" i="14"/>
  <c r="A683" i="14"/>
  <c r="A682" i="14"/>
  <c r="A681" i="14"/>
  <c r="A680" i="14"/>
  <c r="A679" i="14"/>
  <c r="A678" i="14"/>
  <c r="A677" i="14"/>
  <c r="A676" i="14"/>
  <c r="A675" i="14"/>
  <c r="A674" i="14"/>
  <c r="A673" i="14"/>
  <c r="A672" i="14"/>
  <c r="A671" i="14"/>
  <c r="A670" i="14"/>
  <c r="A669" i="14"/>
  <c r="A668" i="14"/>
  <c r="A667" i="14"/>
  <c r="A666" i="14"/>
  <c r="A665" i="14"/>
  <c r="A664" i="14"/>
  <c r="A663" i="14"/>
  <c r="A662" i="14"/>
  <c r="A661" i="14"/>
  <c r="A660" i="14"/>
  <c r="A659" i="14"/>
  <c r="A658" i="14"/>
  <c r="A657" i="14"/>
  <c r="A656" i="14"/>
  <c r="A655" i="14"/>
  <c r="A654" i="14"/>
  <c r="A653" i="14"/>
  <c r="A652" i="14"/>
  <c r="A651" i="14"/>
  <c r="A650" i="14"/>
  <c r="A649" i="14"/>
  <c r="A648" i="14"/>
  <c r="A647" i="14"/>
  <c r="A646" i="14"/>
  <c r="A645" i="14"/>
  <c r="A644" i="14"/>
  <c r="A643" i="14"/>
  <c r="A642" i="14"/>
  <c r="A641" i="14"/>
  <c r="A640" i="14"/>
  <c r="A639" i="14"/>
  <c r="A638" i="14"/>
  <c r="A637" i="14"/>
  <c r="A636" i="14"/>
  <c r="A635" i="14"/>
  <c r="A634" i="14"/>
  <c r="A633" i="14"/>
  <c r="A632" i="14"/>
  <c r="A631" i="14"/>
  <c r="A630" i="14"/>
  <c r="A629" i="14"/>
  <c r="A628" i="14"/>
  <c r="A627" i="14"/>
  <c r="A626" i="14"/>
  <c r="A625" i="14"/>
  <c r="A624" i="14"/>
  <c r="A623" i="14"/>
  <c r="A622" i="14"/>
  <c r="A621" i="14"/>
  <c r="A620" i="14"/>
  <c r="A619" i="14"/>
  <c r="A618" i="14"/>
  <c r="A617" i="14"/>
  <c r="A616" i="14"/>
  <c r="A615" i="14"/>
  <c r="A614" i="14"/>
  <c r="A613" i="14"/>
  <c r="A612" i="14"/>
  <c r="A611" i="14"/>
  <c r="A610" i="14"/>
  <c r="A609" i="14"/>
  <c r="A608" i="14"/>
  <c r="A607" i="14"/>
  <c r="A606" i="14"/>
  <c r="A605" i="14"/>
  <c r="A604" i="14"/>
  <c r="A603" i="14"/>
  <c r="A602" i="14"/>
  <c r="A601" i="14"/>
  <c r="A600" i="14"/>
  <c r="A599" i="14"/>
  <c r="A598" i="14"/>
  <c r="A597" i="14"/>
  <c r="A596" i="14"/>
  <c r="A595" i="14"/>
  <c r="A594" i="14"/>
  <c r="A593" i="14"/>
  <c r="A592" i="14"/>
  <c r="A591" i="14"/>
  <c r="A590" i="14"/>
  <c r="A589" i="14"/>
  <c r="A588" i="14"/>
  <c r="A587" i="14"/>
  <c r="A586" i="14"/>
  <c r="A585" i="14"/>
  <c r="A584" i="14"/>
  <c r="A583" i="14"/>
  <c r="A582" i="14"/>
  <c r="A581" i="14"/>
  <c r="A580" i="14"/>
  <c r="A579" i="14"/>
  <c r="A578" i="14"/>
  <c r="A577" i="14"/>
  <c r="A576" i="14"/>
  <c r="A575" i="14"/>
  <c r="A574" i="14"/>
  <c r="A573" i="14"/>
  <c r="A572" i="14"/>
  <c r="A571" i="14"/>
  <c r="A570" i="14"/>
  <c r="A569" i="14"/>
  <c r="A568" i="14"/>
  <c r="A567" i="14"/>
  <c r="A566" i="14"/>
  <c r="A565" i="14"/>
  <c r="A564" i="14"/>
  <c r="A563" i="14"/>
  <c r="A562" i="14"/>
  <c r="A561" i="14"/>
  <c r="A560" i="14"/>
  <c r="A559" i="14"/>
  <c r="A558" i="14"/>
  <c r="A557" i="14"/>
  <c r="A556" i="14"/>
  <c r="A555" i="14"/>
  <c r="A554" i="14"/>
  <c r="A553" i="14"/>
  <c r="A552" i="14"/>
  <c r="A551" i="14"/>
  <c r="A550" i="14"/>
  <c r="A549" i="14"/>
  <c r="A548" i="14"/>
  <c r="A547" i="14"/>
  <c r="A546" i="14"/>
  <c r="A545" i="14"/>
  <c r="A544" i="14"/>
  <c r="A543" i="14"/>
  <c r="A542" i="14"/>
  <c r="A541" i="14"/>
  <c r="A540" i="14"/>
  <c r="A539" i="14"/>
  <c r="A538" i="14"/>
  <c r="A537" i="14"/>
  <c r="A536" i="14"/>
  <c r="A535" i="14"/>
  <c r="A534" i="14"/>
  <c r="A533" i="14"/>
  <c r="A532" i="14"/>
  <c r="A531" i="14"/>
  <c r="A530" i="14"/>
  <c r="A529" i="14"/>
  <c r="A528" i="14"/>
  <c r="A527" i="14"/>
  <c r="A526" i="14"/>
  <c r="A525" i="14"/>
  <c r="A524" i="14"/>
  <c r="A523" i="14"/>
  <c r="A522" i="14"/>
  <c r="A521" i="14"/>
  <c r="A520" i="14"/>
  <c r="A519" i="14"/>
  <c r="A518" i="14"/>
  <c r="A517" i="14"/>
  <c r="A516" i="14"/>
  <c r="A515" i="14"/>
  <c r="A514" i="14"/>
  <c r="A513" i="14"/>
  <c r="A512" i="14"/>
  <c r="A511" i="14"/>
  <c r="A510" i="14"/>
  <c r="A509" i="14"/>
  <c r="A508" i="14"/>
  <c r="A507" i="14"/>
  <c r="A506" i="14"/>
  <c r="A505" i="14"/>
  <c r="A504" i="14"/>
  <c r="A503" i="14"/>
  <c r="A502" i="14"/>
  <c r="A501" i="14"/>
  <c r="A500" i="14"/>
  <c r="A499" i="14"/>
  <c r="A498" i="14"/>
  <c r="A497" i="14"/>
  <c r="A496" i="14"/>
  <c r="A495" i="14"/>
  <c r="A494" i="14"/>
  <c r="A493" i="14"/>
  <c r="A492" i="14"/>
  <c r="A491" i="14"/>
  <c r="A490" i="14"/>
  <c r="A489" i="14"/>
  <c r="A488" i="14"/>
  <c r="A487" i="14"/>
  <c r="A486" i="14"/>
  <c r="A485" i="14"/>
  <c r="A484" i="14"/>
  <c r="A483" i="14"/>
  <c r="A482" i="14"/>
  <c r="A481" i="14"/>
  <c r="A480" i="14"/>
  <c r="A479" i="14"/>
  <c r="A478" i="14"/>
  <c r="A477" i="14"/>
  <c r="A476" i="14"/>
  <c r="A475" i="14"/>
  <c r="A474" i="14"/>
  <c r="A473" i="14"/>
  <c r="A472" i="14"/>
  <c r="A471" i="14"/>
  <c r="A470" i="14"/>
  <c r="A469" i="14"/>
  <c r="A468" i="14"/>
  <c r="A467" i="14"/>
  <c r="A466" i="14"/>
  <c r="A465" i="14"/>
  <c r="A464" i="14"/>
  <c r="A463" i="14"/>
  <c r="A462" i="14"/>
  <c r="A461" i="14"/>
  <c r="A460" i="14"/>
  <c r="A459" i="14"/>
  <c r="A458" i="14"/>
  <c r="A457" i="14"/>
  <c r="A456" i="14"/>
  <c r="A455" i="14"/>
  <c r="A454" i="14"/>
  <c r="A453" i="14"/>
  <c r="A452" i="14"/>
  <c r="A451" i="14"/>
  <c r="A450" i="14"/>
  <c r="A449" i="14"/>
  <c r="A448" i="14"/>
  <c r="A447" i="14"/>
  <c r="A446" i="14"/>
  <c r="A445" i="14"/>
  <c r="A444" i="14"/>
  <c r="A443" i="14"/>
  <c r="A442" i="14"/>
  <c r="A441" i="14"/>
  <c r="A440" i="14"/>
  <c r="A439" i="14"/>
  <c r="A438" i="14"/>
  <c r="A437" i="14"/>
  <c r="A436" i="14"/>
  <c r="A435" i="14"/>
  <c r="A434" i="14"/>
  <c r="A433" i="14"/>
  <c r="A432" i="14"/>
  <c r="A431" i="14"/>
  <c r="A430" i="14"/>
  <c r="A429" i="14"/>
  <c r="A428" i="14"/>
  <c r="A427" i="14"/>
  <c r="A426" i="14"/>
  <c r="A425" i="14"/>
  <c r="A424" i="14"/>
  <c r="A423" i="14"/>
  <c r="A422" i="14"/>
  <c r="A421" i="14"/>
  <c r="A420" i="14"/>
  <c r="A419" i="14"/>
  <c r="A418" i="14"/>
  <c r="A417" i="14"/>
  <c r="A416" i="14"/>
  <c r="A415" i="14"/>
  <c r="A414" i="14"/>
  <c r="A413" i="14"/>
  <c r="A412" i="14"/>
  <c r="A411" i="14"/>
  <c r="A410" i="14"/>
  <c r="A409" i="14"/>
  <c r="A408" i="14"/>
  <c r="A407" i="14"/>
  <c r="A406" i="14"/>
  <c r="A405" i="14"/>
  <c r="A404" i="14"/>
  <c r="A403" i="14"/>
  <c r="A402" i="14"/>
  <c r="A401" i="14"/>
  <c r="A400" i="14"/>
  <c r="A399" i="14"/>
  <c r="A398" i="14"/>
  <c r="A397" i="14"/>
  <c r="A396" i="14"/>
  <c r="A395" i="14"/>
  <c r="A394" i="14"/>
  <c r="A393" i="14"/>
  <c r="A392" i="14"/>
  <c r="A391" i="14"/>
  <c r="A390" i="14"/>
  <c r="A389" i="14"/>
  <c r="A388" i="14"/>
  <c r="A387" i="14"/>
  <c r="A386" i="14"/>
  <c r="A385" i="14"/>
  <c r="A384" i="14"/>
  <c r="A383" i="14"/>
  <c r="A382" i="14"/>
  <c r="A381" i="14"/>
  <c r="A380" i="14"/>
  <c r="A379" i="14"/>
  <c r="A378" i="14"/>
  <c r="A377" i="14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G20" i="14" s="1"/>
  <c r="A1001" i="13" a="1"/>
  <c r="A1001" i="13" s="1"/>
  <c r="A1000" i="13" a="1"/>
  <c r="A1000" i="13" s="1"/>
  <c r="A999" i="13" a="1"/>
  <c r="A999" i="13" s="1"/>
  <c r="A998" i="13" a="1"/>
  <c r="A998" i="13" s="1"/>
  <c r="A997" i="13" a="1"/>
  <c r="A997" i="13" s="1"/>
  <c r="A996" i="13" a="1"/>
  <c r="A996" i="13" s="1"/>
  <c r="A995" i="13" a="1"/>
  <c r="A995" i="13" s="1"/>
  <c r="A994" i="13" a="1"/>
  <c r="A994" i="13" s="1"/>
  <c r="A993" i="13" a="1"/>
  <c r="A993" i="13" s="1"/>
  <c r="A992" i="13" a="1"/>
  <c r="A992" i="13" s="1"/>
  <c r="A991" i="13" a="1"/>
  <c r="A991" i="13" s="1"/>
  <c r="A990" i="13" a="1"/>
  <c r="A990" i="13" s="1"/>
  <c r="A989" i="13" a="1"/>
  <c r="A989" i="13" s="1"/>
  <c r="A988" i="13" a="1"/>
  <c r="A988" i="13" s="1"/>
  <c r="A987" i="13" a="1"/>
  <c r="A987" i="13" s="1"/>
  <c r="A986" i="13" a="1"/>
  <c r="A986" i="13" s="1"/>
  <c r="A985" i="13" a="1"/>
  <c r="A985" i="13" s="1"/>
  <c r="A984" i="13" a="1"/>
  <c r="A984" i="13" s="1"/>
  <c r="A983" i="13" a="1"/>
  <c r="A983" i="13" s="1"/>
  <c r="A982" i="13" a="1"/>
  <c r="A982" i="13" s="1"/>
  <c r="A981" i="13" a="1"/>
  <c r="A981" i="13" s="1"/>
  <c r="A980" i="13" a="1"/>
  <c r="A980" i="13" s="1"/>
  <c r="A979" i="13" a="1"/>
  <c r="A979" i="13" s="1"/>
  <c r="A978" i="13" a="1"/>
  <c r="A978" i="13" s="1"/>
  <c r="A977" i="13" a="1"/>
  <c r="A977" i="13" s="1"/>
  <c r="A976" i="13" a="1"/>
  <c r="A976" i="13" s="1"/>
  <c r="A975" i="13" a="1"/>
  <c r="A975" i="13" s="1"/>
  <c r="A974" i="13" a="1"/>
  <c r="A974" i="13" s="1"/>
  <c r="A973" i="13" a="1"/>
  <c r="A973" i="13" s="1"/>
  <c r="A972" i="13" a="1"/>
  <c r="A972" i="13" s="1"/>
  <c r="A971" i="13" a="1"/>
  <c r="A971" i="13" s="1"/>
  <c r="A970" i="13" a="1"/>
  <c r="A970" i="13" s="1"/>
  <c r="A969" i="13" a="1"/>
  <c r="A969" i="13" s="1"/>
  <c r="A968" i="13" a="1"/>
  <c r="A968" i="13" s="1"/>
  <c r="A967" i="13" a="1"/>
  <c r="A967" i="13" s="1"/>
  <c r="A966" i="13" a="1"/>
  <c r="A966" i="13" s="1"/>
  <c r="A965" i="13" a="1"/>
  <c r="A965" i="13" s="1"/>
  <c r="A964" i="13" a="1"/>
  <c r="A964" i="13" s="1"/>
  <c r="A963" i="13" a="1"/>
  <c r="A963" i="13" s="1"/>
  <c r="A962" i="13" a="1"/>
  <c r="A962" i="13" s="1"/>
  <c r="A961" i="13" a="1"/>
  <c r="A961" i="13" s="1"/>
  <c r="A960" i="13" a="1"/>
  <c r="A960" i="13" s="1"/>
  <c r="A959" i="13" a="1"/>
  <c r="A959" i="13" s="1"/>
  <c r="A958" i="13" a="1"/>
  <c r="A958" i="13" s="1"/>
  <c r="A957" i="13" a="1"/>
  <c r="A957" i="13" s="1"/>
  <c r="A956" i="13" a="1"/>
  <c r="A956" i="13" s="1"/>
  <c r="A955" i="13" a="1"/>
  <c r="A955" i="13" s="1"/>
  <c r="A954" i="13" a="1"/>
  <c r="A954" i="13" s="1"/>
  <c r="A953" i="13" a="1"/>
  <c r="A953" i="13" s="1"/>
  <c r="A952" i="13" a="1"/>
  <c r="A952" i="13" s="1"/>
  <c r="A951" i="13" a="1"/>
  <c r="A951" i="13" s="1"/>
  <c r="A950" i="13" a="1"/>
  <c r="A950" i="13" s="1"/>
  <c r="A949" i="13" a="1"/>
  <c r="A949" i="13" s="1"/>
  <c r="A948" i="13" a="1"/>
  <c r="A948" i="13" s="1"/>
  <c r="A947" i="13" a="1"/>
  <c r="A947" i="13" s="1"/>
  <c r="A946" i="13" a="1"/>
  <c r="A946" i="13" s="1"/>
  <c r="A945" i="13" a="1"/>
  <c r="A945" i="13" s="1"/>
  <c r="A944" i="13" a="1"/>
  <c r="A944" i="13" s="1"/>
  <c r="A943" i="13" a="1"/>
  <c r="A943" i="13" s="1"/>
  <c r="A942" i="13" a="1"/>
  <c r="A942" i="13" s="1"/>
  <c r="A941" i="13" a="1"/>
  <c r="A941" i="13" s="1"/>
  <c r="A940" i="13" a="1"/>
  <c r="A940" i="13" s="1"/>
  <c r="A939" i="13" a="1"/>
  <c r="A939" i="13" s="1"/>
  <c r="A938" i="13" a="1"/>
  <c r="A938" i="13" s="1"/>
  <c r="A937" i="13" a="1"/>
  <c r="A937" i="13" s="1"/>
  <c r="A936" i="13" a="1"/>
  <c r="A936" i="13" s="1"/>
  <c r="A935" i="13" a="1"/>
  <c r="A935" i="13" s="1"/>
  <c r="A934" i="13" a="1"/>
  <c r="A934" i="13" s="1"/>
  <c r="A933" i="13" a="1"/>
  <c r="A933" i="13" s="1"/>
  <c r="A932" i="13" a="1"/>
  <c r="A932" i="13" s="1"/>
  <c r="A931" i="13" a="1"/>
  <c r="A931" i="13" s="1"/>
  <c r="A930" i="13" a="1"/>
  <c r="A930" i="13" s="1"/>
  <c r="A929" i="13" a="1"/>
  <c r="A929" i="13" s="1"/>
  <c r="A928" i="13" a="1"/>
  <c r="A928" i="13" s="1"/>
  <c r="A927" i="13" a="1"/>
  <c r="A927" i="13" s="1"/>
  <c r="A926" i="13" a="1"/>
  <c r="A926" i="13" s="1"/>
  <c r="A925" i="13" a="1"/>
  <c r="A925" i="13" s="1"/>
  <c r="A924" i="13" a="1"/>
  <c r="A924" i="13" s="1"/>
  <c r="A923" i="13" a="1"/>
  <c r="A923" i="13" s="1"/>
  <c r="A922" i="13" a="1"/>
  <c r="A922" i="13" s="1"/>
  <c r="A921" i="13" a="1"/>
  <c r="A921" i="13" s="1"/>
  <c r="A920" i="13" a="1"/>
  <c r="A920" i="13" s="1"/>
  <c r="A919" i="13" a="1"/>
  <c r="A919" i="13" s="1"/>
  <c r="A918" i="13" a="1"/>
  <c r="A918" i="13" s="1"/>
  <c r="A917" i="13" a="1"/>
  <c r="A917" i="13" s="1"/>
  <c r="A916" i="13" a="1"/>
  <c r="A916" i="13" s="1"/>
  <c r="A915" i="13" a="1"/>
  <c r="A915" i="13" s="1"/>
  <c r="A914" i="13" a="1"/>
  <c r="A914" i="13" s="1"/>
  <c r="A913" i="13" a="1"/>
  <c r="A913" i="13" s="1"/>
  <c r="A912" i="13" a="1"/>
  <c r="A912" i="13" s="1"/>
  <c r="A911" i="13" a="1"/>
  <c r="A911" i="13" s="1"/>
  <c r="A910" i="13" a="1"/>
  <c r="A910" i="13" s="1"/>
  <c r="A909" i="13" a="1"/>
  <c r="A909" i="13" s="1"/>
  <c r="A908" i="13" a="1"/>
  <c r="A908" i="13" s="1"/>
  <c r="A907" i="13" a="1"/>
  <c r="A907" i="13" s="1"/>
  <c r="A906" i="13" a="1"/>
  <c r="A906" i="13" s="1"/>
  <c r="A905" i="13" a="1"/>
  <c r="A905" i="13" s="1"/>
  <c r="A904" i="13" a="1"/>
  <c r="A904" i="13" s="1"/>
  <c r="A903" i="13" a="1"/>
  <c r="A903" i="13" s="1"/>
  <c r="A902" i="13" a="1"/>
  <c r="A902" i="13" s="1"/>
  <c r="A901" i="13" a="1"/>
  <c r="A901" i="13" s="1"/>
  <c r="A900" i="13" a="1"/>
  <c r="A900" i="13" s="1"/>
  <c r="A899" i="13" a="1"/>
  <c r="A899" i="13" s="1"/>
  <c r="A898" i="13" a="1"/>
  <c r="A898" i="13" s="1"/>
  <c r="A897" i="13" a="1"/>
  <c r="A897" i="13" s="1"/>
  <c r="A896" i="13" a="1"/>
  <c r="A896" i="13" s="1"/>
  <c r="A895" i="13" a="1"/>
  <c r="A895" i="13" s="1"/>
  <c r="A894" i="13" a="1"/>
  <c r="A894" i="13" s="1"/>
  <c r="A893" i="13" a="1"/>
  <c r="A893" i="13" s="1"/>
  <c r="A892" i="13" a="1"/>
  <c r="A892" i="13" s="1"/>
  <c r="A891" i="13" a="1"/>
  <c r="A891" i="13" s="1"/>
  <c r="A890" i="13" a="1"/>
  <c r="A890" i="13" s="1"/>
  <c r="A889" i="13" a="1"/>
  <c r="A889" i="13" s="1"/>
  <c r="A888" i="13" a="1"/>
  <c r="A888" i="13" s="1"/>
  <c r="A887" i="13" a="1"/>
  <c r="A887" i="13" s="1"/>
  <c r="A886" i="13" a="1"/>
  <c r="A886" i="13" s="1"/>
  <c r="A885" i="13" a="1"/>
  <c r="A885" i="13" s="1"/>
  <c r="A884" i="13" a="1"/>
  <c r="A884" i="13" s="1"/>
  <c r="A883" i="13" a="1"/>
  <c r="A883" i="13" s="1"/>
  <c r="A882" i="13" a="1"/>
  <c r="A882" i="13" s="1"/>
  <c r="A881" i="13" a="1"/>
  <c r="A881" i="13" s="1"/>
  <c r="A880" i="13" a="1"/>
  <c r="A880" i="13" s="1"/>
  <c r="A879" i="13" a="1"/>
  <c r="A879" i="13" s="1"/>
  <c r="A878" i="13" a="1"/>
  <c r="A878" i="13" s="1"/>
  <c r="A877" i="13" a="1"/>
  <c r="A877" i="13" s="1"/>
  <c r="A876" i="13" a="1"/>
  <c r="A876" i="13" s="1"/>
  <c r="A875" i="13" a="1"/>
  <c r="A875" i="13" s="1"/>
  <c r="A874" i="13" a="1"/>
  <c r="A874" i="13" s="1"/>
  <c r="A873" i="13" a="1"/>
  <c r="A873" i="13" s="1"/>
  <c r="A872" i="13" a="1"/>
  <c r="A872" i="13" s="1"/>
  <c r="A871" i="13" a="1"/>
  <c r="A871" i="13" s="1"/>
  <c r="A870" i="13" a="1"/>
  <c r="A870" i="13" s="1"/>
  <c r="A869" i="13" a="1"/>
  <c r="A869" i="13" s="1"/>
  <c r="A868" i="13" a="1"/>
  <c r="A868" i="13" s="1"/>
  <c r="A867" i="13" a="1"/>
  <c r="A867" i="13" s="1"/>
  <c r="A866" i="13" a="1"/>
  <c r="A866" i="13" s="1"/>
  <c r="A865" i="13" a="1"/>
  <c r="A865" i="13" s="1"/>
  <c r="A864" i="13" a="1"/>
  <c r="A864" i="13" s="1"/>
  <c r="A863" i="13" a="1"/>
  <c r="A863" i="13" s="1"/>
  <c r="A862" i="13" a="1"/>
  <c r="A862" i="13" s="1"/>
  <c r="A861" i="13" a="1"/>
  <c r="A861" i="13" s="1"/>
  <c r="A860" i="13" a="1"/>
  <c r="A860" i="13" s="1"/>
  <c r="A859" i="13" a="1"/>
  <c r="A859" i="13" s="1"/>
  <c r="A858" i="13" a="1"/>
  <c r="A858" i="13" s="1"/>
  <c r="A857" i="13" a="1"/>
  <c r="A857" i="13" s="1"/>
  <c r="A856" i="13" a="1"/>
  <c r="A856" i="13" s="1"/>
  <c r="A855" i="13" a="1"/>
  <c r="A855" i="13" s="1"/>
  <c r="A854" i="13" a="1"/>
  <c r="A854" i="13" s="1"/>
  <c r="A853" i="13" a="1"/>
  <c r="A853" i="13" s="1"/>
  <c r="A852" i="13" a="1"/>
  <c r="A852" i="13" s="1"/>
  <c r="A851" i="13" a="1"/>
  <c r="A851" i="13" s="1"/>
  <c r="A850" i="13" a="1"/>
  <c r="A850" i="13" s="1"/>
  <c r="A849" i="13" a="1"/>
  <c r="A849" i="13" s="1"/>
  <c r="A848" i="13" a="1"/>
  <c r="A848" i="13" s="1"/>
  <c r="A847" i="13" a="1"/>
  <c r="A847" i="13" s="1"/>
  <c r="A846" i="13" a="1"/>
  <c r="A846" i="13" s="1"/>
  <c r="A845" i="13" a="1"/>
  <c r="A845" i="13" s="1"/>
  <c r="A844" i="13" a="1"/>
  <c r="A844" i="13" s="1"/>
  <c r="A843" i="13" a="1"/>
  <c r="A843" i="13" s="1"/>
  <c r="A842" i="13" a="1"/>
  <c r="A842" i="13" s="1"/>
  <c r="A841" i="13" a="1"/>
  <c r="A841" i="13" s="1"/>
  <c r="A840" i="13" a="1"/>
  <c r="A840" i="13" s="1"/>
  <c r="A839" i="13" a="1"/>
  <c r="A839" i="13" s="1"/>
  <c r="A838" i="13" a="1"/>
  <c r="A838" i="13" s="1"/>
  <c r="A837" i="13" a="1"/>
  <c r="A837" i="13" s="1"/>
  <c r="A836" i="13" a="1"/>
  <c r="A836" i="13" s="1"/>
  <c r="A835" i="13" a="1"/>
  <c r="A835" i="13" s="1"/>
  <c r="A834" i="13" a="1"/>
  <c r="A834" i="13" s="1"/>
  <c r="A833" i="13" a="1"/>
  <c r="A833" i="13" s="1"/>
  <c r="A832" i="13" a="1"/>
  <c r="A832" i="13" s="1"/>
  <c r="A831" i="13" a="1"/>
  <c r="A831" i="13" s="1"/>
  <c r="A830" i="13" a="1"/>
  <c r="A830" i="13" s="1"/>
  <c r="A829" i="13" a="1"/>
  <c r="A829" i="13" s="1"/>
  <c r="A828" i="13" a="1"/>
  <c r="A828" i="13" s="1"/>
  <c r="A827" i="13" a="1"/>
  <c r="A827" i="13" s="1"/>
  <c r="A826" i="13" a="1"/>
  <c r="A826" i="13" s="1"/>
  <c r="A825" i="13" a="1"/>
  <c r="A825" i="13" s="1"/>
  <c r="A824" i="13" a="1"/>
  <c r="A824" i="13" s="1"/>
  <c r="A823" i="13" a="1"/>
  <c r="A823" i="13" s="1"/>
  <c r="A822" i="13" a="1"/>
  <c r="A822" i="13" s="1"/>
  <c r="A821" i="13" a="1"/>
  <c r="A821" i="13" s="1"/>
  <c r="A820" i="13" a="1"/>
  <c r="A820" i="13" s="1"/>
  <c r="A819" i="13" a="1"/>
  <c r="A819" i="13" s="1"/>
  <c r="A818" i="13" a="1"/>
  <c r="A818" i="13" s="1"/>
  <c r="A817" i="13" a="1"/>
  <c r="A817" i="13" s="1"/>
  <c r="A816" i="13" a="1"/>
  <c r="A816" i="13" s="1"/>
  <c r="A815" i="13" a="1"/>
  <c r="A815" i="13" s="1"/>
  <c r="A814" i="13" a="1"/>
  <c r="A814" i="13" s="1"/>
  <c r="A813" i="13" a="1"/>
  <c r="A813" i="13" s="1"/>
  <c r="A812" i="13" a="1"/>
  <c r="A812" i="13" s="1"/>
  <c r="A811" i="13" a="1"/>
  <c r="A811" i="13" s="1"/>
  <c r="A810" i="13" a="1"/>
  <c r="A810" i="13" s="1"/>
  <c r="A809" i="13" a="1"/>
  <c r="A809" i="13" s="1"/>
  <c r="A808" i="13" a="1"/>
  <c r="A808" i="13" s="1"/>
  <c r="A807" i="13" a="1"/>
  <c r="A807" i="13" s="1"/>
  <c r="A806" i="13" a="1"/>
  <c r="A806" i="13" s="1"/>
  <c r="A805" i="13" a="1"/>
  <c r="A805" i="13" s="1"/>
  <c r="A804" i="13" a="1"/>
  <c r="A804" i="13" s="1"/>
  <c r="A803" i="13" a="1"/>
  <c r="A803" i="13" s="1"/>
  <c r="A802" i="13" a="1"/>
  <c r="A802" i="13" s="1"/>
  <c r="A801" i="13" a="1"/>
  <c r="A801" i="13" s="1"/>
  <c r="A800" i="13" a="1"/>
  <c r="A800" i="13" s="1"/>
  <c r="A799" i="13" a="1"/>
  <c r="A799" i="13" s="1"/>
  <c r="A798" i="13" a="1"/>
  <c r="A798" i="13" s="1"/>
  <c r="A797" i="13" a="1"/>
  <c r="A797" i="13" s="1"/>
  <c r="A796" i="13" a="1"/>
  <c r="A796" i="13" s="1"/>
  <c r="A795" i="13" a="1"/>
  <c r="A795" i="13" s="1"/>
  <c r="A794" i="13" a="1"/>
  <c r="A794" i="13" s="1"/>
  <c r="A793" i="13" a="1"/>
  <c r="A793" i="13" s="1"/>
  <c r="A792" i="13" a="1"/>
  <c r="A792" i="13" s="1"/>
  <c r="A791" i="13" a="1"/>
  <c r="A791" i="13" s="1"/>
  <c r="A790" i="13" a="1"/>
  <c r="A790" i="13" s="1"/>
  <c r="A789" i="13" a="1"/>
  <c r="A789" i="13" s="1"/>
  <c r="A788" i="13" a="1"/>
  <c r="A788" i="13" s="1"/>
  <c r="A787" i="13" a="1"/>
  <c r="A787" i="13" s="1"/>
  <c r="A786" i="13" a="1"/>
  <c r="A786" i="13" s="1"/>
  <c r="A785" i="13" a="1"/>
  <c r="A785" i="13" s="1"/>
  <c r="A784" i="13" a="1"/>
  <c r="A784" i="13" s="1"/>
  <c r="A783" i="13" a="1"/>
  <c r="A783" i="13" s="1"/>
  <c r="A782" i="13" a="1"/>
  <c r="A782" i="13" s="1"/>
  <c r="A781" i="13" a="1"/>
  <c r="A781" i="13" s="1"/>
  <c r="A780" i="13" a="1"/>
  <c r="A780" i="13" s="1"/>
  <c r="A779" i="13" a="1"/>
  <c r="A779" i="13" s="1"/>
  <c r="A778" i="13" a="1"/>
  <c r="A778" i="13" s="1"/>
  <c r="A777" i="13" a="1"/>
  <c r="A777" i="13" s="1"/>
  <c r="A776" i="13" a="1"/>
  <c r="A776" i="13" s="1"/>
  <c r="A775" i="13" a="1"/>
  <c r="A775" i="13" s="1"/>
  <c r="A774" i="13" a="1"/>
  <c r="A774" i="13" s="1"/>
  <c r="A773" i="13" a="1"/>
  <c r="A773" i="13" s="1"/>
  <c r="A772" i="13" a="1"/>
  <c r="A772" i="13" s="1"/>
  <c r="A771" i="13" a="1"/>
  <c r="A771" i="13" s="1"/>
  <c r="A770" i="13" a="1"/>
  <c r="A770" i="13" s="1"/>
  <c r="A769" i="13" a="1"/>
  <c r="A769" i="13" s="1"/>
  <c r="A768" i="13" a="1"/>
  <c r="A768" i="13" s="1"/>
  <c r="A767" i="13" a="1"/>
  <c r="A767" i="13" s="1"/>
  <c r="A766" i="13" a="1"/>
  <c r="A766" i="13" s="1"/>
  <c r="A765" i="13" a="1"/>
  <c r="A765" i="13" s="1"/>
  <c r="A764" i="13" a="1"/>
  <c r="A764" i="13" s="1"/>
  <c r="A763" i="13" a="1"/>
  <c r="A763" i="13" s="1"/>
  <c r="A762" i="13" a="1"/>
  <c r="A762" i="13" s="1"/>
  <c r="A761" i="13" a="1"/>
  <c r="A761" i="13" s="1"/>
  <c r="A760" i="13" a="1"/>
  <c r="A760" i="13" s="1"/>
  <c r="A759" i="13" a="1"/>
  <c r="A759" i="13" s="1"/>
  <c r="A758" i="13" a="1"/>
  <c r="A758" i="13" s="1"/>
  <c r="A757" i="13" a="1"/>
  <c r="A757" i="13" s="1"/>
  <c r="A756" i="13" a="1"/>
  <c r="A756" i="13" s="1"/>
  <c r="A755" i="13" a="1"/>
  <c r="A755" i="13" s="1"/>
  <c r="A754" i="13" a="1"/>
  <c r="A754" i="13" s="1"/>
  <c r="A753" i="13" a="1"/>
  <c r="A753" i="13" s="1"/>
  <c r="A752" i="13" a="1"/>
  <c r="A752" i="13" s="1"/>
  <c r="A751" i="13" a="1"/>
  <c r="A751" i="13" s="1"/>
  <c r="A750" i="13" a="1"/>
  <c r="A750" i="13" s="1"/>
  <c r="A749" i="13" a="1"/>
  <c r="A749" i="13" s="1"/>
  <c r="A748" i="13" a="1"/>
  <c r="A748" i="13" s="1"/>
  <c r="A747" i="13" a="1"/>
  <c r="A747" i="13" s="1"/>
  <c r="A746" i="13" a="1"/>
  <c r="A746" i="13" s="1"/>
  <c r="A745" i="13" a="1"/>
  <c r="A745" i="13" s="1"/>
  <c r="A744" i="13" a="1"/>
  <c r="A744" i="13" s="1"/>
  <c r="A743" i="13" a="1"/>
  <c r="A743" i="13" s="1"/>
  <c r="A742" i="13" a="1"/>
  <c r="A742" i="13" s="1"/>
  <c r="A741" i="13" a="1"/>
  <c r="A741" i="13" s="1"/>
  <c r="A740" i="13" a="1"/>
  <c r="A740" i="13" s="1"/>
  <c r="A739" i="13" a="1"/>
  <c r="A739" i="13" s="1"/>
  <c r="A738" i="13" a="1"/>
  <c r="A738" i="13" s="1"/>
  <c r="A737" i="13" a="1"/>
  <c r="A737" i="13" s="1"/>
  <c r="A736" i="13" a="1"/>
  <c r="A736" i="13" s="1"/>
  <c r="A735" i="13" a="1"/>
  <c r="A735" i="13" s="1"/>
  <c r="A734" i="13" a="1"/>
  <c r="A734" i="13" s="1"/>
  <c r="A733" i="13" a="1"/>
  <c r="A733" i="13" s="1"/>
  <c r="A732" i="13" a="1"/>
  <c r="A732" i="13" s="1"/>
  <c r="A731" i="13" a="1"/>
  <c r="A731" i="13" s="1"/>
  <c r="A730" i="13" a="1"/>
  <c r="A730" i="13" s="1"/>
  <c r="A729" i="13" a="1"/>
  <c r="A729" i="13" s="1"/>
  <c r="A728" i="13" a="1"/>
  <c r="A728" i="13" s="1"/>
  <c r="A727" i="13" a="1"/>
  <c r="A727" i="13" s="1"/>
  <c r="A726" i="13" a="1"/>
  <c r="A726" i="13" s="1"/>
  <c r="A725" i="13" a="1"/>
  <c r="A725" i="13" s="1"/>
  <c r="A724" i="13" a="1"/>
  <c r="A724" i="13" s="1"/>
  <c r="A723" i="13" a="1"/>
  <c r="A723" i="13" s="1"/>
  <c r="A722" i="13" a="1"/>
  <c r="A722" i="13" s="1"/>
  <c r="A721" i="13" a="1"/>
  <c r="A721" i="13" s="1"/>
  <c r="A720" i="13" a="1"/>
  <c r="A720" i="13" s="1"/>
  <c r="A719" i="13" a="1"/>
  <c r="A719" i="13" s="1"/>
  <c r="A718" i="13" a="1"/>
  <c r="A718" i="13" s="1"/>
  <c r="A717" i="13" a="1"/>
  <c r="A717" i="13" s="1"/>
  <c r="A716" i="13" a="1"/>
  <c r="A716" i="13" s="1"/>
  <c r="A715" i="13" a="1"/>
  <c r="A715" i="13" s="1"/>
  <c r="A714" i="13" a="1"/>
  <c r="A714" i="13" s="1"/>
  <c r="A713" i="13" a="1"/>
  <c r="A713" i="13" s="1"/>
  <c r="A712" i="13" a="1"/>
  <c r="A712" i="13" s="1"/>
  <c r="A711" i="13" a="1"/>
  <c r="A711" i="13" s="1"/>
  <c r="A710" i="13" a="1"/>
  <c r="A710" i="13" s="1"/>
  <c r="A709" i="13" a="1"/>
  <c r="A709" i="13" s="1"/>
  <c r="A708" i="13" a="1"/>
  <c r="A708" i="13" s="1"/>
  <c r="A707" i="13" a="1"/>
  <c r="A707" i="13" s="1"/>
  <c r="A706" i="13" a="1"/>
  <c r="A706" i="13" s="1"/>
  <c r="A705" i="13" a="1"/>
  <c r="A705" i="13" s="1"/>
  <c r="A704" i="13" a="1"/>
  <c r="A704" i="13" s="1"/>
  <c r="A703" i="13" a="1"/>
  <c r="A703" i="13" s="1"/>
  <c r="A702" i="13" a="1"/>
  <c r="A702" i="13" s="1"/>
  <c r="A701" i="13" a="1"/>
  <c r="A701" i="13" s="1"/>
  <c r="A700" i="13" a="1"/>
  <c r="A700" i="13" s="1"/>
  <c r="A699" i="13" a="1"/>
  <c r="A699" i="13" s="1"/>
  <c r="A698" i="13" a="1"/>
  <c r="A698" i="13" s="1"/>
  <c r="A697" i="13" a="1"/>
  <c r="A697" i="13" s="1"/>
  <c r="A696" i="13" a="1"/>
  <c r="A696" i="13" s="1"/>
  <c r="A695" i="13" a="1"/>
  <c r="A695" i="13" s="1"/>
  <c r="A694" i="13" a="1"/>
  <c r="A694" i="13" s="1"/>
  <c r="A693" i="13" a="1"/>
  <c r="A693" i="13" s="1"/>
  <c r="A692" i="13" a="1"/>
  <c r="A692" i="13" s="1"/>
  <c r="A691" i="13" a="1"/>
  <c r="A691" i="13" s="1"/>
  <c r="A690" i="13" a="1"/>
  <c r="A690" i="13" s="1"/>
  <c r="A689" i="13" a="1"/>
  <c r="A689" i="13" s="1"/>
  <c r="A688" i="13" a="1"/>
  <c r="A688" i="13" s="1"/>
  <c r="A687" i="13" a="1"/>
  <c r="A687" i="13" s="1"/>
  <c r="A686" i="13" a="1"/>
  <c r="A686" i="13" s="1"/>
  <c r="A685" i="13" a="1"/>
  <c r="A685" i="13" s="1"/>
  <c r="A684" i="13" a="1"/>
  <c r="A684" i="13" s="1"/>
  <c r="A683" i="13" a="1"/>
  <c r="A683" i="13" s="1"/>
  <c r="A682" i="13" a="1"/>
  <c r="A682" i="13" s="1"/>
  <c r="A681" i="13" a="1"/>
  <c r="A681" i="13" s="1"/>
  <c r="A680" i="13" a="1"/>
  <c r="A680" i="13" s="1"/>
  <c r="A679" i="13" a="1"/>
  <c r="A679" i="13" s="1"/>
  <c r="A678" i="13" a="1"/>
  <c r="A678" i="13" s="1"/>
  <c r="A677" i="13" a="1"/>
  <c r="A677" i="13" s="1"/>
  <c r="A676" i="13" a="1"/>
  <c r="A676" i="13" s="1"/>
  <c r="A675" i="13" a="1"/>
  <c r="A675" i="13" s="1"/>
  <c r="A674" i="13" a="1"/>
  <c r="A674" i="13" s="1"/>
  <c r="A673" i="13" a="1"/>
  <c r="A673" i="13" s="1"/>
  <c r="A672" i="13" a="1"/>
  <c r="A672" i="13" s="1"/>
  <c r="A671" i="13" a="1"/>
  <c r="A671" i="13" s="1"/>
  <c r="A670" i="13" a="1"/>
  <c r="A670" i="13" s="1"/>
  <c r="A669" i="13" a="1"/>
  <c r="A669" i="13" s="1"/>
  <c r="A668" i="13" a="1"/>
  <c r="A668" i="13" s="1"/>
  <c r="A667" i="13" a="1"/>
  <c r="A667" i="13" s="1"/>
  <c r="A666" i="13" a="1"/>
  <c r="A666" i="13" s="1"/>
  <c r="A665" i="13" a="1"/>
  <c r="A665" i="13" s="1"/>
  <c r="A664" i="13" a="1"/>
  <c r="A664" i="13" s="1"/>
  <c r="A663" i="13" a="1"/>
  <c r="A663" i="13" s="1"/>
  <c r="A662" i="13" a="1"/>
  <c r="A662" i="13" s="1"/>
  <c r="A661" i="13" a="1"/>
  <c r="A661" i="13" s="1"/>
  <c r="A660" i="13" a="1"/>
  <c r="A660" i="13" s="1"/>
  <c r="A659" i="13" a="1"/>
  <c r="A659" i="13" s="1"/>
  <c r="A658" i="13" a="1"/>
  <c r="A658" i="13" s="1"/>
  <c r="A657" i="13" a="1"/>
  <c r="A657" i="13" s="1"/>
  <c r="A656" i="13" a="1"/>
  <c r="A656" i="13" s="1"/>
  <c r="A655" i="13" a="1"/>
  <c r="A655" i="13" s="1"/>
  <c r="A654" i="13" a="1"/>
  <c r="A654" i="13" s="1"/>
  <c r="A653" i="13" a="1"/>
  <c r="A653" i="13" s="1"/>
  <c r="A652" i="13" a="1"/>
  <c r="A652" i="13" s="1"/>
  <c r="A651" i="13" a="1"/>
  <c r="A651" i="13" s="1"/>
  <c r="A650" i="13" a="1"/>
  <c r="A650" i="13" s="1"/>
  <c r="A649" i="13" a="1"/>
  <c r="A649" i="13" s="1"/>
  <c r="A648" i="13" a="1"/>
  <c r="A648" i="13" s="1"/>
  <c r="A647" i="13" a="1"/>
  <c r="A647" i="13" s="1"/>
  <c r="A646" i="13" a="1"/>
  <c r="A646" i="13" s="1"/>
  <c r="A645" i="13" a="1"/>
  <c r="A645" i="13" s="1"/>
  <c r="A644" i="13" a="1"/>
  <c r="A644" i="13" s="1"/>
  <c r="A643" i="13" a="1"/>
  <c r="A643" i="13" s="1"/>
  <c r="A642" i="13" a="1"/>
  <c r="A642" i="13" s="1"/>
  <c r="A641" i="13" a="1"/>
  <c r="A641" i="13" s="1"/>
  <c r="A640" i="13" a="1"/>
  <c r="A640" i="13" s="1"/>
  <c r="A639" i="13" a="1"/>
  <c r="A639" i="13" s="1"/>
  <c r="A638" i="13" a="1"/>
  <c r="A638" i="13" s="1"/>
  <c r="A637" i="13" a="1"/>
  <c r="A637" i="13" s="1"/>
  <c r="A636" i="13" a="1"/>
  <c r="A636" i="13" s="1"/>
  <c r="A635" i="13" a="1"/>
  <c r="A635" i="13" s="1"/>
  <c r="A634" i="13" a="1"/>
  <c r="A634" i="13" s="1"/>
  <c r="A633" i="13" a="1"/>
  <c r="A633" i="13" s="1"/>
  <c r="A632" i="13" a="1"/>
  <c r="A632" i="13" s="1"/>
  <c r="A631" i="13" a="1"/>
  <c r="A631" i="13" s="1"/>
  <c r="A630" i="13" a="1"/>
  <c r="A630" i="13" s="1"/>
  <c r="A629" i="13" a="1"/>
  <c r="A629" i="13" s="1"/>
  <c r="A628" i="13" a="1"/>
  <c r="A628" i="13" s="1"/>
  <c r="A627" i="13" a="1"/>
  <c r="A627" i="13" s="1"/>
  <c r="A626" i="13" a="1"/>
  <c r="A626" i="13" s="1"/>
  <c r="A625" i="13" a="1"/>
  <c r="A625" i="13" s="1"/>
  <c r="A624" i="13" a="1"/>
  <c r="A624" i="13" s="1"/>
  <c r="A623" i="13" a="1"/>
  <c r="A623" i="13" s="1"/>
  <c r="A622" i="13" a="1"/>
  <c r="A622" i="13" s="1"/>
  <c r="A621" i="13" a="1"/>
  <c r="A621" i="13" s="1"/>
  <c r="A620" i="13" a="1"/>
  <c r="A620" i="13" s="1"/>
  <c r="A619" i="13" a="1"/>
  <c r="A619" i="13" s="1"/>
  <c r="A618" i="13" a="1"/>
  <c r="A618" i="13" s="1"/>
  <c r="A617" i="13" a="1"/>
  <c r="A617" i="13" s="1"/>
  <c r="A616" i="13" a="1"/>
  <c r="A616" i="13" s="1"/>
  <c r="A615" i="13" a="1"/>
  <c r="A615" i="13" s="1"/>
  <c r="A614" i="13" a="1"/>
  <c r="A614" i="13" s="1"/>
  <c r="A613" i="13" a="1"/>
  <c r="A613" i="13" s="1"/>
  <c r="A612" i="13" a="1"/>
  <c r="A612" i="13" s="1"/>
  <c r="A611" i="13" a="1"/>
  <c r="A611" i="13" s="1"/>
  <c r="A610" i="13" a="1"/>
  <c r="A610" i="13" s="1"/>
  <c r="A609" i="13" a="1"/>
  <c r="A609" i="13" s="1"/>
  <c r="A608" i="13" a="1"/>
  <c r="A608" i="13" s="1"/>
  <c r="A607" i="13" a="1"/>
  <c r="A607" i="13" s="1"/>
  <c r="A606" i="13" a="1"/>
  <c r="A606" i="13" s="1"/>
  <c r="A605" i="13" a="1"/>
  <c r="A605" i="13" s="1"/>
  <c r="A604" i="13" a="1"/>
  <c r="A604" i="13" s="1"/>
  <c r="A603" i="13" a="1"/>
  <c r="A603" i="13" s="1"/>
  <c r="A602" i="13" a="1"/>
  <c r="A602" i="13" s="1"/>
  <c r="A601" i="13" a="1"/>
  <c r="A601" i="13" s="1"/>
  <c r="A600" i="13" a="1"/>
  <c r="A600" i="13" s="1"/>
  <c r="A599" i="13" a="1"/>
  <c r="A599" i="13" s="1"/>
  <c r="A598" i="13" a="1"/>
  <c r="A598" i="13" s="1"/>
  <c r="A597" i="13" a="1"/>
  <c r="A597" i="13" s="1"/>
  <c r="A596" i="13" a="1"/>
  <c r="A596" i="13" s="1"/>
  <c r="A595" i="13" a="1"/>
  <c r="A595" i="13" s="1"/>
  <c r="A594" i="13" a="1"/>
  <c r="A594" i="13" s="1"/>
  <c r="A593" i="13" a="1"/>
  <c r="A593" i="13" s="1"/>
  <c r="A592" i="13" a="1"/>
  <c r="A592" i="13" s="1"/>
  <c r="A591" i="13" a="1"/>
  <c r="A591" i="13" s="1"/>
  <c r="A590" i="13" a="1"/>
  <c r="A590" i="13" s="1"/>
  <c r="A589" i="13" a="1"/>
  <c r="A589" i="13" s="1"/>
  <c r="A588" i="13" a="1"/>
  <c r="A588" i="13" s="1"/>
  <c r="A587" i="13" a="1"/>
  <c r="A587" i="13" s="1"/>
  <c r="A586" i="13" a="1"/>
  <c r="A586" i="13" s="1"/>
  <c r="A585" i="13" a="1"/>
  <c r="A585" i="13" s="1"/>
  <c r="A584" i="13" a="1"/>
  <c r="A584" i="13" s="1"/>
  <c r="A583" i="13" a="1"/>
  <c r="A583" i="13" s="1"/>
  <c r="A582" i="13" a="1"/>
  <c r="A582" i="13" s="1"/>
  <c r="A581" i="13" a="1"/>
  <c r="A581" i="13" s="1"/>
  <c r="A580" i="13" a="1"/>
  <c r="A580" i="13" s="1"/>
  <c r="A579" i="13" a="1"/>
  <c r="A579" i="13" s="1"/>
  <c r="A578" i="13" a="1"/>
  <c r="A578" i="13" s="1"/>
  <c r="A577" i="13" a="1"/>
  <c r="A577" i="13" s="1"/>
  <c r="A576" i="13" a="1"/>
  <c r="A576" i="13" s="1"/>
  <c r="A575" i="13" a="1"/>
  <c r="A575" i="13" s="1"/>
  <c r="A574" i="13" a="1"/>
  <c r="A574" i="13" s="1"/>
  <c r="A573" i="13" a="1"/>
  <c r="A573" i="13" s="1"/>
  <c r="A572" i="13" a="1"/>
  <c r="A572" i="13" s="1"/>
  <c r="A571" i="13" a="1"/>
  <c r="A571" i="13" s="1"/>
  <c r="A570" i="13" a="1"/>
  <c r="A570" i="13" s="1"/>
  <c r="A569" i="13" a="1"/>
  <c r="A569" i="13" s="1"/>
  <c r="A568" i="13" a="1"/>
  <c r="A568" i="13" s="1"/>
  <c r="A567" i="13" a="1"/>
  <c r="A567" i="13" s="1"/>
  <c r="A566" i="13" a="1"/>
  <c r="A566" i="13" s="1"/>
  <c r="A565" i="13" a="1"/>
  <c r="A565" i="13" s="1"/>
  <c r="A564" i="13" a="1"/>
  <c r="A564" i="13" s="1"/>
  <c r="A563" i="13" a="1"/>
  <c r="A563" i="13" s="1"/>
  <c r="A562" i="13" a="1"/>
  <c r="A562" i="13" s="1"/>
  <c r="A561" i="13" a="1"/>
  <c r="A561" i="13" s="1"/>
  <c r="A560" i="13" a="1"/>
  <c r="A560" i="13" s="1"/>
  <c r="A559" i="13" a="1"/>
  <c r="A559" i="13" s="1"/>
  <c r="A558" i="13" a="1"/>
  <c r="A558" i="13" s="1"/>
  <c r="A557" i="13" a="1"/>
  <c r="A557" i="13" s="1"/>
  <c r="A556" i="13" a="1"/>
  <c r="A556" i="13" s="1"/>
  <c r="A555" i="13" a="1"/>
  <c r="A555" i="13" s="1"/>
  <c r="A554" i="13" a="1"/>
  <c r="A554" i="13" s="1"/>
  <c r="A553" i="13" a="1"/>
  <c r="A553" i="13" s="1"/>
  <c r="A552" i="13" a="1"/>
  <c r="A552" i="13" s="1"/>
  <c r="A551" i="13" a="1"/>
  <c r="A551" i="13" s="1"/>
  <c r="A550" i="13" a="1"/>
  <c r="A550" i="13" s="1"/>
  <c r="A549" i="13" a="1"/>
  <c r="A549" i="13" s="1"/>
  <c r="A548" i="13" a="1"/>
  <c r="A548" i="13" s="1"/>
  <c r="A547" i="13" a="1"/>
  <c r="A547" i="13" s="1"/>
  <c r="A546" i="13" a="1"/>
  <c r="A546" i="13" s="1"/>
  <c r="A545" i="13" a="1"/>
  <c r="A545" i="13" s="1"/>
  <c r="A544" i="13" a="1"/>
  <c r="A544" i="13" s="1"/>
  <c r="A543" i="13" a="1"/>
  <c r="A543" i="13" s="1"/>
  <c r="A542" i="13" a="1"/>
  <c r="A542" i="13" s="1"/>
  <c r="A541" i="13" a="1"/>
  <c r="A541" i="13" s="1"/>
  <c r="A540" i="13" a="1"/>
  <c r="A540" i="13" s="1"/>
  <c r="A539" i="13" a="1"/>
  <c r="A539" i="13" s="1"/>
  <c r="A538" i="13" a="1"/>
  <c r="A538" i="13" s="1"/>
  <c r="A537" i="13" a="1"/>
  <c r="A537" i="13" s="1"/>
  <c r="A536" i="13" a="1"/>
  <c r="A536" i="13" s="1"/>
  <c r="A535" i="13" a="1"/>
  <c r="A535" i="13" s="1"/>
  <c r="A534" i="13" a="1"/>
  <c r="A534" i="13" s="1"/>
  <c r="A533" i="13" a="1"/>
  <c r="A533" i="13" s="1"/>
  <c r="A532" i="13" a="1"/>
  <c r="A532" i="13" s="1"/>
  <c r="A531" i="13" a="1"/>
  <c r="A531" i="13" s="1"/>
  <c r="A530" i="13" a="1"/>
  <c r="A530" i="13" s="1"/>
  <c r="A529" i="13" a="1"/>
  <c r="A529" i="13" s="1"/>
  <c r="A528" i="13" a="1"/>
  <c r="A528" i="13" s="1"/>
  <c r="A527" i="13" a="1"/>
  <c r="A527" i="13" s="1"/>
  <c r="A526" i="13" a="1"/>
  <c r="A526" i="13" s="1"/>
  <c r="A525" i="13" a="1"/>
  <c r="A525" i="13" s="1"/>
  <c r="A524" i="13" a="1"/>
  <c r="A524" i="13" s="1"/>
  <c r="A523" i="13" a="1"/>
  <c r="A523" i="13" s="1"/>
  <c r="A522" i="13" a="1"/>
  <c r="A522" i="13" s="1"/>
  <c r="A521" i="13" a="1"/>
  <c r="A521" i="13" s="1"/>
  <c r="A520" i="13" a="1"/>
  <c r="A520" i="13" s="1"/>
  <c r="A519" i="13" a="1"/>
  <c r="A519" i="13" s="1"/>
  <c r="A518" i="13" a="1"/>
  <c r="A518" i="13" s="1"/>
  <c r="A517" i="13" a="1"/>
  <c r="A517" i="13" s="1"/>
  <c r="A516" i="13" a="1"/>
  <c r="A516" i="13" s="1"/>
  <c r="A515" i="13" a="1"/>
  <c r="A515" i="13" s="1"/>
  <c r="A514" i="13" a="1"/>
  <c r="A514" i="13" s="1"/>
  <c r="A513" i="13" a="1"/>
  <c r="A513" i="13" s="1"/>
  <c r="A512" i="13" a="1"/>
  <c r="A512" i="13" s="1"/>
  <c r="A511" i="13" a="1"/>
  <c r="A511" i="13" s="1"/>
  <c r="A510" i="13" a="1"/>
  <c r="A510" i="13" s="1"/>
  <c r="A509" i="13" a="1"/>
  <c r="A509" i="13" s="1"/>
  <c r="A508" i="13" a="1"/>
  <c r="A508" i="13" s="1"/>
  <c r="A507" i="13" a="1"/>
  <c r="A507" i="13" s="1"/>
  <c r="A506" i="13" a="1"/>
  <c r="A506" i="13" s="1"/>
  <c r="A505" i="13" a="1"/>
  <c r="A505" i="13" s="1"/>
  <c r="A504" i="13" a="1"/>
  <c r="A504" i="13" s="1"/>
  <c r="A503" i="13" a="1"/>
  <c r="A503" i="13" s="1"/>
  <c r="A502" i="13" a="1"/>
  <c r="A502" i="13" s="1"/>
  <c r="A501" i="13" a="1"/>
  <c r="A501" i="13" s="1"/>
  <c r="A500" i="13" a="1"/>
  <c r="A500" i="13" s="1"/>
  <c r="A499" i="13" a="1"/>
  <c r="A499" i="13" s="1"/>
  <c r="A498" i="13" a="1"/>
  <c r="A498" i="13" s="1"/>
  <c r="A497" i="13" a="1"/>
  <c r="A497" i="13" s="1"/>
  <c r="A496" i="13" a="1"/>
  <c r="A496" i="13" s="1"/>
  <c r="A495" i="13" a="1"/>
  <c r="A495" i="13" s="1"/>
  <c r="A494" i="13" a="1"/>
  <c r="A494" i="13" s="1"/>
  <c r="A493" i="13" a="1"/>
  <c r="A493" i="13" s="1"/>
  <c r="A492" i="13" a="1"/>
  <c r="A492" i="13" s="1"/>
  <c r="A491" i="13" a="1"/>
  <c r="A491" i="13" s="1"/>
  <c r="A490" i="13" a="1"/>
  <c r="A490" i="13" s="1"/>
  <c r="A489" i="13" a="1"/>
  <c r="A489" i="13" s="1"/>
  <c r="A488" i="13" a="1"/>
  <c r="A488" i="13" s="1"/>
  <c r="A487" i="13" a="1"/>
  <c r="A487" i="13" s="1"/>
  <c r="A486" i="13" a="1"/>
  <c r="A486" i="13" s="1"/>
  <c r="A485" i="13" a="1"/>
  <c r="A485" i="13" s="1"/>
  <c r="A484" i="13" a="1"/>
  <c r="A484" i="13" s="1"/>
  <c r="A483" i="13" a="1"/>
  <c r="A483" i="13" s="1"/>
  <c r="A482" i="13" a="1"/>
  <c r="A482" i="13" s="1"/>
  <c r="A481" i="13" a="1"/>
  <c r="A481" i="13" s="1"/>
  <c r="A480" i="13" a="1"/>
  <c r="A480" i="13" s="1"/>
  <c r="A479" i="13" a="1"/>
  <c r="A479" i="13" s="1"/>
  <c r="A478" i="13" a="1"/>
  <c r="A478" i="13" s="1"/>
  <c r="A477" i="13" a="1"/>
  <c r="A477" i="13" s="1"/>
  <c r="A476" i="13" a="1"/>
  <c r="A476" i="13" s="1"/>
  <c r="A475" i="13" a="1"/>
  <c r="A475" i="13" s="1"/>
  <c r="A474" i="13" a="1"/>
  <c r="A474" i="13" s="1"/>
  <c r="A473" i="13" a="1"/>
  <c r="A473" i="13" s="1"/>
  <c r="A472" i="13" a="1"/>
  <c r="A472" i="13" s="1"/>
  <c r="A471" i="13" a="1"/>
  <c r="A471" i="13" s="1"/>
  <c r="A470" i="13" a="1"/>
  <c r="A470" i="13" s="1"/>
  <c r="A469" i="13" a="1"/>
  <c r="A469" i="13" s="1"/>
  <c r="A468" i="13" a="1"/>
  <c r="A468" i="13" s="1"/>
  <c r="A467" i="13" a="1"/>
  <c r="A467" i="13" s="1"/>
  <c r="A466" i="13" a="1"/>
  <c r="A466" i="13" s="1"/>
  <c r="A465" i="13" a="1"/>
  <c r="A465" i="13" s="1"/>
  <c r="A464" i="13" a="1"/>
  <c r="A464" i="13" s="1"/>
  <c r="A463" i="13" a="1"/>
  <c r="A463" i="13" s="1"/>
  <c r="A462" i="13" a="1"/>
  <c r="A462" i="13" s="1"/>
  <c r="A461" i="13" a="1"/>
  <c r="A461" i="13" s="1"/>
  <c r="A460" i="13" a="1"/>
  <c r="A460" i="13" s="1"/>
  <c r="A459" i="13" a="1"/>
  <c r="A459" i="13" s="1"/>
  <c r="A458" i="13" a="1"/>
  <c r="A458" i="13" s="1"/>
  <c r="A457" i="13" a="1"/>
  <c r="A457" i="13" s="1"/>
  <c r="A456" i="13" a="1"/>
  <c r="A456" i="13" s="1"/>
  <c r="A455" i="13" a="1"/>
  <c r="A455" i="13" s="1"/>
  <c r="A454" i="13" a="1"/>
  <c r="A454" i="13" s="1"/>
  <c r="A453" i="13" a="1"/>
  <c r="A453" i="13" s="1"/>
  <c r="A452" i="13" a="1"/>
  <c r="A452" i="13" s="1"/>
  <c r="A451" i="13" a="1"/>
  <c r="A451" i="13" s="1"/>
  <c r="A450" i="13" a="1"/>
  <c r="A450" i="13" s="1"/>
  <c r="A449" i="13" a="1"/>
  <c r="A449" i="13" s="1"/>
  <c r="A448" i="13" a="1"/>
  <c r="A448" i="13" s="1"/>
  <c r="A447" i="13" a="1"/>
  <c r="A447" i="13" s="1"/>
  <c r="A446" i="13" a="1"/>
  <c r="A446" i="13" s="1"/>
  <c r="A445" i="13" a="1"/>
  <c r="A445" i="13" s="1"/>
  <c r="A444" i="13" a="1"/>
  <c r="A444" i="13" s="1"/>
  <c r="A443" i="13" a="1"/>
  <c r="A443" i="13" s="1"/>
  <c r="A442" i="13" a="1"/>
  <c r="A442" i="13" s="1"/>
  <c r="A441" i="13" a="1"/>
  <c r="A441" i="13" s="1"/>
  <c r="A440" i="13" a="1"/>
  <c r="A440" i="13" s="1"/>
  <c r="A439" i="13" a="1"/>
  <c r="A439" i="13" s="1"/>
  <c r="A438" i="13" a="1"/>
  <c r="A438" i="13" s="1"/>
  <c r="A437" i="13" a="1"/>
  <c r="A437" i="13" s="1"/>
  <c r="A436" i="13" a="1"/>
  <c r="A436" i="13" s="1"/>
  <c r="A435" i="13" a="1"/>
  <c r="A435" i="13" s="1"/>
  <c r="A434" i="13" a="1"/>
  <c r="A434" i="13" s="1"/>
  <c r="A433" i="13" a="1"/>
  <c r="A433" i="13" s="1"/>
  <c r="A432" i="13" a="1"/>
  <c r="A432" i="13" s="1"/>
  <c r="A431" i="13" a="1"/>
  <c r="A431" i="13" s="1"/>
  <c r="A430" i="13" a="1"/>
  <c r="A430" i="13" s="1"/>
  <c r="A429" i="13" a="1"/>
  <c r="A429" i="13" s="1"/>
  <c r="A428" i="13" a="1"/>
  <c r="A428" i="13" s="1"/>
  <c r="A427" i="13" a="1"/>
  <c r="A427" i="13" s="1"/>
  <c r="A426" i="13" a="1"/>
  <c r="A426" i="13" s="1"/>
  <c r="A425" i="13" a="1"/>
  <c r="A425" i="13" s="1"/>
  <c r="A424" i="13" a="1"/>
  <c r="A424" i="13" s="1"/>
  <c r="A423" i="13" a="1"/>
  <c r="A423" i="13" s="1"/>
  <c r="A422" i="13" a="1"/>
  <c r="A422" i="13" s="1"/>
  <c r="A421" i="13" a="1"/>
  <c r="A421" i="13" s="1"/>
  <c r="A420" i="13" a="1"/>
  <c r="A420" i="13" s="1"/>
  <c r="A419" i="13" a="1"/>
  <c r="A419" i="13" s="1"/>
  <c r="A418" i="13" a="1"/>
  <c r="A418" i="13" s="1"/>
  <c r="A417" i="13" a="1"/>
  <c r="A417" i="13" s="1"/>
  <c r="A416" i="13" a="1"/>
  <c r="A416" i="13" s="1"/>
  <c r="A415" i="13" a="1"/>
  <c r="A415" i="13" s="1"/>
  <c r="A414" i="13" a="1"/>
  <c r="A414" i="13" s="1"/>
  <c r="A413" i="13" a="1"/>
  <c r="A413" i="13" s="1"/>
  <c r="A412" i="13" a="1"/>
  <c r="A412" i="13" s="1"/>
  <c r="A411" i="13" a="1"/>
  <c r="A411" i="13" s="1"/>
  <c r="A410" i="13" a="1"/>
  <c r="A410" i="13" s="1"/>
  <c r="A409" i="13" a="1"/>
  <c r="A409" i="13" s="1"/>
  <c r="A408" i="13" a="1"/>
  <c r="A408" i="13" s="1"/>
  <c r="A407" i="13" a="1"/>
  <c r="A407" i="13" s="1"/>
  <c r="A406" i="13" a="1"/>
  <c r="A406" i="13" s="1"/>
  <c r="A405" i="13" a="1"/>
  <c r="A405" i="13" s="1"/>
  <c r="A404" i="13" a="1"/>
  <c r="A404" i="13" s="1"/>
  <c r="A403" i="13" a="1"/>
  <c r="A403" i="13" s="1"/>
  <c r="A402" i="13" a="1"/>
  <c r="A402" i="13" s="1"/>
  <c r="A401" i="13" a="1"/>
  <c r="A401" i="13" s="1"/>
  <c r="A400" i="13" a="1"/>
  <c r="A400" i="13" s="1"/>
  <c r="A399" i="13" a="1"/>
  <c r="A399" i="13" s="1"/>
  <c r="A398" i="13" a="1"/>
  <c r="A398" i="13" s="1"/>
  <c r="A397" i="13" a="1"/>
  <c r="A397" i="13" s="1"/>
  <c r="A396" i="13" a="1"/>
  <c r="A396" i="13" s="1"/>
  <c r="A395" i="13" a="1"/>
  <c r="A395" i="13" s="1"/>
  <c r="A394" i="13" a="1"/>
  <c r="A394" i="13" s="1"/>
  <c r="A393" i="13" a="1"/>
  <c r="A393" i="13" s="1"/>
  <c r="A392" i="13" a="1"/>
  <c r="A392" i="13" s="1"/>
  <c r="A391" i="13" a="1"/>
  <c r="A391" i="13" s="1"/>
  <c r="A390" i="13" a="1"/>
  <c r="A390" i="13" s="1"/>
  <c r="A389" i="13" a="1"/>
  <c r="A389" i="13" s="1"/>
  <c r="A388" i="13" a="1"/>
  <c r="A388" i="13" s="1"/>
  <c r="A387" i="13" a="1"/>
  <c r="A387" i="13" s="1"/>
  <c r="A386" i="13" a="1"/>
  <c r="A386" i="13" s="1"/>
  <c r="A385" i="13" a="1"/>
  <c r="A385" i="13" s="1"/>
  <c r="A384" i="13" a="1"/>
  <c r="A384" i="13" s="1"/>
  <c r="A383" i="13" a="1"/>
  <c r="A383" i="13" s="1"/>
  <c r="A382" i="13" a="1"/>
  <c r="A382" i="13" s="1"/>
  <c r="A381" i="13" a="1"/>
  <c r="A381" i="13" s="1"/>
  <c r="A380" i="13" a="1"/>
  <c r="A380" i="13" s="1"/>
  <c r="A379" i="13" a="1"/>
  <c r="A379" i="13" s="1"/>
  <c r="A378" i="13" a="1"/>
  <c r="A378" i="13" s="1"/>
  <c r="A377" i="13" a="1"/>
  <c r="A377" i="13" s="1"/>
  <c r="A376" i="13" a="1"/>
  <c r="A376" i="13" s="1"/>
  <c r="A375" i="13" a="1"/>
  <c r="A375" i="13" s="1"/>
  <c r="A374" i="13" a="1"/>
  <c r="A374" i="13" s="1"/>
  <c r="A373" i="13" a="1"/>
  <c r="A373" i="13" s="1"/>
  <c r="A372" i="13" a="1"/>
  <c r="A372" i="13" s="1"/>
  <c r="A371" i="13" a="1"/>
  <c r="A371" i="13" s="1"/>
  <c r="A370" i="13" a="1"/>
  <c r="A370" i="13" s="1"/>
  <c r="A369" i="13" a="1"/>
  <c r="A369" i="13" s="1"/>
  <c r="A368" i="13" a="1"/>
  <c r="A368" i="13" s="1"/>
  <c r="A367" i="13" a="1"/>
  <c r="A367" i="13" s="1"/>
  <c r="A366" i="13" a="1"/>
  <c r="A366" i="13" s="1"/>
  <c r="A365" i="13" a="1"/>
  <c r="A365" i="13" s="1"/>
  <c r="A364" i="13" a="1"/>
  <c r="A364" i="13" s="1"/>
  <c r="A363" i="13" a="1"/>
  <c r="A363" i="13" s="1"/>
  <c r="A362" i="13" a="1"/>
  <c r="A362" i="13" s="1"/>
  <c r="A361" i="13" a="1"/>
  <c r="A361" i="13" s="1"/>
  <c r="A360" i="13" a="1"/>
  <c r="A360" i="13" s="1"/>
  <c r="A359" i="13" a="1"/>
  <c r="A359" i="13" s="1"/>
  <c r="A358" i="13" a="1"/>
  <c r="A358" i="13" s="1"/>
  <c r="A357" i="13" a="1"/>
  <c r="A357" i="13" s="1"/>
  <c r="A356" i="13" a="1"/>
  <c r="A356" i="13" s="1"/>
  <c r="A355" i="13" a="1"/>
  <c r="A355" i="13" s="1"/>
  <c r="A354" i="13" a="1"/>
  <c r="A354" i="13" s="1"/>
  <c r="A353" i="13" a="1"/>
  <c r="A353" i="13" s="1"/>
  <c r="A352" i="13" a="1"/>
  <c r="A352" i="13" s="1"/>
  <c r="A351" i="13" a="1"/>
  <c r="A351" i="13" s="1"/>
  <c r="A350" i="13" a="1"/>
  <c r="A350" i="13" s="1"/>
  <c r="A349" i="13" a="1"/>
  <c r="A349" i="13" s="1"/>
  <c r="A348" i="13" a="1"/>
  <c r="A348" i="13" s="1"/>
  <c r="A347" i="13" a="1"/>
  <c r="A347" i="13" s="1"/>
  <c r="A346" i="13" a="1"/>
  <c r="A346" i="13" s="1"/>
  <c r="A345" i="13" a="1"/>
  <c r="A345" i="13" s="1"/>
  <c r="A344" i="13" a="1"/>
  <c r="A344" i="13" s="1"/>
  <c r="A343" i="13" a="1"/>
  <c r="A343" i="13" s="1"/>
  <c r="A342" i="13" a="1"/>
  <c r="A342" i="13" s="1"/>
  <c r="A341" i="13" a="1"/>
  <c r="A341" i="13" s="1"/>
  <c r="A340" i="13" a="1"/>
  <c r="A340" i="13" s="1"/>
  <c r="A339" i="13" a="1"/>
  <c r="A339" i="13" s="1"/>
  <c r="A338" i="13" a="1"/>
  <c r="A338" i="13" s="1"/>
  <c r="A337" i="13" a="1"/>
  <c r="A337" i="13" s="1"/>
  <c r="A336" i="13" a="1"/>
  <c r="A336" i="13" s="1"/>
  <c r="A335" i="13" a="1"/>
  <c r="A335" i="13" s="1"/>
  <c r="A334" i="13" a="1"/>
  <c r="A334" i="13" s="1"/>
  <c r="A333" i="13" a="1"/>
  <c r="A333" i="13" s="1"/>
  <c r="A332" i="13" a="1"/>
  <c r="A332" i="13" s="1"/>
  <c r="A331" i="13" a="1"/>
  <c r="A331" i="13" s="1"/>
  <c r="A330" i="13" a="1"/>
  <c r="A330" i="13" s="1"/>
  <c r="A329" i="13" a="1"/>
  <c r="A329" i="13" s="1"/>
  <c r="A328" i="13" a="1"/>
  <c r="A328" i="13" s="1"/>
  <c r="A327" i="13" a="1"/>
  <c r="A327" i="13" s="1"/>
  <c r="A326" i="13" a="1"/>
  <c r="A326" i="13" s="1"/>
  <c r="A325" i="13" a="1"/>
  <c r="A325" i="13" s="1"/>
  <c r="A324" i="13" a="1"/>
  <c r="A324" i="13" s="1"/>
  <c r="A323" i="13" a="1"/>
  <c r="A323" i="13" s="1"/>
  <c r="A322" i="13" a="1"/>
  <c r="A322" i="13" s="1"/>
  <c r="A321" i="13" a="1"/>
  <c r="A321" i="13" s="1"/>
  <c r="A320" i="13" a="1"/>
  <c r="A320" i="13" s="1"/>
  <c r="A319" i="13" a="1"/>
  <c r="A319" i="13" s="1"/>
  <c r="A318" i="13" a="1"/>
  <c r="A318" i="13" s="1"/>
  <c r="A317" i="13" a="1"/>
  <c r="A317" i="13" s="1"/>
  <c r="A316" i="13" a="1"/>
  <c r="A316" i="13" s="1"/>
  <c r="A315" i="13" a="1"/>
  <c r="A315" i="13" s="1"/>
  <c r="A314" i="13" a="1"/>
  <c r="A314" i="13" s="1"/>
  <c r="A313" i="13" a="1"/>
  <c r="A313" i="13" s="1"/>
  <c r="A312" i="13" a="1"/>
  <c r="A312" i="13" s="1"/>
  <c r="A311" i="13" a="1"/>
  <c r="A311" i="13" s="1"/>
  <c r="A310" i="13" a="1"/>
  <c r="A310" i="13" s="1"/>
  <c r="A309" i="13" a="1"/>
  <c r="A309" i="13" s="1"/>
  <c r="A308" i="13" a="1"/>
  <c r="A308" i="13" s="1"/>
  <c r="A307" i="13" a="1"/>
  <c r="A307" i="13" s="1"/>
  <c r="A306" i="13" a="1"/>
  <c r="A306" i="13" s="1"/>
  <c r="A305" i="13" a="1"/>
  <c r="A305" i="13" s="1"/>
  <c r="A304" i="13" a="1"/>
  <c r="A304" i="13" s="1"/>
  <c r="A303" i="13" a="1"/>
  <c r="A303" i="13" s="1"/>
  <c r="A302" i="13" a="1"/>
  <c r="A302" i="13" s="1"/>
  <c r="A301" i="13" a="1"/>
  <c r="A301" i="13" s="1"/>
  <c r="A300" i="13" a="1"/>
  <c r="A300" i="13" s="1"/>
  <c r="A299" i="13" a="1"/>
  <c r="A299" i="13" s="1"/>
  <c r="A298" i="13" a="1"/>
  <c r="A298" i="13" s="1"/>
  <c r="A297" i="13" a="1"/>
  <c r="A297" i="13" s="1"/>
  <c r="A296" i="13" a="1"/>
  <c r="A296" i="13" s="1"/>
  <c r="A295" i="13" a="1"/>
  <c r="A295" i="13" s="1"/>
  <c r="A294" i="13" a="1"/>
  <c r="A294" i="13" s="1"/>
  <c r="A293" i="13" a="1"/>
  <c r="A293" i="13" s="1"/>
  <c r="A292" i="13" a="1"/>
  <c r="A292" i="13" s="1"/>
  <c r="A291" i="13" a="1"/>
  <c r="A291" i="13" s="1"/>
  <c r="A290" i="13" a="1"/>
  <c r="A290" i="13" s="1"/>
  <c r="A289" i="13" a="1"/>
  <c r="A289" i="13" s="1"/>
  <c r="A288" i="13" a="1"/>
  <c r="A288" i="13" s="1"/>
  <c r="A287" i="13" a="1"/>
  <c r="A287" i="13" s="1"/>
  <c r="A286" i="13" a="1"/>
  <c r="A286" i="13" s="1"/>
  <c r="A285" i="13" a="1"/>
  <c r="A285" i="13" s="1"/>
  <c r="A284" i="13" a="1"/>
  <c r="A284" i="13" s="1"/>
  <c r="A283" i="13" a="1"/>
  <c r="A283" i="13" s="1"/>
  <c r="A282" i="13" a="1"/>
  <c r="A282" i="13" s="1"/>
  <c r="A281" i="13" a="1"/>
  <c r="A281" i="13" s="1"/>
  <c r="A280" i="13" a="1"/>
  <c r="A280" i="13" s="1"/>
  <c r="A279" i="13" a="1"/>
  <c r="A279" i="13" s="1"/>
  <c r="A278" i="13" a="1"/>
  <c r="A278" i="13" s="1"/>
  <c r="A277" i="13" a="1"/>
  <c r="A277" i="13" s="1"/>
  <c r="A276" i="13" a="1"/>
  <c r="A276" i="13" s="1"/>
  <c r="A275" i="13" a="1"/>
  <c r="A275" i="13" s="1"/>
  <c r="A274" i="13" a="1"/>
  <c r="A274" i="13" s="1"/>
  <c r="A273" i="13" a="1"/>
  <c r="A273" i="13" s="1"/>
  <c r="A272" i="13" a="1"/>
  <c r="A272" i="13" s="1"/>
  <c r="A271" i="13" a="1"/>
  <c r="A271" i="13" s="1"/>
  <c r="A270" i="13" a="1"/>
  <c r="A270" i="13" s="1"/>
  <c r="A269" i="13" a="1"/>
  <c r="A269" i="13" s="1"/>
  <c r="A268" i="13" a="1"/>
  <c r="A268" i="13" s="1"/>
  <c r="A267" i="13" a="1"/>
  <c r="A267" i="13" s="1"/>
  <c r="A266" i="13" a="1"/>
  <c r="A266" i="13" s="1"/>
  <c r="A265" i="13" a="1"/>
  <c r="A265" i="13" s="1"/>
  <c r="A264" i="13" a="1"/>
  <c r="A264" i="13" s="1"/>
  <c r="A263" i="13" a="1"/>
  <c r="A263" i="13" s="1"/>
  <c r="A262" i="13" a="1"/>
  <c r="A262" i="13" s="1"/>
  <c r="A261" i="13" a="1"/>
  <c r="A261" i="13" s="1"/>
  <c r="A260" i="13" a="1"/>
  <c r="A260" i="13" s="1"/>
  <c r="A259" i="13" a="1"/>
  <c r="A259" i="13" s="1"/>
  <c r="A258" i="13" a="1"/>
  <c r="A258" i="13" s="1"/>
  <c r="A257" i="13" a="1"/>
  <c r="A257" i="13" s="1"/>
  <c r="A256" i="13" a="1"/>
  <c r="A256" i="13" s="1"/>
  <c r="A255" i="13" a="1"/>
  <c r="A255" i="13" s="1"/>
  <c r="A254" i="13" a="1"/>
  <c r="A254" i="13" s="1"/>
  <c r="A253" i="13" a="1"/>
  <c r="A253" i="13" s="1"/>
  <c r="A252" i="13" a="1"/>
  <c r="A252" i="13" s="1"/>
  <c r="A251" i="13" a="1"/>
  <c r="A251" i="13" s="1"/>
  <c r="A250" i="13" a="1"/>
  <c r="A250" i="13" s="1"/>
  <c r="A249" i="13" a="1"/>
  <c r="A249" i="13" s="1"/>
  <c r="A248" i="13" a="1"/>
  <c r="A248" i="13" s="1"/>
  <c r="A247" i="13" a="1"/>
  <c r="A247" i="13" s="1"/>
  <c r="A246" i="13" a="1"/>
  <c r="A246" i="13" s="1"/>
  <c r="A245" i="13" a="1"/>
  <c r="A245" i="13" s="1"/>
  <c r="A244" i="13" a="1"/>
  <c r="A244" i="13" s="1"/>
  <c r="A243" i="13" a="1"/>
  <c r="A243" i="13" s="1"/>
  <c r="A242" i="13" a="1"/>
  <c r="A242" i="13" s="1"/>
  <c r="A241" i="13" a="1"/>
  <c r="A241" i="13" s="1"/>
  <c r="A240" i="13" a="1"/>
  <c r="A240" i="13" s="1"/>
  <c r="A239" i="13" a="1"/>
  <c r="A239" i="13" s="1"/>
  <c r="A238" i="13" a="1"/>
  <c r="A238" i="13" s="1"/>
  <c r="A237" i="13" a="1"/>
  <c r="A237" i="13" s="1"/>
  <c r="A236" i="13" a="1"/>
  <c r="A236" i="13" s="1"/>
  <c r="A235" i="13" a="1"/>
  <c r="A235" i="13" s="1"/>
  <c r="A234" i="13" a="1"/>
  <c r="A234" i="13" s="1"/>
  <c r="A233" i="13" a="1"/>
  <c r="A233" i="13" s="1"/>
  <c r="A232" i="13" a="1"/>
  <c r="A232" i="13" s="1"/>
  <c r="A231" i="13" a="1"/>
  <c r="A231" i="13" s="1"/>
  <c r="A230" i="13" a="1"/>
  <c r="A230" i="13" s="1"/>
  <c r="A229" i="13" a="1"/>
  <c r="A229" i="13" s="1"/>
  <c r="A228" i="13" a="1"/>
  <c r="A228" i="13" s="1"/>
  <c r="A227" i="13" a="1"/>
  <c r="A227" i="13" s="1"/>
  <c r="A226" i="13" a="1"/>
  <c r="A226" i="13" s="1"/>
  <c r="A225" i="13" a="1"/>
  <c r="A225" i="13" s="1"/>
  <c r="A224" i="13" a="1"/>
  <c r="A224" i="13" s="1"/>
  <c r="A223" i="13" a="1"/>
  <c r="A223" i="13" s="1"/>
  <c r="A222" i="13" a="1"/>
  <c r="A222" i="13" s="1"/>
  <c r="A221" i="13" a="1"/>
  <c r="A221" i="13" s="1"/>
  <c r="A220" i="13" a="1"/>
  <c r="A220" i="13" s="1"/>
  <c r="A219" i="13" a="1"/>
  <c r="A219" i="13" s="1"/>
  <c r="A218" i="13" a="1"/>
  <c r="A218" i="13" s="1"/>
  <c r="A217" i="13" a="1"/>
  <c r="A217" i="13" s="1"/>
  <c r="A216" i="13" a="1"/>
  <c r="A216" i="13" s="1"/>
  <c r="A215" i="13" a="1"/>
  <c r="A215" i="13" s="1"/>
  <c r="A214" i="13" a="1"/>
  <c r="A214" i="13" s="1"/>
  <c r="A213" i="13" a="1"/>
  <c r="A213" i="13" s="1"/>
  <c r="A212" i="13" a="1"/>
  <c r="A212" i="13" s="1"/>
  <c r="A211" i="13" a="1"/>
  <c r="A211" i="13" s="1"/>
  <c r="A210" i="13" a="1"/>
  <c r="A210" i="13" s="1"/>
  <c r="A209" i="13" a="1"/>
  <c r="A209" i="13" s="1"/>
  <c r="A208" i="13" a="1"/>
  <c r="A208" i="13" s="1"/>
  <c r="A207" i="13" a="1"/>
  <c r="A207" i="13" s="1"/>
  <c r="A206" i="13" a="1"/>
  <c r="A206" i="13" s="1"/>
  <c r="A205" i="13" a="1"/>
  <c r="A205" i="13" s="1"/>
  <c r="A204" i="13" a="1"/>
  <c r="A204" i="13" s="1"/>
  <c r="A203" i="13" a="1"/>
  <c r="A203" i="13" s="1"/>
  <c r="A202" i="13" a="1"/>
  <c r="A202" i="13" s="1"/>
  <c r="A201" i="13" a="1"/>
  <c r="A201" i="13" s="1"/>
  <c r="A200" i="13" a="1"/>
  <c r="A200" i="13" s="1"/>
  <c r="A199" i="13" a="1"/>
  <c r="A199" i="13" s="1"/>
  <c r="A198" i="13" a="1"/>
  <c r="A198" i="13" s="1"/>
  <c r="A197" i="13" a="1"/>
  <c r="A197" i="13" s="1"/>
  <c r="A196" i="13" a="1"/>
  <c r="A196" i="13" s="1"/>
  <c r="A195" i="13" a="1"/>
  <c r="A195" i="13" s="1"/>
  <c r="A194" i="13" a="1"/>
  <c r="A194" i="13" s="1"/>
  <c r="A193" i="13" a="1"/>
  <c r="A193" i="13" s="1"/>
  <c r="A192" i="13" a="1"/>
  <c r="A192" i="13" s="1"/>
  <c r="A191" i="13" a="1"/>
  <c r="A191" i="13" s="1"/>
  <c r="A190" i="13" a="1"/>
  <c r="A190" i="13" s="1"/>
  <c r="A189" i="13" a="1"/>
  <c r="A189" i="13" s="1"/>
  <c r="A188" i="13" a="1"/>
  <c r="A188" i="13" s="1"/>
  <c r="A187" i="13" a="1"/>
  <c r="A187" i="13" s="1"/>
  <c r="A186" i="13" a="1"/>
  <c r="A186" i="13" s="1"/>
  <c r="A185" i="13" a="1"/>
  <c r="A185" i="13" s="1"/>
  <c r="A184" i="13" a="1"/>
  <c r="A184" i="13" s="1"/>
  <c r="A183" i="13" a="1"/>
  <c r="A183" i="13" s="1"/>
  <c r="A182" i="13" a="1"/>
  <c r="A182" i="13" s="1"/>
  <c r="A181" i="13" a="1"/>
  <c r="A181" i="13" s="1"/>
  <c r="A180" i="13" a="1"/>
  <c r="A180" i="13" s="1"/>
  <c r="A179" i="13" a="1"/>
  <c r="A179" i="13" s="1"/>
  <c r="A178" i="13" a="1"/>
  <c r="A178" i="13" s="1"/>
  <c r="A177" i="13" a="1"/>
  <c r="A177" i="13" s="1"/>
  <c r="A176" i="13" a="1"/>
  <c r="A176" i="13" s="1"/>
  <c r="A175" i="13" a="1"/>
  <c r="A175" i="13" s="1"/>
  <c r="A174" i="13" a="1"/>
  <c r="A174" i="13" s="1"/>
  <c r="A173" i="13" a="1"/>
  <c r="A173" i="13" s="1"/>
  <c r="A172" i="13" a="1"/>
  <c r="A172" i="13" s="1"/>
  <c r="A171" i="13" a="1"/>
  <c r="A171" i="13" s="1"/>
  <c r="A170" i="13" a="1"/>
  <c r="A170" i="13" s="1"/>
  <c r="A169" i="13" a="1"/>
  <c r="A169" i="13" s="1"/>
  <c r="A168" i="13" a="1"/>
  <c r="A168" i="13" s="1"/>
  <c r="A167" i="13" a="1"/>
  <c r="A167" i="13" s="1"/>
  <c r="A166" i="13" a="1"/>
  <c r="A166" i="13" s="1"/>
  <c r="A165" i="13" a="1"/>
  <c r="A165" i="13" s="1"/>
  <c r="A164" i="13" a="1"/>
  <c r="A164" i="13" s="1"/>
  <c r="A163" i="13" a="1"/>
  <c r="A163" i="13" s="1"/>
  <c r="A162" i="13" a="1"/>
  <c r="A162" i="13" s="1"/>
  <c r="A161" i="13" a="1"/>
  <c r="A161" i="13" s="1"/>
  <c r="A160" i="13" a="1"/>
  <c r="A160" i="13" s="1"/>
  <c r="A159" i="13" a="1"/>
  <c r="A159" i="13" s="1"/>
  <c r="A158" i="13" a="1"/>
  <c r="A158" i="13" s="1"/>
  <c r="A157" i="13" a="1"/>
  <c r="A157" i="13" s="1"/>
  <c r="A156" i="13" a="1"/>
  <c r="A156" i="13" s="1"/>
  <c r="A155" i="13" a="1"/>
  <c r="A155" i="13" s="1"/>
  <c r="A154" i="13" a="1"/>
  <c r="A154" i="13" s="1"/>
  <c r="A153" i="13" a="1"/>
  <c r="A153" i="13" s="1"/>
  <c r="A152" i="13" a="1"/>
  <c r="A152" i="13" s="1"/>
  <c r="A151" i="13" a="1"/>
  <c r="A151" i="13" s="1"/>
  <c r="A150" i="13" a="1"/>
  <c r="A150" i="13" s="1"/>
  <c r="A149" i="13" a="1"/>
  <c r="A149" i="13" s="1"/>
  <c r="A148" i="13" a="1"/>
  <c r="A148" i="13" s="1"/>
  <c r="A147" i="13" a="1"/>
  <c r="A147" i="13" s="1"/>
  <c r="A146" i="13" a="1"/>
  <c r="A146" i="13" s="1"/>
  <c r="A145" i="13" a="1"/>
  <c r="A145" i="13" s="1"/>
  <c r="A144" i="13" a="1"/>
  <c r="A144" i="13" s="1"/>
  <c r="A143" i="13" a="1"/>
  <c r="A143" i="13" s="1"/>
  <c r="A142" i="13" a="1"/>
  <c r="A142" i="13" s="1"/>
  <c r="A141" i="13" a="1"/>
  <c r="A141" i="13" s="1"/>
  <c r="A140" i="13" a="1"/>
  <c r="A140" i="13" s="1"/>
  <c r="A139" i="13" a="1"/>
  <c r="A139" i="13" s="1"/>
  <c r="A138" i="13" a="1"/>
  <c r="A138" i="13" s="1"/>
  <c r="A137" i="13" a="1"/>
  <c r="A137" i="13" s="1"/>
  <c r="A136" i="13" a="1"/>
  <c r="A136" i="13" s="1"/>
  <c r="A135" i="13" a="1"/>
  <c r="A135" i="13" s="1"/>
  <c r="A134" i="13" a="1"/>
  <c r="A134" i="13" s="1"/>
  <c r="A133" i="13" a="1"/>
  <c r="A133" i="13" s="1"/>
  <c r="A132" i="13" a="1"/>
  <c r="A132" i="13" s="1"/>
  <c r="A131" i="13" a="1"/>
  <c r="A131" i="13" s="1"/>
  <c r="A130" i="13" a="1"/>
  <c r="A130" i="13" s="1"/>
  <c r="A129" i="13" a="1"/>
  <c r="A129" i="13" s="1"/>
  <c r="A128" i="13" a="1"/>
  <c r="A128" i="13" s="1"/>
  <c r="A127" i="13" a="1"/>
  <c r="A127" i="13" s="1"/>
  <c r="A126" i="13" a="1"/>
  <c r="A126" i="13" s="1"/>
  <c r="A125" i="13" a="1"/>
  <c r="A125" i="13" s="1"/>
  <c r="A124" i="13" a="1"/>
  <c r="A124" i="13" s="1"/>
  <c r="A123" i="13" a="1"/>
  <c r="A123" i="13" s="1"/>
  <c r="A122" i="13" a="1"/>
  <c r="A122" i="13" s="1"/>
  <c r="A121" i="13" a="1"/>
  <c r="A121" i="13" s="1"/>
  <c r="A120" i="13" a="1"/>
  <c r="A120" i="13" s="1"/>
  <c r="A119" i="13" a="1"/>
  <c r="A119" i="13" s="1"/>
  <c r="A118" i="13" a="1"/>
  <c r="A118" i="13" s="1"/>
  <c r="A117" i="13" a="1"/>
  <c r="A117" i="13" s="1"/>
  <c r="A116" i="13" a="1"/>
  <c r="A116" i="13" s="1"/>
  <c r="A115" i="13" a="1"/>
  <c r="A115" i="13" s="1"/>
  <c r="A114" i="13" a="1"/>
  <c r="A114" i="13" s="1"/>
  <c r="A113" i="13" a="1"/>
  <c r="A113" i="13" s="1"/>
  <c r="A112" i="13" a="1"/>
  <c r="A112" i="13" s="1"/>
  <c r="A111" i="13" a="1"/>
  <c r="A111" i="13" s="1"/>
  <c r="A110" i="13" a="1"/>
  <c r="A110" i="13" s="1"/>
  <c r="A109" i="13" a="1"/>
  <c r="A109" i="13" s="1"/>
  <c r="A108" i="13" a="1"/>
  <c r="A108" i="13" s="1"/>
  <c r="A107" i="13" a="1"/>
  <c r="A107" i="13" s="1"/>
  <c r="A106" i="13" a="1"/>
  <c r="A106" i="13" s="1"/>
  <c r="A105" i="13" a="1"/>
  <c r="A105" i="13" s="1"/>
  <c r="A104" i="13" a="1"/>
  <c r="A104" i="13" s="1"/>
  <c r="A103" i="13" a="1"/>
  <c r="A103" i="13" s="1"/>
  <c r="A102" i="13" a="1"/>
  <c r="A102" i="13" s="1"/>
  <c r="A101" i="13" a="1"/>
  <c r="A101" i="13" s="1"/>
  <c r="A100" i="13" a="1"/>
  <c r="A100" i="13" s="1"/>
  <c r="A99" i="13" a="1"/>
  <c r="A99" i="13" s="1"/>
  <c r="A98" i="13" a="1"/>
  <c r="A98" i="13" s="1"/>
  <c r="A97" i="13" a="1"/>
  <c r="A97" i="13" s="1"/>
  <c r="A96" i="13" a="1"/>
  <c r="A96" i="13" s="1"/>
  <c r="A95" i="13" a="1"/>
  <c r="A95" i="13" s="1"/>
  <c r="A94" i="13" a="1"/>
  <c r="A94" i="13" s="1"/>
  <c r="A93" i="13" a="1"/>
  <c r="A93" i="13" s="1"/>
  <c r="A92" i="13" a="1"/>
  <c r="A92" i="13" s="1"/>
  <c r="A91" i="13" a="1"/>
  <c r="A91" i="13" s="1"/>
  <c r="A90" i="13" a="1"/>
  <c r="A90" i="13" s="1"/>
  <c r="A89" i="13" a="1"/>
  <c r="A89" i="13" s="1"/>
  <c r="A88" i="13" a="1"/>
  <c r="A88" i="13" s="1"/>
  <c r="A87" i="13" a="1"/>
  <c r="A87" i="13" s="1"/>
  <c r="A86" i="13" a="1"/>
  <c r="A86" i="13" s="1"/>
  <c r="A85" i="13" a="1"/>
  <c r="A85" i="13" s="1"/>
  <c r="A84" i="13" a="1"/>
  <c r="A84" i="13" s="1"/>
  <c r="A83" i="13" a="1"/>
  <c r="A83" i="13" s="1"/>
  <c r="A82" i="13" a="1"/>
  <c r="A82" i="13" s="1"/>
  <c r="A81" i="13" a="1"/>
  <c r="A81" i="13" s="1"/>
  <c r="A80" i="13" a="1"/>
  <c r="A80" i="13" s="1"/>
  <c r="A79" i="13" a="1"/>
  <c r="A79" i="13" s="1"/>
  <c r="A78" i="13" a="1"/>
  <c r="A78" i="13" s="1"/>
  <c r="A77" i="13" a="1"/>
  <c r="A77" i="13" s="1"/>
  <c r="A76" i="13" a="1"/>
  <c r="A76" i="13" s="1"/>
  <c r="A75" i="13" a="1"/>
  <c r="A75" i="13" s="1"/>
  <c r="A74" i="13" a="1"/>
  <c r="A74" i="13" s="1"/>
  <c r="A73" i="13" a="1"/>
  <c r="A73" i="13" s="1"/>
  <c r="A72" i="13" a="1"/>
  <c r="A72" i="13" s="1"/>
  <c r="A71" i="13" a="1"/>
  <c r="A71" i="13" s="1"/>
  <c r="A70" i="13" a="1"/>
  <c r="A70" i="13" s="1"/>
  <c r="A69" i="13" a="1"/>
  <c r="A69" i="13" s="1"/>
  <c r="A68" i="13" a="1"/>
  <c r="A68" i="13" s="1"/>
  <c r="A67" i="13" a="1"/>
  <c r="A67" i="13" s="1"/>
  <c r="A66" i="13" a="1"/>
  <c r="A66" i="13" s="1"/>
  <c r="A65" i="13" a="1"/>
  <c r="A65" i="13" s="1"/>
  <c r="A64" i="13" a="1"/>
  <c r="A64" i="13" s="1"/>
  <c r="A63" i="13" a="1"/>
  <c r="A63" i="13" s="1"/>
  <c r="A62" i="13" a="1"/>
  <c r="A62" i="13" s="1"/>
  <c r="A61" i="13" a="1"/>
  <c r="A61" i="13" s="1"/>
  <c r="A60" i="13" a="1"/>
  <c r="A60" i="13" s="1"/>
  <c r="A59" i="13" a="1"/>
  <c r="A59" i="13" s="1"/>
  <c r="A58" i="13" a="1"/>
  <c r="A58" i="13" s="1"/>
  <c r="A57" i="13" a="1"/>
  <c r="A57" i="13" s="1"/>
  <c r="A56" i="13" a="1"/>
  <c r="A56" i="13" s="1"/>
  <c r="A55" i="13" a="1"/>
  <c r="A55" i="13" s="1"/>
  <c r="A54" i="13" a="1"/>
  <c r="A54" i="13" s="1"/>
  <c r="A53" i="13" a="1"/>
  <c r="A53" i="13" s="1"/>
  <c r="A52" i="13" a="1"/>
  <c r="A52" i="13" s="1"/>
  <c r="A51" i="13" a="1"/>
  <c r="A51" i="13" s="1"/>
  <c r="A50" i="13" a="1"/>
  <c r="A50" i="13" s="1"/>
  <c r="A49" i="13" a="1"/>
  <c r="A49" i="13" s="1"/>
  <c r="A48" i="13" a="1"/>
  <c r="A48" i="13" s="1"/>
  <c r="A47" i="13" a="1"/>
  <c r="A47" i="13" s="1"/>
  <c r="A46" i="13" a="1"/>
  <c r="A46" i="13" s="1"/>
  <c r="A45" i="13" a="1"/>
  <c r="A45" i="13" s="1"/>
  <c r="A44" i="13" a="1"/>
  <c r="A44" i="13" s="1"/>
  <c r="A43" i="13" a="1"/>
  <c r="A43" i="13" s="1"/>
  <c r="A42" i="13" a="1"/>
  <c r="A42" i="13" s="1"/>
  <c r="A41" i="13" a="1"/>
  <c r="A41" i="13" s="1"/>
  <c r="A40" i="13" a="1"/>
  <c r="A40" i="13" s="1"/>
  <c r="A39" i="13" a="1"/>
  <c r="A39" i="13" s="1"/>
  <c r="A38" i="13" a="1"/>
  <c r="A38" i="13" s="1"/>
  <c r="A37" i="13" a="1"/>
  <c r="A37" i="13" s="1"/>
  <c r="A36" i="13" a="1"/>
  <c r="A36" i="13" s="1"/>
  <c r="A35" i="13" a="1"/>
  <c r="A35" i="13" s="1"/>
  <c r="A34" i="13" a="1"/>
  <c r="A34" i="13" s="1"/>
  <c r="A33" i="13" a="1"/>
  <c r="A33" i="13" s="1"/>
  <c r="A32" i="13" a="1"/>
  <c r="A32" i="13" s="1"/>
  <c r="A31" i="13" a="1"/>
  <c r="A31" i="13" s="1"/>
  <c r="A30" i="13" a="1"/>
  <c r="A30" i="13" s="1"/>
  <c r="A29" i="13" a="1"/>
  <c r="A29" i="13" s="1"/>
  <c r="A28" i="13" a="1"/>
  <c r="A28" i="13" s="1"/>
  <c r="A27" i="13" a="1"/>
  <c r="A27" i="13" s="1"/>
  <c r="A26" i="13" a="1"/>
  <c r="A26" i="13" s="1"/>
  <c r="A25" i="13" a="1"/>
  <c r="A25" i="13" s="1"/>
  <c r="A24" i="13" a="1"/>
  <c r="A24" i="13" s="1"/>
  <c r="A23" i="13" a="1"/>
  <c r="A23" i="13" s="1"/>
  <c r="A22" i="13" a="1"/>
  <c r="A22" i="13" s="1"/>
  <c r="A21" i="13" a="1"/>
  <c r="A21" i="13" s="1"/>
  <c r="A20" i="13" a="1"/>
  <c r="A20" i="13" s="1"/>
  <c r="A19" i="13" a="1"/>
  <c r="A19" i="13" s="1"/>
  <c r="A18" i="13" a="1"/>
  <c r="A18" i="13" s="1"/>
  <c r="A17" i="13" a="1"/>
  <c r="A17" i="13" s="1"/>
  <c r="A16" i="13" a="1"/>
  <c r="A16" i="13" s="1"/>
  <c r="A15" i="13" a="1"/>
  <c r="A15" i="13" s="1"/>
  <c r="A14" i="13" a="1"/>
  <c r="A14" i="13" s="1"/>
  <c r="A13" i="13" a="1"/>
  <c r="A13" i="13" s="1"/>
  <c r="A12" i="13" a="1"/>
  <c r="A12" i="13" s="1"/>
  <c r="A11" i="13" a="1"/>
  <c r="A11" i="13" s="1"/>
  <c r="A10" i="13" a="1"/>
  <c r="A10" i="13" s="1"/>
  <c r="A9" i="13" a="1"/>
  <c r="A9" i="13" s="1"/>
  <c r="A8" i="13" a="1"/>
  <c r="A8" i="13" s="1"/>
  <c r="A7" i="13" a="1"/>
  <c r="A7" i="13" s="1"/>
  <c r="A6" i="13" a="1"/>
  <c r="A6" i="13" s="1"/>
  <c r="A5" i="13" a="1"/>
  <c r="A5" i="13" s="1"/>
  <c r="A4" i="13" a="1"/>
  <c r="A4" i="13" s="1"/>
  <c r="A3" i="13" a="1"/>
  <c r="A3" i="13" s="1"/>
  <c r="A2" i="13" a="1"/>
  <c r="A2" i="13" s="1"/>
  <c r="A14" i="8"/>
  <c r="B14" i="8"/>
  <c r="E14" i="8" s="1"/>
  <c r="B11" i="8"/>
  <c r="A11" i="8"/>
  <c r="B8" i="8"/>
  <c r="A8" i="8"/>
  <c r="B5" i="8"/>
  <c r="A5" i="8"/>
  <c r="L2" i="4" a="1"/>
  <c r="L2" i="4"/>
  <c r="L975" i="4" a="1"/>
  <c r="L975" i="4" s="1"/>
  <c r="L3" i="4" a="1"/>
  <c r="L3" i="4"/>
  <c r="L4" i="4" a="1"/>
  <c r="L4" i="4" s="1"/>
  <c r="L5" i="4" a="1"/>
  <c r="L5" i="4"/>
  <c r="L6" i="4" a="1"/>
  <c r="L6" i="4" s="1"/>
  <c r="L7" i="4" a="1"/>
  <c r="L7" i="4"/>
  <c r="L8" i="4" a="1"/>
  <c r="L8" i="4" s="1"/>
  <c r="L9" i="4" a="1"/>
  <c r="L9" i="4" s="1"/>
  <c r="L10" i="4" a="1"/>
  <c r="L10" i="4" s="1"/>
  <c r="L11" i="4" a="1"/>
  <c r="L11" i="4" s="1"/>
  <c r="L12" i="4" a="1"/>
  <c r="L12" i="4" s="1"/>
  <c r="L13" i="4" a="1"/>
  <c r="L13" i="4"/>
  <c r="L14" i="4" a="1"/>
  <c r="L14" i="4"/>
  <c r="L15" i="4" a="1"/>
  <c r="L15" i="4"/>
  <c r="L16" i="4" a="1"/>
  <c r="L16" i="4"/>
  <c r="L17" i="4" a="1"/>
  <c r="L17" i="4" s="1"/>
  <c r="L18" i="4" a="1"/>
  <c r="L18" i="4" s="1"/>
  <c r="L19" i="4" a="1"/>
  <c r="L19" i="4"/>
  <c r="L20" i="4" a="1"/>
  <c r="L20" i="4" s="1"/>
  <c r="L21" i="4" a="1"/>
  <c r="L21" i="4" s="1"/>
  <c r="L22" i="4" a="1"/>
  <c r="L22" i="4" s="1"/>
  <c r="L23" i="4" a="1"/>
  <c r="L23" i="4"/>
  <c r="L24" i="4" a="1"/>
  <c r="L24" i="4" s="1"/>
  <c r="L25" i="4" a="1"/>
  <c r="L25" i="4"/>
  <c r="L26" i="4" a="1"/>
  <c r="L26" i="4"/>
  <c r="L27" i="4" a="1"/>
  <c r="L27" i="4"/>
  <c r="L28" i="4" a="1"/>
  <c r="L28" i="4"/>
  <c r="L29" i="4" a="1"/>
  <c r="L29" i="4"/>
  <c r="L30" i="4" a="1"/>
  <c r="L30" i="4" s="1"/>
  <c r="L31" i="4" a="1"/>
  <c r="L31" i="4"/>
  <c r="L32" i="4" a="1"/>
  <c r="L32" i="4" s="1"/>
  <c r="L33" i="4" a="1"/>
  <c r="L33" i="4" s="1"/>
  <c r="L34" i="4" a="1"/>
  <c r="L34" i="4" s="1"/>
  <c r="L35" i="4" a="1"/>
  <c r="L35" i="4" s="1"/>
  <c r="L36" i="4" a="1"/>
  <c r="L36" i="4" s="1"/>
  <c r="L37" i="4" a="1"/>
  <c r="L37" i="4"/>
  <c r="L38" i="4" a="1"/>
  <c r="L38" i="4"/>
  <c r="L39" i="4" a="1"/>
  <c r="L39" i="4"/>
  <c r="L40" i="4" a="1"/>
  <c r="L40" i="4"/>
  <c r="L41" i="4" a="1"/>
  <c r="L41" i="4"/>
  <c r="L42" i="4" a="1"/>
  <c r="L42" i="4" s="1"/>
  <c r="L43" i="4" a="1"/>
  <c r="L43" i="4"/>
  <c r="L44" i="4" a="1"/>
  <c r="L44" i="4" s="1"/>
  <c r="L45" i="4" a="1"/>
  <c r="L45" i="4" s="1"/>
  <c r="L46" i="4" a="1"/>
  <c r="L46" i="4" s="1"/>
  <c r="L47" i="4" a="1"/>
  <c r="L47" i="4" s="1"/>
  <c r="L48" i="4" a="1"/>
  <c r="L48" i="4" s="1"/>
  <c r="L49" i="4" a="1"/>
  <c r="L49" i="4"/>
  <c r="L50" i="4" a="1"/>
  <c r="L50" i="4"/>
  <c r="L51" i="4" a="1"/>
  <c r="L51" i="4"/>
  <c r="L52" i="4" a="1"/>
  <c r="L52" i="4"/>
  <c r="L53" i="4" a="1"/>
  <c r="L53" i="4"/>
  <c r="L54" i="4" a="1"/>
  <c r="L54" i="4" s="1"/>
  <c r="L55" i="4" a="1"/>
  <c r="L55" i="4"/>
  <c r="L56" i="4" a="1"/>
  <c r="L56" i="4" s="1"/>
  <c r="L57" i="4" a="1"/>
  <c r="L57" i="4" s="1"/>
  <c r="L58" i="4" a="1"/>
  <c r="L58" i="4" s="1"/>
  <c r="L59" i="4" a="1"/>
  <c r="L59" i="4" s="1"/>
  <c r="L60" i="4" a="1"/>
  <c r="L60" i="4" s="1"/>
  <c r="L61" i="4" a="1"/>
  <c r="L61" i="4"/>
  <c r="L62" i="4" a="1"/>
  <c r="L62" i="4"/>
  <c r="L63" i="4" a="1"/>
  <c r="L63" i="4"/>
  <c r="L64" i="4" a="1"/>
  <c r="L64" i="4"/>
  <c r="L65" i="4" a="1"/>
  <c r="L65" i="4"/>
  <c r="L66" i="4" a="1"/>
  <c r="L66" i="4" s="1"/>
  <c r="L67" i="4" a="1"/>
  <c r="L67" i="4"/>
  <c r="L68" i="4" a="1"/>
  <c r="L68" i="4" s="1"/>
  <c r="L69" i="4" a="1"/>
  <c r="L69" i="4"/>
  <c r="L70" i="4" a="1"/>
  <c r="L70" i="4" s="1"/>
  <c r="L71" i="4" a="1"/>
  <c r="L71" i="4" s="1"/>
  <c r="L72" i="4" a="1"/>
  <c r="L72" i="4" s="1"/>
  <c r="L73" i="4" a="1"/>
  <c r="L73" i="4"/>
  <c r="L74" i="4" a="1"/>
  <c r="L74" i="4"/>
  <c r="L75" i="4" a="1"/>
  <c r="L75" i="4"/>
  <c r="L76" i="4" a="1"/>
  <c r="L76" i="4" s="1"/>
  <c r="L77" i="4" a="1"/>
  <c r="L77" i="4"/>
  <c r="L78" i="4" a="1"/>
  <c r="L78" i="4" s="1"/>
  <c r="L79" i="4" a="1"/>
  <c r="L79" i="4" s="1"/>
  <c r="L80" i="4" a="1"/>
  <c r="L80" i="4" s="1"/>
  <c r="L81" i="4" a="1"/>
  <c r="L81" i="4" s="1"/>
  <c r="L82" i="4" a="1"/>
  <c r="L82" i="4" s="1"/>
  <c r="L83" i="4" a="1"/>
  <c r="L83" i="4" s="1"/>
  <c r="L84" i="4" a="1"/>
  <c r="L84" i="4" s="1"/>
  <c r="L85" i="4" a="1"/>
  <c r="L85" i="4"/>
  <c r="L86" i="4" a="1"/>
  <c r="L86" i="4"/>
  <c r="L87" i="4" a="1"/>
  <c r="L87" i="4"/>
  <c r="L88" i="4" a="1"/>
  <c r="L88" i="4"/>
  <c r="L89" i="4" a="1"/>
  <c r="L89" i="4" s="1"/>
  <c r="L90" i="4" a="1"/>
  <c r="L90" i="4" s="1"/>
  <c r="L91" i="4" a="1"/>
  <c r="L91" i="4" s="1"/>
  <c r="L92" i="4" a="1"/>
  <c r="L92" i="4" s="1"/>
  <c r="L93" i="4" a="1"/>
  <c r="L93" i="4" s="1"/>
  <c r="L94" i="4" a="1"/>
  <c r="L94" i="4" s="1"/>
  <c r="L95" i="4" a="1"/>
  <c r="L95" i="4"/>
  <c r="L96" i="4" a="1"/>
  <c r="L96" i="4" s="1"/>
  <c r="L97" i="4" a="1"/>
  <c r="L97" i="4"/>
  <c r="L98" i="4" a="1"/>
  <c r="L98" i="4"/>
  <c r="L99" i="4" a="1"/>
  <c r="L99" i="4"/>
  <c r="L100" i="4" a="1"/>
  <c r="L100" i="4"/>
  <c r="L101" i="4" a="1"/>
  <c r="L101" i="4"/>
  <c r="L102" i="4" a="1"/>
  <c r="L102" i="4" s="1"/>
  <c r="L103" i="4" a="1"/>
  <c r="L103" i="4" s="1"/>
  <c r="L104" i="4" a="1"/>
  <c r="L104" i="4" s="1"/>
  <c r="L105" i="4" a="1"/>
  <c r="L105" i="4" s="1"/>
  <c r="L106" i="4" a="1"/>
  <c r="L106" i="4" s="1"/>
  <c r="L107" i="4" a="1"/>
  <c r="L107" i="4" s="1"/>
  <c r="L108" i="4" a="1"/>
  <c r="L108" i="4" s="1"/>
  <c r="L109" i="4" a="1"/>
  <c r="L109" i="4"/>
  <c r="L110" i="4" a="1"/>
  <c r="L110" i="4"/>
  <c r="L111" i="4" a="1"/>
  <c r="L111" i="4"/>
  <c r="L112" i="4" a="1"/>
  <c r="L112" i="4"/>
  <c r="L113" i="4" a="1"/>
  <c r="L113" i="4"/>
  <c r="L114" i="4" a="1"/>
  <c r="L114" i="4" s="1"/>
  <c r="L115" i="4" a="1"/>
  <c r="L115" i="4" s="1"/>
  <c r="L116" i="4" a="1"/>
  <c r="L116" i="4" s="1"/>
  <c r="L117" i="4" a="1"/>
  <c r="L117" i="4" s="1"/>
  <c r="L118" i="4" a="1"/>
  <c r="L118" i="4" s="1"/>
  <c r="L119" i="4" a="1"/>
  <c r="L119" i="4" s="1"/>
  <c r="L120" i="4" a="1"/>
  <c r="L120" i="4" s="1"/>
  <c r="L121" i="4" a="1"/>
  <c r="L121" i="4"/>
  <c r="L122" i="4" a="1"/>
  <c r="L122" i="4"/>
  <c r="L123" i="4" a="1"/>
  <c r="L123" i="4"/>
  <c r="L124" i="4" a="1"/>
  <c r="L124" i="4"/>
  <c r="L125" i="4" a="1"/>
  <c r="L125" i="4"/>
  <c r="L126" i="4" a="1"/>
  <c r="L126" i="4" s="1"/>
  <c r="L127" i="4" a="1"/>
  <c r="L127" i="4" s="1"/>
  <c r="L128" i="4" a="1"/>
  <c r="L128" i="4" s="1"/>
  <c r="L129" i="4" a="1"/>
  <c r="L129" i="4" s="1"/>
  <c r="L130" i="4" a="1"/>
  <c r="L130" i="4" s="1"/>
  <c r="L131" i="4" a="1"/>
  <c r="L131" i="4" s="1"/>
  <c r="L132" i="4" a="1"/>
  <c r="L132" i="4" s="1"/>
  <c r="L133" i="4" a="1"/>
  <c r="L133" i="4"/>
  <c r="L134" i="4" a="1"/>
  <c r="L134" i="4"/>
  <c r="L135" i="4" a="1"/>
  <c r="L135" i="4"/>
  <c r="L136" i="4" a="1"/>
  <c r="L136" i="4"/>
  <c r="L137" i="4" a="1"/>
  <c r="L137" i="4"/>
  <c r="L138" i="4" a="1"/>
  <c r="L138" i="4" s="1"/>
  <c r="L139" i="4" a="1"/>
  <c r="L139" i="4" s="1"/>
  <c r="L140" i="4" a="1"/>
  <c r="L140" i="4" s="1"/>
  <c r="L141" i="4" a="1"/>
  <c r="L141" i="4" s="1"/>
  <c r="L142" i="4" a="1"/>
  <c r="L142" i="4" s="1"/>
  <c r="L143" i="4" a="1"/>
  <c r="L143" i="4" s="1"/>
  <c r="L144" i="4" a="1"/>
  <c r="L144" i="4" s="1"/>
  <c r="L145" i="4" a="1"/>
  <c r="L145" i="4"/>
  <c r="L146" i="4" a="1"/>
  <c r="L146" i="4"/>
  <c r="L147" i="4" a="1"/>
  <c r="L147" i="4"/>
  <c r="L148" i="4" a="1"/>
  <c r="L148" i="4"/>
  <c r="L149" i="4" a="1"/>
  <c r="L149" i="4"/>
  <c r="L150" i="4" a="1"/>
  <c r="L150" i="4" s="1"/>
  <c r="L151" i="4" a="1"/>
  <c r="L151" i="4" s="1"/>
  <c r="L152" i="4" a="1"/>
  <c r="L152" i="4" s="1"/>
  <c r="L153" i="4" a="1"/>
  <c r="L153" i="4" s="1"/>
  <c r="L154" i="4" a="1"/>
  <c r="L154" i="4" s="1"/>
  <c r="L155" i="4" a="1"/>
  <c r="L155" i="4" s="1"/>
  <c r="L156" i="4" a="1"/>
  <c r="L156" i="4" s="1"/>
  <c r="L157" i="4" a="1"/>
  <c r="L157" i="4"/>
  <c r="L158" i="4" a="1"/>
  <c r="L158" i="4"/>
  <c r="L159" i="4" a="1"/>
  <c r="L159" i="4"/>
  <c r="L160" i="4" a="1"/>
  <c r="L160" i="4"/>
  <c r="L161" i="4" a="1"/>
  <c r="L161" i="4" s="1"/>
  <c r="L162" i="4" a="1"/>
  <c r="L162" i="4" s="1"/>
  <c r="L163" i="4" a="1"/>
  <c r="L163" i="4" s="1"/>
  <c r="L164" i="4" a="1"/>
  <c r="L164" i="4" s="1"/>
  <c r="L165" i="4" a="1"/>
  <c r="L165" i="4" s="1"/>
  <c r="L166" i="4" a="1"/>
  <c r="L166" i="4" s="1"/>
  <c r="L167" i="4" a="1"/>
  <c r="L167" i="4" s="1"/>
  <c r="L168" i="4" a="1"/>
  <c r="L168" i="4" s="1"/>
  <c r="L169" i="4" a="1"/>
  <c r="L169" i="4"/>
  <c r="L170" i="4" a="1"/>
  <c r="L170" i="4"/>
  <c r="L171" i="4" a="1"/>
  <c r="L171" i="4"/>
  <c r="L172" i="4" a="1"/>
  <c r="L172" i="4"/>
  <c r="L173" i="4" a="1"/>
  <c r="L173" i="4"/>
  <c r="L174" i="4" a="1"/>
  <c r="L174" i="4" s="1"/>
  <c r="L175" i="4" a="1"/>
  <c r="L175" i="4" s="1"/>
  <c r="L176" i="4" a="1"/>
  <c r="L176" i="4" s="1"/>
  <c r="L177" i="4" a="1"/>
  <c r="L177" i="4" s="1"/>
  <c r="L178" i="4" a="1"/>
  <c r="L178" i="4" s="1"/>
  <c r="L179" i="4" a="1"/>
  <c r="L179" i="4" s="1"/>
  <c r="L180" i="4" a="1"/>
  <c r="L180" i="4" s="1"/>
  <c r="L181" i="4" a="1"/>
  <c r="L181" i="4" s="1"/>
  <c r="L182" i="4" a="1"/>
  <c r="L182" i="4"/>
  <c r="L183" i="4" a="1"/>
  <c r="L183" i="4"/>
  <c r="L184" i="4" a="1"/>
  <c r="L184" i="4"/>
  <c r="L185" i="4" a="1"/>
  <c r="L185" i="4"/>
  <c r="L186" i="4" a="1"/>
  <c r="L186" i="4" s="1"/>
  <c r="L187" i="4" a="1"/>
  <c r="L187" i="4"/>
  <c r="L188" i="4" a="1"/>
  <c r="L188" i="4" s="1"/>
  <c r="L189" i="4" a="1"/>
  <c r="L189" i="4" s="1"/>
  <c r="L190" i="4" a="1"/>
  <c r="L190" i="4" s="1"/>
  <c r="L191" i="4" a="1"/>
  <c r="L191" i="4" s="1"/>
  <c r="L192" i="4" a="1"/>
  <c r="L192" i="4" s="1"/>
  <c r="L193" i="4" a="1"/>
  <c r="L193" i="4"/>
  <c r="L194" i="4" a="1"/>
  <c r="L194" i="4"/>
  <c r="L195" i="4" a="1"/>
  <c r="L195" i="4"/>
  <c r="L196" i="4" a="1"/>
  <c r="L196" i="4"/>
  <c r="L197" i="4" a="1"/>
  <c r="L197" i="4"/>
  <c r="L198" i="4" a="1"/>
  <c r="L198" i="4" s="1"/>
  <c r="L199" i="4" a="1"/>
  <c r="L199" i="4" s="1"/>
  <c r="L200" i="4" a="1"/>
  <c r="L200" i="4"/>
  <c r="L201" i="4" a="1"/>
  <c r="L201" i="4" s="1"/>
  <c r="L202" i="4" a="1"/>
  <c r="L202" i="4" s="1"/>
  <c r="L203" i="4" a="1"/>
  <c r="L203" i="4" s="1"/>
  <c r="L204" i="4" a="1"/>
  <c r="L204" i="4" s="1"/>
  <c r="L205" i="4" a="1"/>
  <c r="L205" i="4"/>
  <c r="L206" i="4" a="1"/>
  <c r="L206" i="4"/>
  <c r="L207" i="4" a="1"/>
  <c r="L207" i="4" s="1"/>
  <c r="L208" i="4" a="1"/>
  <c r="L208" i="4"/>
  <c r="L209" i="4" a="1"/>
  <c r="L209" i="4"/>
  <c r="L210" i="4" a="1"/>
  <c r="L210" i="4" s="1"/>
  <c r="L211" i="4" a="1"/>
  <c r="L211" i="4" s="1"/>
  <c r="L212" i="4" a="1"/>
  <c r="L212" i="4" s="1"/>
  <c r="L213" i="4" a="1"/>
  <c r="L213" i="4" s="1"/>
  <c r="L214" i="4" a="1"/>
  <c r="L214" i="4" s="1"/>
  <c r="L215" i="4" a="1"/>
  <c r="L215" i="4" s="1"/>
  <c r="L216" i="4" a="1"/>
  <c r="L216" i="4" s="1"/>
  <c r="L217" i="4" a="1"/>
  <c r="L217" i="4"/>
  <c r="L218" i="4" a="1"/>
  <c r="L218" i="4"/>
  <c r="L219" i="4" a="1"/>
  <c r="L219" i="4"/>
  <c r="L220" i="4" a="1"/>
  <c r="L220" i="4" s="1"/>
  <c r="L221" i="4" a="1"/>
  <c r="L221" i="4"/>
  <c r="L222" i="4" a="1"/>
  <c r="L222" i="4" s="1"/>
  <c r="L223" i="4" a="1"/>
  <c r="L223" i="4" s="1"/>
  <c r="L224" i="4" a="1"/>
  <c r="L224" i="4" s="1"/>
  <c r="L225" i="4" a="1"/>
  <c r="L225" i="4" s="1"/>
  <c r="L226" i="4" a="1"/>
  <c r="L226" i="4"/>
  <c r="L227" i="4" a="1"/>
  <c r="L227" i="4" s="1"/>
  <c r="L228" i="4" a="1"/>
  <c r="L228" i="4" s="1"/>
  <c r="L229" i="4" a="1"/>
  <c r="L229" i="4" s="1"/>
  <c r="L230" i="4" a="1"/>
  <c r="L230" i="4"/>
  <c r="L231" i="4" a="1"/>
  <c r="L231" i="4"/>
  <c r="L232" i="4" a="1"/>
  <c r="L232" i="4"/>
  <c r="L233" i="4" a="1"/>
  <c r="L233" i="4" s="1"/>
  <c r="L234" i="4" a="1"/>
  <c r="L234" i="4" s="1"/>
  <c r="L235" i="4" a="1"/>
  <c r="L235" i="4" s="1"/>
  <c r="L236" i="4" a="1"/>
  <c r="L236" i="4" s="1"/>
  <c r="L237" i="4" a="1"/>
  <c r="L237" i="4" s="1"/>
  <c r="L238" i="4" a="1"/>
  <c r="L238" i="4" s="1"/>
  <c r="L239" i="4" a="1"/>
  <c r="L239" i="4" s="1"/>
  <c r="L240" i="4" a="1"/>
  <c r="L240" i="4" s="1"/>
  <c r="L241" i="4" a="1"/>
  <c r="L241" i="4"/>
  <c r="L242" i="4" a="1"/>
  <c r="L242" i="4" s="1"/>
  <c r="L243" i="4" a="1"/>
  <c r="L243" i="4"/>
  <c r="L244" i="4" a="1"/>
  <c r="L244" i="4"/>
  <c r="L245" i="4" a="1"/>
  <c r="L245" i="4"/>
  <c r="L246" i="4" a="1"/>
  <c r="L246" i="4" s="1"/>
  <c r="L247" i="4" a="1"/>
  <c r="L247" i="4" s="1"/>
  <c r="L248" i="4" a="1"/>
  <c r="L248" i="4" s="1"/>
  <c r="L249" i="4" a="1"/>
  <c r="L249" i="4" s="1"/>
  <c r="L250" i="4" a="1"/>
  <c r="L250" i="4" s="1"/>
  <c r="L251" i="4" a="1"/>
  <c r="L251" i="4" s="1"/>
  <c r="L252" i="4" a="1"/>
  <c r="L252" i="4" s="1"/>
  <c r="L253" i="4" a="1"/>
  <c r="L253" i="4" s="1"/>
  <c r="L254" i="4" a="1"/>
  <c r="L254" i="4"/>
  <c r="L255" i="4" a="1"/>
  <c r="L255" i="4" s="1"/>
  <c r="L256" i="4" a="1"/>
  <c r="L256" i="4"/>
  <c r="L257" i="4" a="1"/>
  <c r="L257" i="4"/>
  <c r="L258" i="4" a="1"/>
  <c r="L258" i="4" s="1"/>
  <c r="L259" i="4" a="1"/>
  <c r="L259" i="4" s="1"/>
  <c r="L260" i="4" a="1"/>
  <c r="L260" i="4" s="1"/>
  <c r="L261" i="4" a="1"/>
  <c r="L261" i="4" s="1"/>
  <c r="L262" i="4" a="1"/>
  <c r="L262" i="4"/>
  <c r="L263" i="4" a="1"/>
  <c r="L263" i="4" s="1"/>
  <c r="L264" i="4" a="1"/>
  <c r="L264" i="4" s="1"/>
  <c r="L265" i="4" a="1"/>
  <c r="L265" i="4"/>
  <c r="L266" i="4" a="1"/>
  <c r="L266" i="4"/>
  <c r="L267" i="4" a="1"/>
  <c r="L267" i="4"/>
  <c r="L268" i="4" a="1"/>
  <c r="L268" i="4" s="1"/>
  <c r="L269" i="4" a="1"/>
  <c r="L269" i="4"/>
  <c r="L270" i="4" a="1"/>
  <c r="L270" i="4" s="1"/>
  <c r="L271" i="4" a="1"/>
  <c r="L271" i="4" s="1"/>
  <c r="L272" i="4" a="1"/>
  <c r="L272" i="4" s="1"/>
  <c r="L273" i="4" a="1"/>
  <c r="L273" i="4" s="1"/>
  <c r="L274" i="4" a="1"/>
  <c r="L274" i="4" s="1"/>
  <c r="L275" i="4" a="1"/>
  <c r="L275" i="4"/>
  <c r="L276" i="4" a="1"/>
  <c r="L276" i="4" s="1"/>
  <c r="L277" i="4" a="1"/>
  <c r="L277" i="4"/>
  <c r="L278" i="4" a="1"/>
  <c r="L278" i="4"/>
  <c r="L279" i="4" a="1"/>
  <c r="L279" i="4" s="1"/>
  <c r="L280" i="4" a="1"/>
  <c r="L280" i="4"/>
  <c r="L281" i="4" a="1"/>
  <c r="L281" i="4" s="1"/>
  <c r="L282" i="4" a="1"/>
  <c r="L282" i="4" s="1"/>
  <c r="L283" i="4" a="1"/>
  <c r="L283" i="4" s="1"/>
  <c r="L284" i="4" a="1"/>
  <c r="L284" i="4" s="1"/>
  <c r="L285" i="4" a="1"/>
  <c r="L285" i="4" s="1"/>
  <c r="L286" i="4" a="1"/>
  <c r="L286" i="4" s="1"/>
  <c r="L287" i="4" a="1"/>
  <c r="L287" i="4" s="1"/>
  <c r="L288" i="4" a="1"/>
  <c r="L288" i="4" s="1"/>
  <c r="L289" i="4" a="1"/>
  <c r="L289" i="4"/>
  <c r="L290" i="4" a="1"/>
  <c r="L290" i="4"/>
  <c r="L291" i="4" a="1"/>
  <c r="L291" i="4"/>
  <c r="L292" i="4" a="1"/>
  <c r="L292" i="4"/>
  <c r="L293" i="4" a="1"/>
  <c r="L293" i="4"/>
  <c r="L294" i="4" a="1"/>
  <c r="L294" i="4" s="1"/>
  <c r="L295" i="4" a="1"/>
  <c r="L295" i="4"/>
  <c r="L296" i="4" a="1"/>
  <c r="L296" i="4" s="1"/>
  <c r="L297" i="4" a="1"/>
  <c r="L297" i="4" s="1"/>
  <c r="L298" i="4" a="1"/>
  <c r="L298" i="4"/>
  <c r="L299" i="4" a="1"/>
  <c r="L299" i="4" s="1"/>
  <c r="L300" i="4" a="1"/>
  <c r="L300" i="4" s="1"/>
  <c r="L301" i="4" a="1"/>
  <c r="L301" i="4" s="1"/>
  <c r="L302" i="4" a="1"/>
  <c r="L302" i="4"/>
  <c r="L303" i="4" a="1"/>
  <c r="L303" i="4"/>
  <c r="L304" i="4" a="1"/>
  <c r="L304" i="4"/>
  <c r="L305" i="4" a="1"/>
  <c r="L305" i="4" s="1"/>
  <c r="L306" i="4" a="1"/>
  <c r="L306" i="4" s="1"/>
  <c r="L307" i="4" a="1"/>
  <c r="L307" i="4" s="1"/>
  <c r="L308" i="4" a="1"/>
  <c r="L308" i="4"/>
  <c r="L309" i="4" a="1"/>
  <c r="L309" i="4" s="1"/>
  <c r="L310" i="4" a="1"/>
  <c r="L310" i="4" s="1"/>
  <c r="L311" i="4" a="1"/>
  <c r="L311" i="4"/>
  <c r="L312" i="4" a="1"/>
  <c r="L312" i="4" s="1"/>
  <c r="L313" i="4" a="1"/>
  <c r="L313" i="4"/>
  <c r="L314" i="4" a="1"/>
  <c r="L314" i="4" s="1"/>
  <c r="L315" i="4" a="1"/>
  <c r="L315" i="4"/>
  <c r="L316" i="4" a="1"/>
  <c r="L316" i="4"/>
  <c r="L317" i="4" a="1"/>
  <c r="L317" i="4"/>
  <c r="L318" i="4" a="1"/>
  <c r="L318" i="4" s="1"/>
  <c r="L319" i="4" a="1"/>
  <c r="L319" i="4" s="1"/>
  <c r="L320" i="4" a="1"/>
  <c r="L320" i="4" s="1"/>
  <c r="L321" i="4" a="1"/>
  <c r="L321" i="4" s="1"/>
  <c r="L322" i="4" a="1"/>
  <c r="L322" i="4" s="1"/>
  <c r="L323" i="4" a="1"/>
  <c r="L323" i="4" s="1"/>
  <c r="L324" i="4" a="1"/>
  <c r="L324" i="4" s="1"/>
  <c r="L325" i="4" a="1"/>
  <c r="L325" i="4" s="1"/>
  <c r="L326" i="4" a="1"/>
  <c r="L326" i="4" s="1"/>
  <c r="L327" i="4" a="1"/>
  <c r="L327" i="4" s="1"/>
  <c r="L328" i="4" a="1"/>
  <c r="L328" i="4"/>
  <c r="L329" i="4" a="1"/>
  <c r="L329" i="4"/>
  <c r="L330" i="4" a="1"/>
  <c r="L330" i="4" s="1"/>
  <c r="L331" i="4" a="1"/>
  <c r="L331" i="4" s="1"/>
  <c r="L332" i="4" a="1"/>
  <c r="L332" i="4" s="1"/>
  <c r="L333" i="4" a="1"/>
  <c r="L333" i="4" s="1"/>
  <c r="L334" i="4" a="1"/>
  <c r="L334" i="4" s="1"/>
  <c r="L335" i="4" a="1"/>
  <c r="L335" i="4" s="1"/>
  <c r="L336" i="4" a="1"/>
  <c r="L336" i="4" s="1"/>
  <c r="L337" i="4" a="1"/>
  <c r="L337" i="4"/>
  <c r="L338" i="4" a="1"/>
  <c r="L338" i="4" s="1"/>
  <c r="L339" i="4" a="1"/>
  <c r="L339" i="4"/>
  <c r="L340" i="4" a="1"/>
  <c r="L340" i="4" s="1"/>
  <c r="L341" i="4" a="1"/>
  <c r="L341" i="4"/>
  <c r="L342" i="4" a="1"/>
  <c r="L342" i="4" s="1"/>
  <c r="L343" i="4" a="1"/>
  <c r="L343" i="4" s="1"/>
  <c r="L344" i="4" a="1"/>
  <c r="L344" i="4" s="1"/>
  <c r="L345" i="4" a="1"/>
  <c r="L345" i="4" s="1"/>
  <c r="L346" i="4" a="1"/>
  <c r="L346" i="4" s="1"/>
  <c r="L347" i="4" a="1"/>
  <c r="L347" i="4" s="1"/>
  <c r="L348" i="4" a="1"/>
  <c r="L348" i="4" s="1"/>
  <c r="L349" i="4" a="1"/>
  <c r="L349" i="4"/>
  <c r="L350" i="4" a="1"/>
  <c r="L350" i="4"/>
  <c r="L351" i="4" a="1"/>
  <c r="L351" i="4"/>
  <c r="L352" i="4" a="1"/>
  <c r="L352" i="4"/>
  <c r="L353" i="4" a="1"/>
  <c r="L353" i="4" s="1"/>
  <c r="L354" i="4" a="1"/>
  <c r="L354" i="4" s="1"/>
  <c r="L355" i="4" a="1"/>
  <c r="L355" i="4" s="1"/>
  <c r="L356" i="4" a="1"/>
  <c r="L356" i="4" s="1"/>
  <c r="L357" i="4" a="1"/>
  <c r="L357" i="4" s="1"/>
  <c r="L358" i="4" a="1"/>
  <c r="L358" i="4" s="1"/>
  <c r="L359" i="4" a="1"/>
  <c r="L359" i="4" s="1"/>
  <c r="L360" i="4" a="1"/>
  <c r="L360" i="4" s="1"/>
  <c r="L361" i="4" a="1"/>
  <c r="L361" i="4"/>
  <c r="L362" i="4" a="1"/>
  <c r="L362" i="4"/>
  <c r="L363" i="4" a="1"/>
  <c r="L363" i="4"/>
  <c r="L364" i="4" a="1"/>
  <c r="L364" i="4"/>
  <c r="L365" i="4" a="1"/>
  <c r="L365" i="4"/>
  <c r="L366" i="4" a="1"/>
  <c r="L366" i="4" s="1"/>
  <c r="L367" i="4" a="1"/>
  <c r="L367" i="4" s="1"/>
  <c r="L368" i="4" a="1"/>
  <c r="L368" i="4" s="1"/>
  <c r="L369" i="4" a="1"/>
  <c r="L369" i="4"/>
  <c r="L370" i="4" a="1"/>
  <c r="L370" i="4" s="1"/>
  <c r="L371" i="4" a="1"/>
  <c r="L371" i="4"/>
  <c r="L372" i="4" a="1"/>
  <c r="L372" i="4" s="1"/>
  <c r="L373" i="4" a="1"/>
  <c r="L373" i="4" s="1"/>
  <c r="L374" i="4" a="1"/>
  <c r="L374" i="4"/>
  <c r="L375" i="4" a="1"/>
  <c r="L375" i="4" s="1"/>
  <c r="L376" i="4" a="1"/>
  <c r="L376" i="4"/>
  <c r="L377" i="4" a="1"/>
  <c r="L377" i="4" s="1"/>
  <c r="L378" i="4" a="1"/>
  <c r="L378" i="4" s="1"/>
  <c r="L379" i="4" a="1"/>
  <c r="L379" i="4" s="1"/>
  <c r="L380" i="4" a="1"/>
  <c r="L380" i="4" s="1"/>
  <c r="L381" i="4" a="1"/>
  <c r="L381" i="4"/>
  <c r="L382" i="4" a="1"/>
  <c r="L382" i="4"/>
  <c r="L383" i="4" a="1"/>
  <c r="L383" i="4" s="1"/>
  <c r="L384" i="4" a="1"/>
  <c r="L384" i="4" s="1"/>
  <c r="L385" i="4" a="1"/>
  <c r="L385" i="4" s="1"/>
  <c r="L386" i="4" a="1"/>
  <c r="L386" i="4" s="1"/>
  <c r="L387" i="4" a="1"/>
  <c r="L387" i="4"/>
  <c r="L388" i="4" a="1"/>
  <c r="L388" i="4"/>
  <c r="L389" i="4" a="1"/>
  <c r="L389" i="4"/>
  <c r="L390" i="4" a="1"/>
  <c r="L390" i="4" s="1"/>
  <c r="L391" i="4" a="1"/>
  <c r="L391" i="4"/>
  <c r="L392" i="4" a="1"/>
  <c r="L392" i="4" s="1"/>
  <c r="L393" i="4" a="1"/>
  <c r="L393" i="4" s="1"/>
  <c r="L394" i="4" a="1"/>
  <c r="L394" i="4"/>
  <c r="L395" i="4" a="1"/>
  <c r="L395" i="4"/>
  <c r="L396" i="4" a="1"/>
  <c r="L396" i="4" s="1"/>
  <c r="L397" i="4" a="1"/>
  <c r="L397" i="4"/>
  <c r="L398" i="4" a="1"/>
  <c r="L398" i="4" s="1"/>
  <c r="L399" i="4" a="1"/>
  <c r="L399" i="4" s="1"/>
  <c r="L400" i="4" a="1"/>
  <c r="L400" i="4"/>
  <c r="L401" i="4" a="1"/>
  <c r="L401" i="4"/>
  <c r="L402" i="4" a="1"/>
  <c r="L402" i="4" s="1"/>
  <c r="L403" i="4" a="1"/>
  <c r="L403" i="4"/>
  <c r="L404" i="4" a="1"/>
  <c r="L404" i="4" s="1"/>
  <c r="L405" i="4" a="1"/>
  <c r="L405" i="4" s="1"/>
  <c r="L406" i="4" a="1"/>
  <c r="L406" i="4" s="1"/>
  <c r="L407" i="4" a="1"/>
  <c r="L407" i="4"/>
  <c r="L408" i="4" a="1"/>
  <c r="L408" i="4" s="1"/>
  <c r="L409" i="4" a="1"/>
  <c r="L409" i="4"/>
  <c r="L410" i="4" a="1"/>
  <c r="L410" i="4"/>
  <c r="L411" i="4" a="1"/>
  <c r="L411" i="4" s="1"/>
  <c r="L412" i="4" a="1"/>
  <c r="L412" i="4" s="1"/>
  <c r="L413" i="4" a="1"/>
  <c r="L413" i="4"/>
  <c r="L414" i="4" a="1"/>
  <c r="L414" i="4" s="1"/>
  <c r="L415" i="4" a="1"/>
  <c r="L415" i="4" s="1"/>
  <c r="L416" i="4" a="1"/>
  <c r="L416" i="4"/>
  <c r="L417" i="4" a="1"/>
  <c r="L417" i="4"/>
  <c r="L418" i="4" a="1"/>
  <c r="L418" i="4" s="1"/>
  <c r="L419" i="4" a="1"/>
  <c r="L419" i="4" s="1"/>
  <c r="L420" i="4" a="1"/>
  <c r="L420" i="4" s="1"/>
  <c r="L421" i="4" a="1"/>
  <c r="L421" i="4" s="1"/>
  <c r="L422" i="4" a="1"/>
  <c r="L422" i="4"/>
  <c r="L423" i="4" a="1"/>
  <c r="L423" i="4" s="1"/>
  <c r="L424" i="4" a="1"/>
  <c r="L424" i="4" s="1"/>
  <c r="L425" i="4" a="1"/>
  <c r="L425" i="4" s="1"/>
  <c r="L426" i="4" a="1"/>
  <c r="L426" i="4" s="1"/>
  <c r="L427" i="4" a="1"/>
  <c r="L427" i="4" s="1"/>
  <c r="L428" i="4" a="1"/>
  <c r="L428" i="4" s="1"/>
  <c r="L429" i="4" a="1"/>
  <c r="L429" i="4"/>
  <c r="L430" i="4" a="1"/>
  <c r="L430" i="4" s="1"/>
  <c r="L431" i="4" a="1"/>
  <c r="L431" i="4" s="1"/>
  <c r="L432" i="4" a="1"/>
  <c r="L432" i="4" s="1"/>
  <c r="L433" i="4" a="1"/>
  <c r="L433" i="4"/>
  <c r="L434" i="4" a="1"/>
  <c r="L434" i="4" s="1"/>
  <c r="L435" i="4" a="1"/>
  <c r="L435" i="4" s="1"/>
  <c r="L436" i="4" a="1"/>
  <c r="L436" i="4"/>
  <c r="L437" i="4" a="1"/>
  <c r="L437" i="4" s="1"/>
  <c r="L438" i="4" a="1"/>
  <c r="L438" i="4" s="1"/>
  <c r="L439" i="4" a="1"/>
  <c r="L439" i="4" s="1"/>
  <c r="L440" i="4" a="1"/>
  <c r="L440" i="4"/>
  <c r="L441" i="4" a="1"/>
  <c r="L441" i="4" s="1"/>
  <c r="L442" i="4" a="1"/>
  <c r="L442" i="4" s="1"/>
  <c r="L443" i="4" a="1"/>
  <c r="L443" i="4"/>
  <c r="L444" i="4" a="1"/>
  <c r="L444" i="4" s="1"/>
  <c r="L445" i="4" a="1"/>
  <c r="L445" i="4" s="1"/>
  <c r="L446" i="4" a="1"/>
  <c r="L446" i="4"/>
  <c r="L447" i="4" a="1"/>
  <c r="L447" i="4"/>
  <c r="L448" i="4" a="1"/>
  <c r="L448" i="4" s="1"/>
  <c r="L449" i="4" a="1"/>
  <c r="L449" i="4" s="1"/>
  <c r="L450" i="4" a="1"/>
  <c r="L450" i="4" s="1"/>
  <c r="L451" i="4" a="1"/>
  <c r="L451" i="4" s="1"/>
  <c r="L452" i="4" a="1"/>
  <c r="L452" i="4" s="1"/>
  <c r="L453" i="4" a="1"/>
  <c r="L453" i="4"/>
  <c r="L454" i="4" a="1"/>
  <c r="L454" i="4"/>
  <c r="L455" i="4" a="1"/>
  <c r="L455" i="4" s="1"/>
  <c r="L456" i="4" a="1"/>
  <c r="L456" i="4" s="1"/>
  <c r="L457" i="4" a="1"/>
  <c r="L457" i="4" s="1"/>
  <c r="L458" i="4" a="1"/>
  <c r="L458" i="4" s="1"/>
  <c r="L459" i="4" a="1"/>
  <c r="L459" i="4"/>
  <c r="L460" i="4" a="1"/>
  <c r="L460" i="4"/>
  <c r="L461" i="4" a="1"/>
  <c r="L461" i="4"/>
  <c r="L462" i="4" a="1"/>
  <c r="L462" i="4" s="1"/>
  <c r="L463" i="4" a="1"/>
  <c r="L463" i="4" s="1"/>
  <c r="L464" i="4" a="1"/>
  <c r="L464" i="4" s="1"/>
  <c r="L465" i="4" a="1"/>
  <c r="L465" i="4" s="1"/>
  <c r="L466" i="4" a="1"/>
  <c r="L466" i="4"/>
  <c r="L467" i="4" a="1"/>
  <c r="L467" i="4" s="1"/>
  <c r="L468" i="4" a="1"/>
  <c r="L468" i="4" s="1"/>
  <c r="L469" i="4" a="1"/>
  <c r="L469" i="4"/>
  <c r="L470" i="4" a="1"/>
  <c r="L470" i="4" s="1"/>
  <c r="L471" i="4" a="1"/>
  <c r="L471" i="4" s="1"/>
  <c r="L472" i="4" a="1"/>
  <c r="L472" i="4"/>
  <c r="L473" i="4" a="1"/>
  <c r="L473" i="4" s="1"/>
  <c r="L474" i="4" a="1"/>
  <c r="L474" i="4" s="1"/>
  <c r="L475" i="4" a="1"/>
  <c r="L475" i="4"/>
  <c r="L476" i="4" a="1"/>
  <c r="L476" i="4"/>
  <c r="L477" i="4" a="1"/>
  <c r="L477" i="4" s="1"/>
  <c r="L478" i="4" a="1"/>
  <c r="L478" i="4" s="1"/>
  <c r="L479" i="4" a="1"/>
  <c r="L479" i="4"/>
  <c r="L480" i="4" a="1"/>
  <c r="L480" i="4" s="1"/>
  <c r="L481" i="4" a="1"/>
  <c r="L481" i="4" s="1"/>
  <c r="L482" i="4" a="1"/>
  <c r="L482" i="4" s="1"/>
  <c r="L483" i="4" a="1"/>
  <c r="L483" i="4" s="1"/>
  <c r="L484" i="4" a="1"/>
  <c r="L484" i="4" s="1"/>
  <c r="L485" i="4" a="1"/>
  <c r="L485" i="4"/>
  <c r="L486" i="4" a="1"/>
  <c r="L486" i="4" s="1"/>
  <c r="L487" i="4" a="1"/>
  <c r="L487" i="4" s="1"/>
  <c r="L488" i="4" a="1"/>
  <c r="L488" i="4" s="1"/>
  <c r="L489" i="4" a="1"/>
  <c r="L489" i="4" s="1"/>
  <c r="L490" i="4" a="1"/>
  <c r="L490" i="4" s="1"/>
  <c r="L491" i="4" a="1"/>
  <c r="L491" i="4" s="1"/>
  <c r="L492" i="4" a="1"/>
  <c r="L492" i="4" s="1"/>
  <c r="L493" i="4" a="1"/>
  <c r="L493" i="4" s="1"/>
  <c r="L494" i="4" a="1"/>
  <c r="L494" i="4"/>
  <c r="L495" i="4" a="1"/>
  <c r="L495" i="4"/>
  <c r="L496" i="4" a="1"/>
  <c r="L496" i="4" s="1"/>
  <c r="L497" i="4" a="1"/>
  <c r="L497" i="4" s="1"/>
  <c r="L498" i="4" a="1"/>
  <c r="L498" i="4" s="1"/>
  <c r="L499" i="4" a="1"/>
  <c r="L499" i="4"/>
  <c r="L500" i="4" a="1"/>
  <c r="L500" i="4" s="1"/>
  <c r="L501" i="4" a="1"/>
  <c r="L501" i="4"/>
  <c r="L502" i="4" a="1"/>
  <c r="L502" i="4"/>
  <c r="L503" i="4" a="1"/>
  <c r="L503" i="4" s="1"/>
  <c r="L504" i="4" a="1"/>
  <c r="L504" i="4" s="1"/>
  <c r="L505" i="4" a="1"/>
  <c r="L505" i="4"/>
  <c r="L506" i="4" a="1"/>
  <c r="L506" i="4"/>
  <c r="L507" i="4" a="1"/>
  <c r="L507" i="4" s="1"/>
  <c r="L508" i="4" a="1"/>
  <c r="L508" i="4" s="1"/>
  <c r="L509" i="4" a="1"/>
  <c r="L509" i="4"/>
  <c r="L510" i="4" a="1"/>
  <c r="L510" i="4" s="1"/>
  <c r="L511" i="4" a="1"/>
  <c r="L511" i="4" s="1"/>
  <c r="L512" i="4" a="1"/>
  <c r="L512" i="4"/>
  <c r="L513" i="4" a="1"/>
  <c r="L513" i="4"/>
  <c r="L514" i="4" a="1"/>
  <c r="L514" i="4" s="1"/>
  <c r="L515" i="4" a="1"/>
  <c r="L515" i="4" s="1"/>
  <c r="L516" i="4" a="1"/>
  <c r="L516" i="4" s="1"/>
  <c r="L517" i="4" a="1"/>
  <c r="L517" i="4" s="1"/>
  <c r="L518" i="4" a="1"/>
  <c r="L518" i="4" s="1"/>
  <c r="L519" i="4" a="1"/>
  <c r="L519" i="4"/>
  <c r="L520" i="4" a="1"/>
  <c r="L520" i="4"/>
  <c r="L521" i="4" a="1"/>
  <c r="L521" i="4" s="1"/>
  <c r="L522" i="4" a="1"/>
  <c r="L522" i="4" s="1"/>
  <c r="L523" i="4" a="1"/>
  <c r="L523" i="4" s="1"/>
  <c r="L524" i="4" a="1"/>
  <c r="L524" i="4"/>
  <c r="L525" i="4" a="1"/>
  <c r="L525" i="4" s="1"/>
  <c r="L526" i="4" a="1"/>
  <c r="L526" i="4"/>
  <c r="L527" i="4" a="1"/>
  <c r="L527" i="4"/>
  <c r="L528" i="4" a="1"/>
  <c r="L528" i="4" s="1"/>
  <c r="L529" i="4" a="1"/>
  <c r="L529" i="4" s="1"/>
  <c r="L530" i="4" a="1"/>
  <c r="L530" i="4" s="1"/>
  <c r="L531" i="4" a="1"/>
  <c r="L531" i="4"/>
  <c r="L532" i="4" a="1"/>
  <c r="L532" i="4" s="1"/>
  <c r="L533" i="4" a="1"/>
  <c r="L533" i="4"/>
  <c r="L534" i="4" a="1"/>
  <c r="L534" i="4" s="1"/>
  <c r="L535" i="4" a="1"/>
  <c r="L535" i="4" s="1"/>
  <c r="L536" i="4" a="1"/>
  <c r="L536" i="4" s="1"/>
  <c r="L537" i="4" a="1"/>
  <c r="L537" i="4" s="1"/>
  <c r="L538" i="4" a="1"/>
  <c r="L538" i="4"/>
  <c r="L539" i="4" a="1"/>
  <c r="L539" i="4" s="1"/>
  <c r="L540" i="4" a="1"/>
  <c r="L540" i="4" s="1"/>
  <c r="L541" i="4" a="1"/>
  <c r="L541" i="4" s="1"/>
  <c r="L542" i="4" a="1"/>
  <c r="L542" i="4"/>
  <c r="L543" i="4" a="1"/>
  <c r="L543" i="4" s="1"/>
  <c r="L544" i="4" a="1"/>
  <c r="L544" i="4" s="1"/>
  <c r="L545" i="4" a="1"/>
  <c r="L545" i="4"/>
  <c r="L546" i="4" a="1"/>
  <c r="L546" i="4" s="1"/>
  <c r="L547" i="4" a="1"/>
  <c r="L547" i="4" s="1"/>
  <c r="L548" i="4" a="1"/>
  <c r="L548" i="4"/>
  <c r="L549" i="4" a="1"/>
  <c r="L549" i="4"/>
  <c r="L550" i="4" a="1"/>
  <c r="L550" i="4" s="1"/>
  <c r="L551" i="4" a="1"/>
  <c r="L551" i="4" s="1"/>
  <c r="L552" i="4" a="1"/>
  <c r="L552" i="4" s="1"/>
  <c r="L553" i="4" a="1"/>
  <c r="L553" i="4" s="1"/>
  <c r="L554" i="4" a="1"/>
  <c r="L554" i="4" s="1"/>
  <c r="L555" i="4" a="1"/>
  <c r="L555" i="4"/>
  <c r="L556" i="4" a="1"/>
  <c r="L556" i="4"/>
  <c r="L557" i="4" a="1"/>
  <c r="L557" i="4" s="1"/>
  <c r="L558" i="4" a="1"/>
  <c r="L558" i="4" s="1"/>
  <c r="L559" i="4" a="1"/>
  <c r="L559" i="4" s="1"/>
  <c r="L560" i="4" a="1"/>
  <c r="L560" i="4"/>
  <c r="L561" i="4" a="1"/>
  <c r="L561" i="4" s="1"/>
  <c r="L562" i="4" a="1"/>
  <c r="L562" i="4"/>
  <c r="L563" i="4" a="1"/>
  <c r="L563" i="4"/>
  <c r="L564" i="4" a="1"/>
  <c r="L564" i="4" s="1"/>
  <c r="L565" i="4" a="1"/>
  <c r="L565" i="4" s="1"/>
  <c r="L566" i="4" a="1"/>
  <c r="L566" i="4" s="1"/>
  <c r="L567" i="4" a="1"/>
  <c r="L567" i="4"/>
  <c r="L568" i="4" a="1"/>
  <c r="L568" i="4" s="1"/>
  <c r="L569" i="4" a="1"/>
  <c r="L569" i="4"/>
  <c r="L570" i="4" a="1"/>
  <c r="L570" i="4" s="1"/>
  <c r="L571" i="4" a="1"/>
  <c r="L571" i="4" s="1"/>
  <c r="L572" i="4" a="1"/>
  <c r="L572" i="4" s="1"/>
  <c r="L573" i="4" a="1"/>
  <c r="L573" i="4" s="1"/>
  <c r="L574" i="4" a="1"/>
  <c r="L574" i="4"/>
  <c r="L575" i="4" a="1"/>
  <c r="L575" i="4" s="1"/>
  <c r="L576" i="4" a="1"/>
  <c r="L576" i="4" s="1"/>
  <c r="L577" i="4" a="1"/>
  <c r="L577" i="4" s="1"/>
  <c r="L578" i="4" a="1"/>
  <c r="L578" i="4"/>
  <c r="L579" i="4" a="1"/>
  <c r="L579" i="4" s="1"/>
  <c r="L580" i="4" a="1"/>
  <c r="L580" i="4" s="1"/>
  <c r="L581" i="4" a="1"/>
  <c r="L581" i="4"/>
  <c r="L582" i="4" a="1"/>
  <c r="L582" i="4" s="1"/>
  <c r="L583" i="4" a="1"/>
  <c r="L583" i="4" s="1"/>
  <c r="L584" i="4" a="1"/>
  <c r="L584" i="4" s="1"/>
  <c r="L585" i="4" a="1"/>
  <c r="L585" i="4" s="1"/>
  <c r="L586" i="4" a="1"/>
  <c r="L586" i="4" s="1"/>
  <c r="L587" i="4" a="1"/>
  <c r="L587" i="4" s="1"/>
  <c r="L588" i="4" a="1"/>
  <c r="L588" i="4" s="1"/>
  <c r="L589" i="4" a="1"/>
  <c r="L589" i="4" s="1"/>
  <c r="L590" i="4" a="1"/>
  <c r="L590" i="4" s="1"/>
  <c r="L591" i="4" a="1"/>
  <c r="L591" i="4" s="1"/>
  <c r="L592" i="4" a="1"/>
  <c r="L592" i="4" s="1"/>
  <c r="L593" i="4" a="1"/>
  <c r="L593" i="4" s="1"/>
  <c r="L594" i="4" a="1"/>
  <c r="L594" i="4" s="1"/>
  <c r="L595" i="4" a="1"/>
  <c r="L595" i="4" s="1"/>
  <c r="L596" i="4" a="1"/>
  <c r="L596" i="4"/>
  <c r="L597" i="4" a="1"/>
  <c r="L597" i="4" s="1"/>
  <c r="L598" i="4" a="1"/>
  <c r="L598" i="4" s="1"/>
  <c r="L599" i="4" a="1"/>
  <c r="L599" i="4" s="1"/>
  <c r="L600" i="4" a="1"/>
  <c r="L600" i="4" s="1"/>
  <c r="L601" i="4" a="1"/>
  <c r="L601" i="4" s="1"/>
  <c r="L602" i="4" a="1"/>
  <c r="L602" i="4" s="1"/>
  <c r="L603" i="4" a="1"/>
  <c r="L603" i="4"/>
  <c r="L604" i="4" a="1"/>
  <c r="L604" i="4" s="1"/>
  <c r="L605" i="4" a="1"/>
  <c r="L605" i="4" s="1"/>
  <c r="L606" i="4" a="1"/>
  <c r="L606" i="4" s="1"/>
  <c r="L607" i="4" a="1"/>
  <c r="L607" i="4" s="1"/>
  <c r="L608" i="4" a="1"/>
  <c r="L608" i="4" s="1"/>
  <c r="L609" i="4" a="1"/>
  <c r="L609" i="4" s="1"/>
  <c r="L610" i="4" a="1"/>
  <c r="L610" i="4"/>
  <c r="L611" i="4" a="1"/>
  <c r="L611" i="4" s="1"/>
  <c r="L612" i="4" a="1"/>
  <c r="L612" i="4" s="1"/>
  <c r="L613" i="4" a="1"/>
  <c r="L613" i="4" s="1"/>
  <c r="L614" i="4" a="1"/>
  <c r="L614" i="4" s="1"/>
  <c r="L615" i="4" a="1"/>
  <c r="L615" i="4" s="1"/>
  <c r="L616" i="4" a="1"/>
  <c r="L616" i="4" s="1"/>
  <c r="L617" i="4" a="1"/>
  <c r="L617" i="4"/>
  <c r="L618" i="4" a="1"/>
  <c r="L618" i="4" s="1"/>
  <c r="L619" i="4" a="1"/>
  <c r="L619" i="4" s="1"/>
  <c r="L620" i="4" a="1"/>
  <c r="L620" i="4" s="1"/>
  <c r="L621" i="4" a="1"/>
  <c r="L621" i="4" s="1"/>
  <c r="L622" i="4" a="1"/>
  <c r="L622" i="4" s="1"/>
  <c r="L623" i="4" a="1"/>
  <c r="L623" i="4" s="1"/>
  <c r="L624" i="4" a="1"/>
  <c r="L624" i="4" s="1"/>
  <c r="L625" i="4" a="1"/>
  <c r="L625" i="4" s="1"/>
  <c r="L626" i="4" a="1"/>
  <c r="L626" i="4" s="1"/>
  <c r="L627" i="4" a="1"/>
  <c r="L627" i="4" s="1"/>
  <c r="L628" i="4" a="1"/>
  <c r="L628" i="4" s="1"/>
  <c r="L629" i="4" a="1"/>
  <c r="L629" i="4" s="1"/>
  <c r="L630" i="4" a="1"/>
  <c r="L630" i="4" s="1"/>
  <c r="L631" i="4" a="1"/>
  <c r="L631" i="4" s="1"/>
  <c r="L632" i="4" a="1"/>
  <c r="L632" i="4"/>
  <c r="L633" i="4" a="1"/>
  <c r="L633" i="4" s="1"/>
  <c r="L634" i="4" a="1"/>
  <c r="L634" i="4" s="1"/>
  <c r="L635" i="4" a="1"/>
  <c r="L635" i="4" s="1"/>
  <c r="L636" i="4" a="1"/>
  <c r="L636" i="4" s="1"/>
  <c r="L637" i="4" a="1"/>
  <c r="L637" i="4" s="1"/>
  <c r="L638" i="4" a="1"/>
  <c r="L638" i="4" s="1"/>
  <c r="L639" i="4" a="1"/>
  <c r="L639" i="4"/>
  <c r="L640" i="4" a="1"/>
  <c r="L640" i="4" s="1"/>
  <c r="L641" i="4" a="1"/>
  <c r="L641" i="4" s="1"/>
  <c r="L642" i="4" a="1"/>
  <c r="L642" i="4" s="1"/>
  <c r="L643" i="4" a="1"/>
  <c r="L643" i="4" s="1"/>
  <c r="L644" i="4" a="1"/>
  <c r="L644" i="4" s="1"/>
  <c r="L645" i="4" a="1"/>
  <c r="L645" i="4" s="1"/>
  <c r="L646" i="4" a="1"/>
  <c r="L646" i="4"/>
  <c r="L647" i="4" a="1"/>
  <c r="L647" i="4" s="1"/>
  <c r="L648" i="4" a="1"/>
  <c r="L648" i="4" s="1"/>
  <c r="L649" i="4" a="1"/>
  <c r="L649" i="4" s="1"/>
  <c r="L650" i="4" a="1"/>
  <c r="L650" i="4" s="1"/>
  <c r="L651" i="4" a="1"/>
  <c r="L651" i="4" s="1"/>
  <c r="L652" i="4" a="1"/>
  <c r="L652" i="4" s="1"/>
  <c r="L653" i="4" a="1"/>
  <c r="L653" i="4"/>
  <c r="L654" i="4" a="1"/>
  <c r="L654" i="4" s="1"/>
  <c r="L655" i="4" a="1"/>
  <c r="L655" i="4" s="1"/>
  <c r="L656" i="4" a="1"/>
  <c r="L656" i="4" s="1"/>
  <c r="L657" i="4" a="1"/>
  <c r="L657" i="4" s="1"/>
  <c r="L658" i="4" a="1"/>
  <c r="L658" i="4" s="1"/>
  <c r="L659" i="4" a="1"/>
  <c r="L659" i="4" s="1"/>
  <c r="L660" i="4" a="1"/>
  <c r="L660" i="4" s="1"/>
  <c r="L661" i="4" a="1"/>
  <c r="L661" i="4" s="1"/>
  <c r="L662" i="4" a="1"/>
  <c r="L662" i="4" s="1"/>
  <c r="L663" i="4" a="1"/>
  <c r="L663" i="4" s="1"/>
  <c r="L664" i="4" a="1"/>
  <c r="L664" i="4" s="1"/>
  <c r="L665" i="4" a="1"/>
  <c r="L665" i="4" s="1"/>
  <c r="L666" i="4" a="1"/>
  <c r="L666" i="4" s="1"/>
  <c r="L667" i="4" a="1"/>
  <c r="L667" i="4" s="1"/>
  <c r="L668" i="4" a="1"/>
  <c r="L668" i="4" s="1"/>
  <c r="L669" i="4" a="1"/>
  <c r="L669" i="4" s="1"/>
  <c r="L670" i="4" a="1"/>
  <c r="L670" i="4" s="1"/>
  <c r="L671" i="4" a="1"/>
  <c r="L671" i="4" s="1"/>
  <c r="L672" i="4" a="1"/>
  <c r="L672" i="4" s="1"/>
  <c r="L673" i="4" a="1"/>
  <c r="L673" i="4" s="1"/>
  <c r="L674" i="4" a="1"/>
  <c r="L674" i="4" s="1"/>
  <c r="L675" i="4" a="1"/>
  <c r="L675" i="4" s="1"/>
  <c r="L676" i="4" a="1"/>
  <c r="L676" i="4" s="1"/>
  <c r="L677" i="4" a="1"/>
  <c r="L677" i="4" s="1"/>
  <c r="L678" i="4" a="1"/>
  <c r="L678" i="4" s="1"/>
  <c r="L679" i="4" a="1"/>
  <c r="L679" i="4" s="1"/>
  <c r="L680" i="4" a="1"/>
  <c r="L680" i="4" s="1"/>
  <c r="L681" i="4" a="1"/>
  <c r="L681" i="4" s="1"/>
  <c r="L682" i="4" a="1"/>
  <c r="L682" i="4" s="1"/>
  <c r="L683" i="4" a="1"/>
  <c r="L683" i="4" s="1"/>
  <c r="L684" i="4" a="1"/>
  <c r="L684" i="4" s="1"/>
  <c r="L685" i="4" a="1"/>
  <c r="L685" i="4" s="1"/>
  <c r="L686" i="4" a="1"/>
  <c r="L686" i="4" s="1"/>
  <c r="L687" i="4" a="1"/>
  <c r="L687" i="4" s="1"/>
  <c r="L688" i="4" a="1"/>
  <c r="L688" i="4" s="1"/>
  <c r="L689" i="4" a="1"/>
  <c r="L689" i="4" s="1"/>
  <c r="L690" i="4" a="1"/>
  <c r="L690" i="4" s="1"/>
  <c r="L691" i="4" a="1"/>
  <c r="L691" i="4" s="1"/>
  <c r="L692" i="4" a="1"/>
  <c r="L692" i="4" s="1"/>
  <c r="L693" i="4" a="1"/>
  <c r="L693" i="4" s="1"/>
  <c r="L694" i="4" a="1"/>
  <c r="L694" i="4" s="1"/>
  <c r="L695" i="4" a="1"/>
  <c r="L695" i="4" s="1"/>
  <c r="L696" i="4" a="1"/>
  <c r="L696" i="4" s="1"/>
  <c r="L697" i="4" a="1"/>
  <c r="L697" i="4" s="1"/>
  <c r="L698" i="4" a="1"/>
  <c r="L698" i="4" s="1"/>
  <c r="L699" i="4" a="1"/>
  <c r="L699" i="4" s="1"/>
  <c r="L700" i="4" a="1"/>
  <c r="L700" i="4" s="1"/>
  <c r="L701" i="4" a="1"/>
  <c r="L701" i="4" s="1"/>
  <c r="L702" i="4" a="1"/>
  <c r="L702" i="4" s="1"/>
  <c r="L703" i="4" a="1"/>
  <c r="L703" i="4" s="1"/>
  <c r="L704" i="4" a="1"/>
  <c r="L704" i="4" s="1"/>
  <c r="L705" i="4" a="1"/>
  <c r="L705" i="4" s="1"/>
  <c r="L706" i="4" a="1"/>
  <c r="L706" i="4" s="1"/>
  <c r="L707" i="4" a="1"/>
  <c r="L707" i="4" s="1"/>
  <c r="L708" i="4" a="1"/>
  <c r="L708" i="4" s="1"/>
  <c r="L709" i="4" a="1"/>
  <c r="L709" i="4" s="1"/>
  <c r="L710" i="4" a="1"/>
  <c r="L710" i="4" s="1"/>
  <c r="L711" i="4" a="1"/>
  <c r="L711" i="4" s="1"/>
  <c r="L712" i="4" a="1"/>
  <c r="L712" i="4" s="1"/>
  <c r="L713" i="4" a="1"/>
  <c r="L713" i="4" s="1"/>
  <c r="L714" i="4" a="1"/>
  <c r="L714" i="4" s="1"/>
  <c r="L715" i="4" a="1"/>
  <c r="L715" i="4" s="1"/>
  <c r="L716" i="4" a="1"/>
  <c r="L716" i="4" s="1"/>
  <c r="L717" i="4" a="1"/>
  <c r="L717" i="4" s="1"/>
  <c r="L718" i="4" a="1"/>
  <c r="L718" i="4" s="1"/>
  <c r="L719" i="4" a="1"/>
  <c r="L719" i="4" s="1"/>
  <c r="L720" i="4" a="1"/>
  <c r="L720" i="4" s="1"/>
  <c r="L721" i="4" a="1"/>
  <c r="L721" i="4" s="1"/>
  <c r="L722" i="4" a="1"/>
  <c r="L722" i="4" s="1"/>
  <c r="L723" i="4" a="1"/>
  <c r="L723" i="4" s="1"/>
  <c r="L724" i="4" a="1"/>
  <c r="L724" i="4" s="1"/>
  <c r="L725" i="4" a="1"/>
  <c r="L725" i="4" s="1"/>
  <c r="L726" i="4" a="1"/>
  <c r="L726" i="4" s="1"/>
  <c r="L727" i="4" a="1"/>
  <c r="L727" i="4" s="1"/>
  <c r="L728" i="4" a="1"/>
  <c r="L728" i="4" s="1"/>
  <c r="L729" i="4" a="1"/>
  <c r="L729" i="4" s="1"/>
  <c r="L730" i="4" a="1"/>
  <c r="L730" i="4" s="1"/>
  <c r="L731" i="4" a="1"/>
  <c r="L731" i="4" s="1"/>
  <c r="L732" i="4" a="1"/>
  <c r="L732" i="4" s="1"/>
  <c r="L733" i="4" a="1"/>
  <c r="L733" i="4" s="1"/>
  <c r="L734" i="4" a="1"/>
  <c r="L734" i="4" s="1"/>
  <c r="L735" i="4" a="1"/>
  <c r="L735" i="4" s="1"/>
  <c r="L736" i="4" a="1"/>
  <c r="L736" i="4" s="1"/>
  <c r="L737" i="4" a="1"/>
  <c r="L737" i="4" s="1"/>
  <c r="L738" i="4" a="1"/>
  <c r="L738" i="4" s="1"/>
  <c r="L739" i="4" a="1"/>
  <c r="L739" i="4" s="1"/>
  <c r="L740" i="4" a="1"/>
  <c r="L740" i="4" s="1"/>
  <c r="L741" i="4" a="1"/>
  <c r="L741" i="4" s="1"/>
  <c r="L742" i="4" a="1"/>
  <c r="L742" i="4" s="1"/>
  <c r="L743" i="4" a="1"/>
  <c r="L743" i="4" s="1"/>
  <c r="L744" i="4" a="1"/>
  <c r="L744" i="4" s="1"/>
  <c r="L745" i="4" a="1"/>
  <c r="L745" i="4" s="1"/>
  <c r="L746" i="4" a="1"/>
  <c r="L746" i="4" s="1"/>
  <c r="L747" i="4" a="1"/>
  <c r="L747" i="4" s="1"/>
  <c r="L748" i="4" a="1"/>
  <c r="L748" i="4" s="1"/>
  <c r="L749" i="4" a="1"/>
  <c r="L749" i="4" s="1"/>
  <c r="L750" i="4" a="1"/>
  <c r="L750" i="4" s="1"/>
  <c r="L751" i="4" a="1"/>
  <c r="L751" i="4" s="1"/>
  <c r="L752" i="4" a="1"/>
  <c r="L752" i="4" s="1"/>
  <c r="L753" i="4" a="1"/>
  <c r="L753" i="4" s="1"/>
  <c r="L754" i="4" a="1"/>
  <c r="L754" i="4" s="1"/>
  <c r="L755" i="4" a="1"/>
  <c r="L755" i="4" s="1"/>
  <c r="L756" i="4" a="1"/>
  <c r="L756" i="4" s="1"/>
  <c r="L757" i="4" a="1"/>
  <c r="L757" i="4" s="1"/>
  <c r="L758" i="4" a="1"/>
  <c r="L758" i="4" s="1"/>
  <c r="L759" i="4" a="1"/>
  <c r="L759" i="4" s="1"/>
  <c r="L760" i="4" a="1"/>
  <c r="L760" i="4" s="1"/>
  <c r="L761" i="4" a="1"/>
  <c r="L761" i="4" s="1"/>
  <c r="L762" i="4" a="1"/>
  <c r="L762" i="4" s="1"/>
  <c r="L763" i="4" a="1"/>
  <c r="L763" i="4" s="1"/>
  <c r="L764" i="4" a="1"/>
  <c r="L764" i="4" s="1"/>
  <c r="L765" i="4" a="1"/>
  <c r="L765" i="4" s="1"/>
  <c r="L766" i="4" a="1"/>
  <c r="L766" i="4" s="1"/>
  <c r="L767" i="4" a="1"/>
  <c r="L767" i="4" s="1"/>
  <c r="L768" i="4" a="1"/>
  <c r="L768" i="4" s="1"/>
  <c r="L769" i="4" a="1"/>
  <c r="L769" i="4" s="1"/>
  <c r="L770" i="4" a="1"/>
  <c r="L770" i="4" s="1"/>
  <c r="L771" i="4" a="1"/>
  <c r="L771" i="4" s="1"/>
  <c r="L772" i="4" a="1"/>
  <c r="L772" i="4" s="1"/>
  <c r="L773" i="4" a="1"/>
  <c r="L773" i="4" s="1"/>
  <c r="L774" i="4" a="1"/>
  <c r="L774" i="4" s="1"/>
  <c r="L775" i="4" a="1"/>
  <c r="L775" i="4" s="1"/>
  <c r="L776" i="4" a="1"/>
  <c r="L776" i="4" s="1"/>
  <c r="L777" i="4" a="1"/>
  <c r="L777" i="4" s="1"/>
  <c r="L778" i="4" a="1"/>
  <c r="L778" i="4" s="1"/>
  <c r="L779" i="4" a="1"/>
  <c r="L779" i="4" s="1"/>
  <c r="L780" i="4" a="1"/>
  <c r="L780" i="4" s="1"/>
  <c r="L781" i="4" a="1"/>
  <c r="L781" i="4" s="1"/>
  <c r="L782" i="4" a="1"/>
  <c r="L782" i="4" s="1"/>
  <c r="L783" i="4" a="1"/>
  <c r="L783" i="4" s="1"/>
  <c r="L784" i="4" a="1"/>
  <c r="L784" i="4" s="1"/>
  <c r="L785" i="4" a="1"/>
  <c r="L785" i="4" s="1"/>
  <c r="L786" i="4" a="1"/>
  <c r="L786" i="4" s="1"/>
  <c r="L787" i="4" a="1"/>
  <c r="L787" i="4" s="1"/>
  <c r="L788" i="4" a="1"/>
  <c r="L788" i="4" s="1"/>
  <c r="L789" i="4" a="1"/>
  <c r="L789" i="4" s="1"/>
  <c r="L790" i="4" a="1"/>
  <c r="L790" i="4" s="1"/>
  <c r="L791" i="4" a="1"/>
  <c r="L791" i="4" s="1"/>
  <c r="L792" i="4" a="1"/>
  <c r="L792" i="4" s="1"/>
  <c r="L793" i="4" a="1"/>
  <c r="L793" i="4" s="1"/>
  <c r="L794" i="4" a="1"/>
  <c r="L794" i="4" s="1"/>
  <c r="L795" i="4" a="1"/>
  <c r="L795" i="4" s="1"/>
  <c r="L796" i="4" a="1"/>
  <c r="L796" i="4" s="1"/>
  <c r="L797" i="4" a="1"/>
  <c r="L797" i="4" s="1"/>
  <c r="L798" i="4" a="1"/>
  <c r="L798" i="4" s="1"/>
  <c r="L799" i="4" a="1"/>
  <c r="L799" i="4" s="1"/>
  <c r="L800" i="4" a="1"/>
  <c r="L800" i="4" s="1"/>
  <c r="L801" i="4" a="1"/>
  <c r="L801" i="4" s="1"/>
  <c r="L802" i="4" a="1"/>
  <c r="L802" i="4" s="1"/>
  <c r="L803" i="4" a="1"/>
  <c r="L803" i="4" s="1"/>
  <c r="L804" i="4" a="1"/>
  <c r="L804" i="4" s="1"/>
  <c r="L805" i="4" a="1"/>
  <c r="L805" i="4" s="1"/>
  <c r="L806" i="4" a="1"/>
  <c r="L806" i="4" s="1"/>
  <c r="L807" i="4" a="1"/>
  <c r="L807" i="4" s="1"/>
  <c r="L808" i="4" a="1"/>
  <c r="L808" i="4" s="1"/>
  <c r="L809" i="4" a="1"/>
  <c r="L809" i="4" s="1"/>
  <c r="L810" i="4" a="1"/>
  <c r="L810" i="4" s="1"/>
  <c r="L811" i="4" a="1"/>
  <c r="L811" i="4" s="1"/>
  <c r="L812" i="4" a="1"/>
  <c r="L812" i="4" s="1"/>
  <c r="L813" i="4" a="1"/>
  <c r="L813" i="4" s="1"/>
  <c r="L814" i="4" a="1"/>
  <c r="L814" i="4" s="1"/>
  <c r="L815" i="4" a="1"/>
  <c r="L815" i="4" s="1"/>
  <c r="L816" i="4" a="1"/>
  <c r="L816" i="4" s="1"/>
  <c r="L817" i="4" a="1"/>
  <c r="L817" i="4" s="1"/>
  <c r="L818" i="4" a="1"/>
  <c r="L818" i="4" s="1"/>
  <c r="L819" i="4" a="1"/>
  <c r="L819" i="4" s="1"/>
  <c r="L820" i="4" a="1"/>
  <c r="L820" i="4" s="1"/>
  <c r="L821" i="4" a="1"/>
  <c r="L821" i="4" s="1"/>
  <c r="L822" i="4" a="1"/>
  <c r="L822" i="4" s="1"/>
  <c r="L823" i="4" a="1"/>
  <c r="L823" i="4" s="1"/>
  <c r="L824" i="4" a="1"/>
  <c r="L824" i="4" s="1"/>
  <c r="L825" i="4" a="1"/>
  <c r="L825" i="4" s="1"/>
  <c r="L826" i="4" a="1"/>
  <c r="L826" i="4" s="1"/>
  <c r="L827" i="4" a="1"/>
  <c r="L827" i="4" s="1"/>
  <c r="L828" i="4" a="1"/>
  <c r="L828" i="4" s="1"/>
  <c r="L829" i="4" a="1"/>
  <c r="L829" i="4" s="1"/>
  <c r="L830" i="4" a="1"/>
  <c r="L830" i="4" s="1"/>
  <c r="L831" i="4" a="1"/>
  <c r="L831" i="4" s="1"/>
  <c r="L832" i="4" a="1"/>
  <c r="L832" i="4" s="1"/>
  <c r="L833" i="4" a="1"/>
  <c r="L833" i="4" s="1"/>
  <c r="L834" i="4" a="1"/>
  <c r="L834" i="4" s="1"/>
  <c r="L835" i="4" a="1"/>
  <c r="L835" i="4" s="1"/>
  <c r="L836" i="4" a="1"/>
  <c r="L836" i="4" s="1"/>
  <c r="L837" i="4" a="1"/>
  <c r="L837" i="4" s="1"/>
  <c r="L838" i="4" a="1"/>
  <c r="L838" i="4" s="1"/>
  <c r="L839" i="4" a="1"/>
  <c r="L839" i="4" s="1"/>
  <c r="L840" i="4" a="1"/>
  <c r="L840" i="4" s="1"/>
  <c r="L841" i="4" a="1"/>
  <c r="L841" i="4" s="1"/>
  <c r="L842" i="4" a="1"/>
  <c r="L842" i="4" s="1"/>
  <c r="L843" i="4" a="1"/>
  <c r="L843" i="4" s="1"/>
  <c r="L844" i="4" a="1"/>
  <c r="L844" i="4" s="1"/>
  <c r="L845" i="4" a="1"/>
  <c r="L845" i="4" s="1"/>
  <c r="L846" i="4" a="1"/>
  <c r="L846" i="4" s="1"/>
  <c r="L847" i="4" a="1"/>
  <c r="L847" i="4" s="1"/>
  <c r="L848" i="4" a="1"/>
  <c r="L848" i="4" s="1"/>
  <c r="L849" i="4" a="1"/>
  <c r="L849" i="4" s="1"/>
  <c r="L850" i="4" a="1"/>
  <c r="L850" i="4" s="1"/>
  <c r="L851" i="4" a="1"/>
  <c r="L851" i="4" s="1"/>
  <c r="L852" i="4" a="1"/>
  <c r="L852" i="4" s="1"/>
  <c r="L853" i="4" a="1"/>
  <c r="L853" i="4" s="1"/>
  <c r="L854" i="4" a="1"/>
  <c r="L854" i="4" s="1"/>
  <c r="L855" i="4" a="1"/>
  <c r="L855" i="4" s="1"/>
  <c r="L856" i="4" a="1"/>
  <c r="L856" i="4" s="1"/>
  <c r="L857" i="4" a="1"/>
  <c r="L857" i="4" s="1"/>
  <c r="L858" i="4" a="1"/>
  <c r="L858" i="4" s="1"/>
  <c r="L859" i="4" a="1"/>
  <c r="L859" i="4" s="1"/>
  <c r="L860" i="4" a="1"/>
  <c r="L860" i="4" s="1"/>
  <c r="L861" i="4" a="1"/>
  <c r="L861" i="4" s="1"/>
  <c r="L862" i="4" a="1"/>
  <c r="L862" i="4" s="1"/>
  <c r="L863" i="4" a="1"/>
  <c r="L863" i="4" s="1"/>
  <c r="L864" i="4" a="1"/>
  <c r="L864" i="4" s="1"/>
  <c r="L865" i="4" a="1"/>
  <c r="L865" i="4" s="1"/>
  <c r="L866" i="4" a="1"/>
  <c r="L866" i="4" s="1"/>
  <c r="L867" i="4" a="1"/>
  <c r="L867" i="4" s="1"/>
  <c r="L868" i="4" a="1"/>
  <c r="L868" i="4" s="1"/>
  <c r="L869" i="4" a="1"/>
  <c r="L869" i="4" s="1"/>
  <c r="L870" i="4" a="1"/>
  <c r="L870" i="4" s="1"/>
  <c r="L871" i="4" a="1"/>
  <c r="L871" i="4" s="1"/>
  <c r="L872" i="4" a="1"/>
  <c r="L872" i="4" s="1"/>
  <c r="L873" i="4" a="1"/>
  <c r="L873" i="4" s="1"/>
  <c r="L874" i="4" a="1"/>
  <c r="L874" i="4" s="1"/>
  <c r="L875" i="4" a="1"/>
  <c r="L875" i="4" s="1"/>
  <c r="L876" i="4" a="1"/>
  <c r="L876" i="4" s="1"/>
  <c r="L877" i="4" a="1"/>
  <c r="L877" i="4" s="1"/>
  <c r="L878" i="4" a="1"/>
  <c r="L878" i="4" s="1"/>
  <c r="L879" i="4" a="1"/>
  <c r="L879" i="4" s="1"/>
  <c r="L880" i="4" a="1"/>
  <c r="L880" i="4" s="1"/>
  <c r="L881" i="4" a="1"/>
  <c r="L881" i="4" s="1"/>
  <c r="L882" i="4" a="1"/>
  <c r="L882" i="4" s="1"/>
  <c r="L883" i="4" a="1"/>
  <c r="L883" i="4" s="1"/>
  <c r="L884" i="4" a="1"/>
  <c r="L884" i="4" s="1"/>
  <c r="L885" i="4" a="1"/>
  <c r="L885" i="4" s="1"/>
  <c r="L886" i="4" a="1"/>
  <c r="L886" i="4" s="1"/>
  <c r="L887" i="4" a="1"/>
  <c r="L887" i="4" s="1"/>
  <c r="L888" i="4" a="1"/>
  <c r="L888" i="4" s="1"/>
  <c r="L889" i="4" a="1"/>
  <c r="L889" i="4" s="1"/>
  <c r="L890" i="4" a="1"/>
  <c r="L890" i="4" s="1"/>
  <c r="L891" i="4" a="1"/>
  <c r="L891" i="4" s="1"/>
  <c r="L892" i="4" a="1"/>
  <c r="L892" i="4" s="1"/>
  <c r="L893" i="4" a="1"/>
  <c r="L893" i="4" s="1"/>
  <c r="L894" i="4" a="1"/>
  <c r="L894" i="4" s="1"/>
  <c r="L895" i="4" a="1"/>
  <c r="L895" i="4" s="1"/>
  <c r="L896" i="4" a="1"/>
  <c r="L896" i="4" s="1"/>
  <c r="L897" i="4" a="1"/>
  <c r="L897" i="4" s="1"/>
  <c r="L898" i="4" a="1"/>
  <c r="L898" i="4" s="1"/>
  <c r="L899" i="4" a="1"/>
  <c r="L899" i="4" s="1"/>
  <c r="L900" i="4" a="1"/>
  <c r="L900" i="4" s="1"/>
  <c r="L901" i="4" a="1"/>
  <c r="L901" i="4" s="1"/>
  <c r="L902" i="4" a="1"/>
  <c r="L902" i="4" s="1"/>
  <c r="L903" i="4" a="1"/>
  <c r="L903" i="4" s="1"/>
  <c r="L904" i="4" a="1"/>
  <c r="L904" i="4" s="1"/>
  <c r="L905" i="4" a="1"/>
  <c r="L905" i="4" s="1"/>
  <c r="L906" i="4" a="1"/>
  <c r="L906" i="4" s="1"/>
  <c r="L907" i="4" a="1"/>
  <c r="L907" i="4" s="1"/>
  <c r="L908" i="4" a="1"/>
  <c r="L908" i="4" s="1"/>
  <c r="L909" i="4" a="1"/>
  <c r="L909" i="4" s="1"/>
  <c r="L910" i="4" a="1"/>
  <c r="L910" i="4" s="1"/>
  <c r="L911" i="4" a="1"/>
  <c r="L911" i="4" s="1"/>
  <c r="L912" i="4" a="1"/>
  <c r="L912" i="4" s="1"/>
  <c r="L913" i="4" a="1"/>
  <c r="L913" i="4" s="1"/>
  <c r="L914" i="4" a="1"/>
  <c r="L914" i="4" s="1"/>
  <c r="L915" i="4" a="1"/>
  <c r="L915" i="4" s="1"/>
  <c r="L916" i="4" a="1"/>
  <c r="L916" i="4" s="1"/>
  <c r="L917" i="4" a="1"/>
  <c r="L917" i="4" s="1"/>
  <c r="L918" i="4" a="1"/>
  <c r="L918" i="4" s="1"/>
  <c r="L919" i="4" a="1"/>
  <c r="L919" i="4" s="1"/>
  <c r="L920" i="4" a="1"/>
  <c r="L920" i="4" s="1"/>
  <c r="L921" i="4" a="1"/>
  <c r="L921" i="4" s="1"/>
  <c r="L922" i="4" a="1"/>
  <c r="L922" i="4" s="1"/>
  <c r="L923" i="4" a="1"/>
  <c r="L923" i="4" s="1"/>
  <c r="L924" i="4" a="1"/>
  <c r="L924" i="4" s="1"/>
  <c r="L925" i="4" a="1"/>
  <c r="L925" i="4" s="1"/>
  <c r="L926" i="4" a="1"/>
  <c r="L926" i="4" s="1"/>
  <c r="L927" i="4" a="1"/>
  <c r="L927" i="4" s="1"/>
  <c r="L928" i="4" a="1"/>
  <c r="L928" i="4" s="1"/>
  <c r="L929" i="4" a="1"/>
  <c r="L929" i="4" s="1"/>
  <c r="L930" i="4" a="1"/>
  <c r="L930" i="4" s="1"/>
  <c r="L931" i="4" a="1"/>
  <c r="L931" i="4" s="1"/>
  <c r="L932" i="4" a="1"/>
  <c r="L932" i="4" s="1"/>
  <c r="L933" i="4" a="1"/>
  <c r="L933" i="4" s="1"/>
  <c r="L934" i="4" a="1"/>
  <c r="L934" i="4" s="1"/>
  <c r="L935" i="4" a="1"/>
  <c r="L935" i="4" s="1"/>
  <c r="L936" i="4" a="1"/>
  <c r="L936" i="4" s="1"/>
  <c r="L937" i="4" a="1"/>
  <c r="L937" i="4" s="1"/>
  <c r="L938" i="4" a="1"/>
  <c r="L938" i="4" s="1"/>
  <c r="L939" i="4" a="1"/>
  <c r="L939" i="4" s="1"/>
  <c r="L940" i="4" a="1"/>
  <c r="L940" i="4" s="1"/>
  <c r="L941" i="4" a="1"/>
  <c r="L941" i="4" s="1"/>
  <c r="L942" i="4" a="1"/>
  <c r="L942" i="4" s="1"/>
  <c r="L943" i="4" a="1"/>
  <c r="L943" i="4" s="1"/>
  <c r="L944" i="4" a="1"/>
  <c r="L944" i="4" s="1"/>
  <c r="L945" i="4" a="1"/>
  <c r="L945" i="4" s="1"/>
  <c r="L946" i="4" a="1"/>
  <c r="L946" i="4" s="1"/>
  <c r="L947" i="4" a="1"/>
  <c r="L947" i="4" s="1"/>
  <c r="L948" i="4" a="1"/>
  <c r="L948" i="4" s="1"/>
  <c r="L949" i="4" a="1"/>
  <c r="L949" i="4" s="1"/>
  <c r="L950" i="4" a="1"/>
  <c r="L950" i="4" s="1"/>
  <c r="L951" i="4" a="1"/>
  <c r="L951" i="4" s="1"/>
  <c r="L952" i="4" a="1"/>
  <c r="L952" i="4" s="1"/>
  <c r="L953" i="4" a="1"/>
  <c r="L953" i="4" s="1"/>
  <c r="L954" i="4" a="1"/>
  <c r="L954" i="4" s="1"/>
  <c r="L955" i="4" a="1"/>
  <c r="L955" i="4" s="1"/>
  <c r="L956" i="4" a="1"/>
  <c r="L956" i="4" s="1"/>
  <c r="L957" i="4" a="1"/>
  <c r="L957" i="4" s="1"/>
  <c r="L958" i="4" a="1"/>
  <c r="L958" i="4" s="1"/>
  <c r="L959" i="4" a="1"/>
  <c r="L959" i="4" s="1"/>
  <c r="L960" i="4" a="1"/>
  <c r="L960" i="4" s="1"/>
  <c r="L961" i="4" a="1"/>
  <c r="L961" i="4" s="1"/>
  <c r="L962" i="4" a="1"/>
  <c r="L962" i="4" s="1"/>
  <c r="L963" i="4" a="1"/>
  <c r="L963" i="4" s="1"/>
  <c r="L964" i="4" a="1"/>
  <c r="L964" i="4" s="1"/>
  <c r="L965" i="4" a="1"/>
  <c r="L965" i="4" s="1"/>
  <c r="L966" i="4" a="1"/>
  <c r="L966" i="4" s="1"/>
  <c r="L967" i="4" a="1"/>
  <c r="L967" i="4" s="1"/>
  <c r="L968" i="4" a="1"/>
  <c r="L968" i="4" s="1"/>
  <c r="L969" i="4" a="1"/>
  <c r="L969" i="4" s="1"/>
  <c r="L970" i="4" a="1"/>
  <c r="L970" i="4" s="1"/>
  <c r="L971" i="4" a="1"/>
  <c r="L971" i="4" s="1"/>
  <c r="L972" i="4" a="1"/>
  <c r="L972" i="4" s="1"/>
  <c r="L973" i="4" a="1"/>
  <c r="L973" i="4" s="1"/>
  <c r="L974" i="4" a="1"/>
  <c r="L974" i="4" s="1"/>
  <c r="L976" i="4" a="1"/>
  <c r="L976" i="4"/>
  <c r="L977" i="4" a="1"/>
  <c r="L977" i="4"/>
  <c r="L978" i="4" a="1"/>
  <c r="L978" i="4"/>
  <c r="L979" i="4" a="1"/>
  <c r="L979" i="4"/>
  <c r="L980" i="4" a="1"/>
  <c r="L980" i="4"/>
  <c r="L981" i="4" a="1"/>
  <c r="L981" i="4"/>
  <c r="L982" i="4" a="1"/>
  <c r="L982" i="4"/>
  <c r="L983" i="4" a="1"/>
  <c r="L983" i="4"/>
  <c r="L984" i="4" a="1"/>
  <c r="L984" i="4"/>
  <c r="L985" i="4" a="1"/>
  <c r="L985" i="4"/>
  <c r="L986" i="4" a="1"/>
  <c r="L986" i="4"/>
  <c r="L987" i="4" a="1"/>
  <c r="L987" i="4"/>
  <c r="L988" i="4" a="1"/>
  <c r="L988" i="4"/>
  <c r="L989" i="4" a="1"/>
  <c r="L989" i="4"/>
  <c r="L990" i="4" a="1"/>
  <c r="L990" i="4"/>
  <c r="L991" i="4" a="1"/>
  <c r="L991" i="4"/>
  <c r="L992" i="4" a="1"/>
  <c r="L992" i="4"/>
  <c r="L993" i="4" a="1"/>
  <c r="L993" i="4"/>
  <c r="L994" i="4" a="1"/>
  <c r="L994" i="4"/>
  <c r="L995" i="4" a="1"/>
  <c r="L995" i="4"/>
  <c r="L996" i="4" a="1"/>
  <c r="L996" i="4"/>
  <c r="L997" i="4" a="1"/>
  <c r="L997" i="4"/>
  <c r="L998" i="4" a="1"/>
  <c r="L998" i="4"/>
  <c r="L999" i="4" a="1"/>
  <c r="L999" i="4"/>
  <c r="L1000" i="4" a="1"/>
  <c r="L1000" i="4"/>
  <c r="L1001" i="4" a="1"/>
  <c r="L1001" i="4"/>
  <c r="B2" i="8"/>
  <c r="A2" i="8"/>
  <c r="G6" i="14" l="1"/>
  <c r="G4" i="14"/>
  <c r="G13" i="14"/>
  <c r="G11" i="14"/>
  <c r="G18" i="14"/>
  <c r="H23" i="13"/>
  <c r="G21" i="13"/>
  <c r="H21" i="13"/>
  <c r="G23" i="13"/>
  <c r="H16" i="13"/>
  <c r="G16" i="13"/>
  <c r="H14" i="13"/>
  <c r="G14" i="13"/>
  <c r="G9" i="13"/>
  <c r="H9" i="13"/>
  <c r="H7" i="13"/>
  <c r="G7" i="13"/>
  <c r="J2" i="4" a="1"/>
  <c r="J2" i="4" s="1"/>
  <c r="J3" i="4" a="1"/>
  <c r="J3" i="4" s="1"/>
  <c r="J4" i="4" a="1"/>
  <c r="J4" i="4" s="1"/>
  <c r="J5" i="4" a="1"/>
  <c r="J5" i="4" s="1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17" i="4" a="1"/>
  <c r="J17" i="4" s="1"/>
  <c r="J18" i="4" a="1"/>
  <c r="J18" i="4" s="1"/>
  <c r="J19" i="4" a="1"/>
  <c r="J19" i="4"/>
  <c r="J20" i="4" a="1"/>
  <c r="J20" i="4" s="1"/>
  <c r="J21" i="4" a="1"/>
  <c r="J21" i="4" s="1"/>
  <c r="J22" i="4" a="1"/>
  <c r="J22" i="4" s="1"/>
  <c r="J23" i="4" a="1"/>
  <c r="J23" i="4" s="1"/>
  <c r="J24" i="4" a="1"/>
  <c r="J24" i="4" s="1"/>
  <c r="J25" i="4" a="1"/>
  <c r="J25" i="4" s="1"/>
  <c r="J26" i="4" a="1"/>
  <c r="J26" i="4" s="1"/>
  <c r="J27" i="4" a="1"/>
  <c r="J27" i="4" s="1"/>
  <c r="J28" i="4" a="1"/>
  <c r="J28" i="4" s="1"/>
  <c r="J29" i="4" a="1"/>
  <c r="J29" i="4" s="1"/>
  <c r="J30" i="4" a="1"/>
  <c r="J30" i="4" s="1"/>
  <c r="J31" i="4" a="1"/>
  <c r="J31" i="4"/>
  <c r="J32" i="4" a="1"/>
  <c r="J32" i="4" s="1"/>
  <c r="J33" i="4" a="1"/>
  <c r="J33" i="4" s="1"/>
  <c r="J34" i="4" a="1"/>
  <c r="J34" i="4" s="1"/>
  <c r="J35" i="4" a="1"/>
  <c r="J35" i="4" s="1"/>
  <c r="J36" i="4" a="1"/>
  <c r="J36" i="4" s="1"/>
  <c r="J37" i="4" a="1"/>
  <c r="J37" i="4" s="1"/>
  <c r="J38" i="4" a="1"/>
  <c r="J38" i="4" s="1"/>
  <c r="J39" i="4" a="1"/>
  <c r="J39" i="4" s="1"/>
  <c r="J40" i="4" a="1"/>
  <c r="J40" i="4" s="1"/>
  <c r="J41" i="4" a="1"/>
  <c r="J41" i="4" s="1"/>
  <c r="J42" i="4" a="1"/>
  <c r="J42" i="4" s="1"/>
  <c r="J43" i="4" a="1"/>
  <c r="J43" i="4" s="1"/>
  <c r="J44" i="4" a="1"/>
  <c r="J44" i="4" s="1"/>
  <c r="J45" i="4" a="1"/>
  <c r="J45" i="4" s="1"/>
  <c r="J46" i="4" a="1"/>
  <c r="J46" i="4" s="1"/>
  <c r="J47" i="4" a="1"/>
  <c r="J47" i="4" s="1"/>
  <c r="J48" i="4" a="1"/>
  <c r="J48" i="4" s="1"/>
  <c r="J49" i="4" a="1"/>
  <c r="J49" i="4" s="1"/>
  <c r="J50" i="4" a="1"/>
  <c r="J50" i="4" s="1"/>
  <c r="J51" i="4" a="1"/>
  <c r="J51" i="4" s="1"/>
  <c r="J52" i="4" a="1"/>
  <c r="J52" i="4" s="1"/>
  <c r="J53" i="4" a="1"/>
  <c r="J53" i="4" s="1"/>
  <c r="J54" i="4" a="1"/>
  <c r="J54" i="4" s="1"/>
  <c r="J55" i="4" a="1"/>
  <c r="J55" i="4" s="1"/>
  <c r="J56" i="4" a="1"/>
  <c r="J56" i="4" s="1"/>
  <c r="J57" i="4" a="1"/>
  <c r="J57" i="4" s="1"/>
  <c r="J58" i="4" a="1"/>
  <c r="J58" i="4" s="1"/>
  <c r="J59" i="4" a="1"/>
  <c r="J59" i="4"/>
  <c r="J60" i="4" a="1"/>
  <c r="J60" i="4" s="1"/>
  <c r="J61" i="4" a="1"/>
  <c r="J61" i="4" s="1"/>
  <c r="J62" i="4" a="1"/>
  <c r="J62" i="4" s="1"/>
  <c r="J63" i="4" a="1"/>
  <c r="J63" i="4" s="1"/>
  <c r="J64" i="4" a="1"/>
  <c r="J64" i="4" s="1"/>
  <c r="J65" i="4" a="1"/>
  <c r="J65" i="4" s="1"/>
  <c r="J66" i="4" a="1"/>
  <c r="J66" i="4" s="1"/>
  <c r="J67" i="4" a="1"/>
  <c r="J67" i="4"/>
  <c r="J68" i="4" a="1"/>
  <c r="J68" i="4" s="1"/>
  <c r="J69" i="4" a="1"/>
  <c r="J69" i="4" s="1"/>
  <c r="J70" i="4" a="1"/>
  <c r="J70" i="4" s="1"/>
  <c r="J71" i="4" a="1"/>
  <c r="J71" i="4" s="1"/>
  <c r="J72" i="4" a="1"/>
  <c r="J72" i="4" s="1"/>
  <c r="J73" i="4" a="1"/>
  <c r="J73" i="4" s="1"/>
  <c r="J74" i="4" a="1"/>
  <c r="J74" i="4" s="1"/>
  <c r="J75" i="4" a="1"/>
  <c r="J75" i="4" s="1"/>
  <c r="J76" i="4" a="1"/>
  <c r="J76" i="4" s="1"/>
  <c r="J77" i="4" a="1"/>
  <c r="J77" i="4" s="1"/>
  <c r="J78" i="4" a="1"/>
  <c r="J78" i="4" s="1"/>
  <c r="J79" i="4" a="1"/>
  <c r="J79" i="4"/>
  <c r="J80" i="4" a="1"/>
  <c r="J80" i="4" s="1"/>
  <c r="J81" i="4" a="1"/>
  <c r="J81" i="4" s="1"/>
  <c r="J82" i="4" a="1"/>
  <c r="J82" i="4" s="1"/>
  <c r="J83" i="4" a="1"/>
  <c r="J83" i="4"/>
  <c r="J84" i="4" a="1"/>
  <c r="J84" i="4" s="1"/>
  <c r="J85" i="4" a="1"/>
  <c r="J85" i="4" s="1"/>
  <c r="J86" i="4" a="1"/>
  <c r="J86" i="4" s="1"/>
  <c r="J87" i="4" a="1"/>
  <c r="J87" i="4" s="1"/>
  <c r="J88" i="4" a="1"/>
  <c r="J88" i="4" s="1"/>
  <c r="J89" i="4" a="1"/>
  <c r="J89" i="4" s="1"/>
  <c r="J90" i="4" a="1"/>
  <c r="J90" i="4" s="1"/>
  <c r="J91" i="4" a="1"/>
  <c r="J91" i="4"/>
  <c r="J92" i="4" a="1"/>
  <c r="J92" i="4" s="1"/>
  <c r="J93" i="4" a="1"/>
  <c r="J93" i="4" s="1"/>
  <c r="J94" i="4" a="1"/>
  <c r="J94" i="4" s="1"/>
  <c r="J95" i="4" a="1"/>
  <c r="J95" i="4" s="1"/>
  <c r="J96" i="4" a="1"/>
  <c r="J96" i="4" s="1"/>
  <c r="J97" i="4" a="1"/>
  <c r="J97" i="4" s="1"/>
  <c r="J98" i="4" a="1"/>
  <c r="J98" i="4" s="1"/>
  <c r="J99" i="4" a="1"/>
  <c r="J99" i="4" s="1"/>
  <c r="J100" i="4" a="1"/>
  <c r="J100" i="4" s="1"/>
  <c r="J101" i="4" a="1"/>
  <c r="J101" i="4" s="1"/>
  <c r="J102" i="4" a="1"/>
  <c r="J102" i="4" s="1"/>
  <c r="J103" i="4" a="1"/>
  <c r="J103" i="4"/>
  <c r="J104" i="4" a="1"/>
  <c r="J104" i="4" s="1"/>
  <c r="J105" i="4" a="1"/>
  <c r="J105" i="4" s="1"/>
  <c r="J106" i="4" a="1"/>
  <c r="J106" i="4" s="1"/>
  <c r="J107" i="4" a="1"/>
  <c r="J107" i="4" s="1"/>
  <c r="J108" i="4" a="1"/>
  <c r="J108" i="4" s="1"/>
  <c r="J109" i="4" a="1"/>
  <c r="J109" i="4" s="1"/>
  <c r="J110" i="4" a="1"/>
  <c r="J110" i="4" s="1"/>
  <c r="J111" i="4" a="1"/>
  <c r="J111" i="4" s="1"/>
  <c r="J112" i="4" a="1"/>
  <c r="J112" i="4" s="1"/>
  <c r="J113" i="4" a="1"/>
  <c r="J113" i="4" s="1"/>
  <c r="J114" i="4" a="1"/>
  <c r="J114" i="4" s="1"/>
  <c r="J115" i="4" a="1"/>
  <c r="J115" i="4" s="1"/>
  <c r="J116" i="4" a="1"/>
  <c r="J116" i="4" s="1"/>
  <c r="J117" i="4" a="1"/>
  <c r="J117" i="4" s="1"/>
  <c r="J118" i="4" a="1"/>
  <c r="J118" i="4" s="1"/>
  <c r="J119" i="4" a="1"/>
  <c r="J119" i="4" s="1"/>
  <c r="J120" i="4" a="1"/>
  <c r="J120" i="4" s="1"/>
  <c r="J121" i="4" a="1"/>
  <c r="J121" i="4" s="1"/>
  <c r="J122" i="4" a="1"/>
  <c r="J122" i="4" s="1"/>
  <c r="J123" i="4" a="1"/>
  <c r="J123" i="4" s="1"/>
  <c r="J124" i="4" a="1"/>
  <c r="J124" i="4" s="1"/>
  <c r="J125" i="4" a="1"/>
  <c r="J125" i="4" s="1"/>
  <c r="J126" i="4" a="1"/>
  <c r="J126" i="4" s="1"/>
  <c r="J127" i="4" a="1"/>
  <c r="J127" i="4" s="1"/>
  <c r="J128" i="4" a="1"/>
  <c r="J128" i="4" s="1"/>
  <c r="J129" i="4" a="1"/>
  <c r="J129" i="4" s="1"/>
  <c r="J130" i="4" a="1"/>
  <c r="J130" i="4" s="1"/>
  <c r="J131" i="4" a="1"/>
  <c r="J131" i="4"/>
  <c r="J132" i="4" a="1"/>
  <c r="J132" i="4" s="1"/>
  <c r="J133" i="4" a="1"/>
  <c r="J133" i="4" s="1"/>
  <c r="J134" i="4" a="1"/>
  <c r="J134" i="4" s="1"/>
  <c r="J135" i="4" a="1"/>
  <c r="J135" i="4" s="1"/>
  <c r="J136" i="4" a="1"/>
  <c r="J136" i="4" s="1"/>
  <c r="J137" i="4" a="1"/>
  <c r="J137" i="4" s="1"/>
  <c r="J138" i="4" a="1"/>
  <c r="J138" i="4" s="1"/>
  <c r="J139" i="4" a="1"/>
  <c r="J139" i="4"/>
  <c r="J140" i="4" a="1"/>
  <c r="J140" i="4" s="1"/>
  <c r="J141" i="4" a="1"/>
  <c r="J141" i="4" s="1"/>
  <c r="J142" i="4" a="1"/>
  <c r="J142" i="4" s="1"/>
  <c r="J143" i="4" a="1"/>
  <c r="J143" i="4" s="1"/>
  <c r="J144" i="4" a="1"/>
  <c r="J144" i="4" s="1"/>
  <c r="J145" i="4" a="1"/>
  <c r="J145" i="4" s="1"/>
  <c r="J146" i="4" a="1"/>
  <c r="J146" i="4" s="1"/>
  <c r="J147" i="4" a="1"/>
  <c r="J147" i="4" s="1"/>
  <c r="J148" i="4" a="1"/>
  <c r="J148" i="4" s="1"/>
  <c r="J149" i="4" a="1"/>
  <c r="J149" i="4" s="1"/>
  <c r="J150" i="4" a="1"/>
  <c r="J150" i="4" s="1"/>
  <c r="J151" i="4" a="1"/>
  <c r="J151" i="4"/>
  <c r="J152" i="4" a="1"/>
  <c r="J152" i="4" s="1"/>
  <c r="J153" i="4" a="1"/>
  <c r="J153" i="4" s="1"/>
  <c r="J154" i="4" a="1"/>
  <c r="J154" i="4" s="1"/>
  <c r="J155" i="4" a="1"/>
  <c r="J155" i="4"/>
  <c r="J156" i="4" a="1"/>
  <c r="J156" i="4" s="1"/>
  <c r="J157" i="4" a="1"/>
  <c r="J157" i="4" s="1"/>
  <c r="J158" i="4" a="1"/>
  <c r="J158" i="4" s="1"/>
  <c r="J159" i="4" a="1"/>
  <c r="J159" i="4" s="1"/>
  <c r="J160" i="4" a="1"/>
  <c r="J160" i="4" s="1"/>
  <c r="J161" i="4" a="1"/>
  <c r="J161" i="4" s="1"/>
  <c r="J162" i="4" a="1"/>
  <c r="J162" i="4" s="1"/>
  <c r="J163" i="4" a="1"/>
  <c r="J163" i="4"/>
  <c r="J164" i="4" a="1"/>
  <c r="J164" i="4" s="1"/>
  <c r="J165" i="4" a="1"/>
  <c r="J165" i="4" s="1"/>
  <c r="J166" i="4" a="1"/>
  <c r="J166" i="4" s="1"/>
  <c r="J167" i="4" a="1"/>
  <c r="J167" i="4" s="1"/>
  <c r="J168" i="4" a="1"/>
  <c r="J168" i="4" s="1"/>
  <c r="J169" i="4" a="1"/>
  <c r="J169" i="4" s="1"/>
  <c r="J170" i="4" a="1"/>
  <c r="J170" i="4" s="1"/>
  <c r="J171" i="4" a="1"/>
  <c r="J171" i="4" s="1"/>
  <c r="J172" i="4" a="1"/>
  <c r="J172" i="4" s="1"/>
  <c r="J173" i="4" a="1"/>
  <c r="J173" i="4" s="1"/>
  <c r="J174" i="4" a="1"/>
  <c r="J174" i="4" s="1"/>
  <c r="J175" i="4" a="1"/>
  <c r="J175" i="4"/>
  <c r="J176" i="4" a="1"/>
  <c r="J176" i="4" s="1"/>
  <c r="J177" i="4" a="1"/>
  <c r="J177" i="4" s="1"/>
  <c r="J178" i="4" a="1"/>
  <c r="J178" i="4" s="1"/>
  <c r="J179" i="4" a="1"/>
  <c r="J179" i="4" s="1"/>
  <c r="J180" i="4" a="1"/>
  <c r="J180" i="4" s="1"/>
  <c r="J181" i="4" a="1"/>
  <c r="J181" i="4" s="1"/>
  <c r="J182" i="4" a="1"/>
  <c r="J182" i="4" s="1"/>
  <c r="J183" i="4" a="1"/>
  <c r="J183" i="4" s="1"/>
  <c r="J184" i="4" a="1"/>
  <c r="J184" i="4" s="1"/>
  <c r="J185" i="4" a="1"/>
  <c r="J185" i="4" s="1"/>
  <c r="J186" i="4" a="1"/>
  <c r="J186" i="4" s="1"/>
  <c r="J187" i="4" a="1"/>
  <c r="J187" i="4" s="1"/>
  <c r="J188" i="4" a="1"/>
  <c r="J188" i="4" s="1"/>
  <c r="J189" i="4" a="1"/>
  <c r="J189" i="4" s="1"/>
  <c r="J190" i="4" a="1"/>
  <c r="J190" i="4" s="1"/>
  <c r="J191" i="4" a="1"/>
  <c r="J191" i="4" s="1"/>
  <c r="J192" i="4" a="1"/>
  <c r="J192" i="4" s="1"/>
  <c r="J193" i="4" a="1"/>
  <c r="J193" i="4" s="1"/>
  <c r="J194" i="4" a="1"/>
  <c r="J194" i="4" s="1"/>
  <c r="J195" i="4" a="1"/>
  <c r="J195" i="4" s="1"/>
  <c r="J196" i="4" a="1"/>
  <c r="J196" i="4" s="1"/>
  <c r="J197" i="4" a="1"/>
  <c r="J197" i="4" s="1"/>
  <c r="J198" i="4" a="1"/>
  <c r="J198" i="4" s="1"/>
  <c r="J199" i="4" a="1"/>
  <c r="J199" i="4" s="1"/>
  <c r="J200" i="4" a="1"/>
  <c r="J200" i="4" s="1"/>
  <c r="J201" i="4" a="1"/>
  <c r="J201" i="4" s="1"/>
  <c r="J202" i="4" a="1"/>
  <c r="J202" i="4" s="1"/>
  <c r="J203" i="4" a="1"/>
  <c r="J203" i="4"/>
  <c r="J204" i="4" a="1"/>
  <c r="J204" i="4" s="1"/>
  <c r="J205" i="4" a="1"/>
  <c r="J205" i="4" s="1"/>
  <c r="J206" i="4" a="1"/>
  <c r="J206" i="4" s="1"/>
  <c r="J207" i="4" a="1"/>
  <c r="J207" i="4" s="1"/>
  <c r="J208" i="4" a="1"/>
  <c r="J208" i="4" s="1"/>
  <c r="J209" i="4" a="1"/>
  <c r="J209" i="4" s="1"/>
  <c r="J210" i="4" a="1"/>
  <c r="J210" i="4" s="1"/>
  <c r="J211" i="4" a="1"/>
  <c r="J211" i="4"/>
  <c r="J212" i="4" a="1"/>
  <c r="J212" i="4" s="1"/>
  <c r="J213" i="4" a="1"/>
  <c r="J213" i="4" s="1"/>
  <c r="J214" i="4" a="1"/>
  <c r="J214" i="4" s="1"/>
  <c r="J215" i="4" a="1"/>
  <c r="J215" i="4" s="1"/>
  <c r="J216" i="4" a="1"/>
  <c r="J216" i="4" s="1"/>
  <c r="J217" i="4" a="1"/>
  <c r="J217" i="4" s="1"/>
  <c r="J218" i="4" a="1"/>
  <c r="J218" i="4" s="1"/>
  <c r="J219" i="4" a="1"/>
  <c r="J219" i="4" s="1"/>
  <c r="J220" i="4" a="1"/>
  <c r="J220" i="4" s="1"/>
  <c r="J221" i="4" a="1"/>
  <c r="J221" i="4" s="1"/>
  <c r="J222" i="4" a="1"/>
  <c r="J222" i="4" s="1"/>
  <c r="J223" i="4" a="1"/>
  <c r="J223" i="4"/>
  <c r="J224" i="4" a="1"/>
  <c r="J224" i="4" s="1"/>
  <c r="J225" i="4" a="1"/>
  <c r="J225" i="4" s="1"/>
  <c r="J226" i="4" a="1"/>
  <c r="J226" i="4" s="1"/>
  <c r="J227" i="4" a="1"/>
  <c r="J227" i="4"/>
  <c r="J228" i="4" a="1"/>
  <c r="J228" i="4" s="1"/>
  <c r="J229" i="4" a="1"/>
  <c r="J229" i="4" s="1"/>
  <c r="J230" i="4" a="1"/>
  <c r="J230" i="4" s="1"/>
  <c r="J231" i="4" a="1"/>
  <c r="J231" i="4" s="1"/>
  <c r="J232" i="4" a="1"/>
  <c r="J232" i="4" s="1"/>
  <c r="J233" i="4" a="1"/>
  <c r="J233" i="4" s="1"/>
  <c r="J234" i="4" a="1"/>
  <c r="J234" i="4" s="1"/>
  <c r="J235" i="4" a="1"/>
  <c r="J235" i="4"/>
  <c r="J236" i="4" a="1"/>
  <c r="J236" i="4" s="1"/>
  <c r="J237" i="4" a="1"/>
  <c r="J237" i="4" s="1"/>
  <c r="J238" i="4" a="1"/>
  <c r="J238" i="4" s="1"/>
  <c r="J239" i="4" a="1"/>
  <c r="J239" i="4" s="1"/>
  <c r="J240" i="4" a="1"/>
  <c r="J240" i="4" s="1"/>
  <c r="J241" i="4" a="1"/>
  <c r="J241" i="4" s="1"/>
  <c r="J242" i="4" a="1"/>
  <c r="J242" i="4" s="1"/>
  <c r="J243" i="4" a="1"/>
  <c r="J243" i="4" s="1"/>
  <c r="J244" i="4" a="1"/>
  <c r="J244" i="4" s="1"/>
  <c r="J245" i="4" a="1"/>
  <c r="J245" i="4" s="1"/>
  <c r="J246" i="4" a="1"/>
  <c r="J246" i="4" s="1"/>
  <c r="J247" i="4" a="1"/>
  <c r="J247" i="4"/>
  <c r="J248" i="4" a="1"/>
  <c r="J248" i="4" s="1"/>
  <c r="J249" i="4" a="1"/>
  <c r="J249" i="4" s="1"/>
  <c r="J250" i="4" a="1"/>
  <c r="J250" i="4" s="1"/>
  <c r="J251" i="4" a="1"/>
  <c r="J251" i="4" s="1"/>
  <c r="J252" i="4" a="1"/>
  <c r="J252" i="4" s="1"/>
  <c r="J253" i="4" a="1"/>
  <c r="J253" i="4" s="1"/>
  <c r="J254" i="4" a="1"/>
  <c r="J254" i="4" s="1"/>
  <c r="J255" i="4" a="1"/>
  <c r="J255" i="4" s="1"/>
  <c r="J256" i="4" a="1"/>
  <c r="J256" i="4" s="1"/>
  <c r="J257" i="4" a="1"/>
  <c r="J257" i="4" s="1"/>
  <c r="J258" i="4" a="1"/>
  <c r="J258" i="4" s="1"/>
  <c r="J259" i="4" a="1"/>
  <c r="J259" i="4" s="1"/>
  <c r="J260" i="4" a="1"/>
  <c r="J260" i="4" s="1"/>
  <c r="J261" i="4" a="1"/>
  <c r="J261" i="4" s="1"/>
  <c r="J262" i="4" a="1"/>
  <c r="J262" i="4" s="1"/>
  <c r="J263" i="4" a="1"/>
  <c r="J263" i="4" s="1"/>
  <c r="J264" i="4" a="1"/>
  <c r="J264" i="4" s="1"/>
  <c r="J265" i="4" a="1"/>
  <c r="J265" i="4" s="1"/>
  <c r="J266" i="4" a="1"/>
  <c r="J266" i="4" s="1"/>
  <c r="J267" i="4" a="1"/>
  <c r="J267" i="4" s="1"/>
  <c r="J268" i="4" a="1"/>
  <c r="J268" i="4" s="1"/>
  <c r="J269" i="4" a="1"/>
  <c r="J269" i="4" s="1"/>
  <c r="J270" i="4" a="1"/>
  <c r="J270" i="4" s="1"/>
  <c r="J271" i="4" a="1"/>
  <c r="J271" i="4" s="1"/>
  <c r="J272" i="4" a="1"/>
  <c r="J272" i="4" s="1"/>
  <c r="J273" i="4" a="1"/>
  <c r="J273" i="4" s="1"/>
  <c r="J274" i="4" a="1"/>
  <c r="J274" i="4" s="1"/>
  <c r="J275" i="4" a="1"/>
  <c r="J275" i="4"/>
  <c r="J276" i="4" a="1"/>
  <c r="J276" i="4" s="1"/>
  <c r="J277" i="4" a="1"/>
  <c r="J277" i="4" s="1"/>
  <c r="J278" i="4" a="1"/>
  <c r="J278" i="4" s="1"/>
  <c r="J279" i="4" a="1"/>
  <c r="J279" i="4" s="1"/>
  <c r="J280" i="4" a="1"/>
  <c r="J280" i="4" s="1"/>
  <c r="J281" i="4" a="1"/>
  <c r="J281" i="4" s="1"/>
  <c r="J282" i="4" a="1"/>
  <c r="J282" i="4" s="1"/>
  <c r="J283" i="4" a="1"/>
  <c r="J283" i="4"/>
  <c r="J284" i="4" a="1"/>
  <c r="J284" i="4" s="1"/>
  <c r="J285" i="4" a="1"/>
  <c r="J285" i="4" s="1"/>
  <c r="J286" i="4" a="1"/>
  <c r="J286" i="4" s="1"/>
  <c r="J287" i="4" a="1"/>
  <c r="J287" i="4" s="1"/>
  <c r="J288" i="4" a="1"/>
  <c r="J288" i="4" s="1"/>
  <c r="J289" i="4" a="1"/>
  <c r="J289" i="4" s="1"/>
  <c r="J290" i="4" a="1"/>
  <c r="J290" i="4" s="1"/>
  <c r="J291" i="4" a="1"/>
  <c r="J291" i="4" s="1"/>
  <c r="J292" i="4" a="1"/>
  <c r="J292" i="4" s="1"/>
  <c r="J293" i="4" a="1"/>
  <c r="J293" i="4" s="1"/>
  <c r="J294" i="4" a="1"/>
  <c r="J294" i="4" s="1"/>
  <c r="J295" i="4" a="1"/>
  <c r="J295" i="4"/>
  <c r="J296" i="4" a="1"/>
  <c r="J296" i="4" s="1"/>
  <c r="J297" i="4" a="1"/>
  <c r="J297" i="4" s="1"/>
  <c r="J298" i="4" a="1"/>
  <c r="J298" i="4" s="1"/>
  <c r="J299" i="4" a="1"/>
  <c r="J299" i="4"/>
  <c r="J300" i="4" a="1"/>
  <c r="J300" i="4" s="1"/>
  <c r="J301" i="4" a="1"/>
  <c r="J301" i="4" s="1"/>
  <c r="J302" i="4" a="1"/>
  <c r="J302" i="4" s="1"/>
  <c r="J303" i="4" a="1"/>
  <c r="J303" i="4" s="1"/>
  <c r="J304" i="4" a="1"/>
  <c r="J304" i="4" s="1"/>
  <c r="J305" i="4" a="1"/>
  <c r="J305" i="4" s="1"/>
  <c r="J306" i="4" a="1"/>
  <c r="J306" i="4" s="1"/>
  <c r="J307" i="4" a="1"/>
  <c r="J307" i="4"/>
  <c r="J308" i="4" a="1"/>
  <c r="J308" i="4" s="1"/>
  <c r="J309" i="4" a="1"/>
  <c r="J309" i="4" s="1"/>
  <c r="J310" i="4" a="1"/>
  <c r="J310" i="4" s="1"/>
  <c r="J311" i="4" a="1"/>
  <c r="J311" i="4" s="1"/>
  <c r="J312" i="4" a="1"/>
  <c r="J312" i="4" s="1"/>
  <c r="J313" i="4" a="1"/>
  <c r="J313" i="4" s="1"/>
  <c r="J314" i="4" a="1"/>
  <c r="J314" i="4" s="1"/>
  <c r="J315" i="4" a="1"/>
  <c r="J315" i="4" s="1"/>
  <c r="J316" i="4" a="1"/>
  <c r="J316" i="4" s="1"/>
  <c r="J317" i="4" a="1"/>
  <c r="J317" i="4" s="1"/>
  <c r="J318" i="4" a="1"/>
  <c r="J318" i="4" s="1"/>
  <c r="J319" i="4" a="1"/>
  <c r="J319" i="4"/>
  <c r="J320" i="4" a="1"/>
  <c r="J320" i="4" s="1"/>
  <c r="J321" i="4" a="1"/>
  <c r="J321" i="4" s="1"/>
  <c r="J322" i="4" a="1"/>
  <c r="J322" i="4" s="1"/>
  <c r="J323" i="4" a="1"/>
  <c r="J323" i="4" s="1"/>
  <c r="J324" i="4" a="1"/>
  <c r="J324" i="4" s="1"/>
  <c r="J325" i="4" a="1"/>
  <c r="J325" i="4" s="1"/>
  <c r="J326" i="4" a="1"/>
  <c r="J326" i="4" s="1"/>
  <c r="J327" i="4" a="1"/>
  <c r="J327" i="4" s="1"/>
  <c r="J328" i="4" a="1"/>
  <c r="J328" i="4" s="1"/>
  <c r="J329" i="4" a="1"/>
  <c r="J329" i="4" s="1"/>
  <c r="J330" i="4" a="1"/>
  <c r="J330" i="4" s="1"/>
  <c r="J331" i="4" a="1"/>
  <c r="J331" i="4" s="1"/>
  <c r="J332" i="4" a="1"/>
  <c r="J332" i="4" s="1"/>
  <c r="J333" i="4" a="1"/>
  <c r="J333" i="4" s="1"/>
  <c r="J334" i="4" a="1"/>
  <c r="J334" i="4" s="1"/>
  <c r="J335" i="4" a="1"/>
  <c r="J335" i="4" s="1"/>
  <c r="J336" i="4" a="1"/>
  <c r="J336" i="4" s="1"/>
  <c r="J337" i="4" a="1"/>
  <c r="J337" i="4" s="1"/>
  <c r="J338" i="4" a="1"/>
  <c r="J338" i="4" s="1"/>
  <c r="J339" i="4" a="1"/>
  <c r="J339" i="4" s="1"/>
  <c r="J340" i="4" a="1"/>
  <c r="J340" i="4" s="1"/>
  <c r="J341" i="4" a="1"/>
  <c r="J341" i="4" s="1"/>
  <c r="J342" i="4" a="1"/>
  <c r="J342" i="4" s="1"/>
  <c r="J343" i="4" a="1"/>
  <c r="J343" i="4" s="1"/>
  <c r="J344" i="4" a="1"/>
  <c r="J344" i="4" s="1"/>
  <c r="J345" i="4" a="1"/>
  <c r="J345" i="4" s="1"/>
  <c r="J346" i="4" a="1"/>
  <c r="J346" i="4" s="1"/>
  <c r="J347" i="4" a="1"/>
  <c r="J347" i="4"/>
  <c r="J348" i="4" a="1"/>
  <c r="J348" i="4" s="1"/>
  <c r="J349" i="4" a="1"/>
  <c r="J349" i="4" s="1"/>
  <c r="J350" i="4" a="1"/>
  <c r="J350" i="4" s="1"/>
  <c r="J351" i="4" a="1"/>
  <c r="J351" i="4" s="1"/>
  <c r="J352" i="4" a="1"/>
  <c r="J352" i="4" s="1"/>
  <c r="J353" i="4" a="1"/>
  <c r="J353" i="4" s="1"/>
  <c r="J354" i="4" a="1"/>
  <c r="J354" i="4" s="1"/>
  <c r="J355" i="4" a="1"/>
  <c r="J355" i="4"/>
  <c r="J356" i="4" a="1"/>
  <c r="J356" i="4" s="1"/>
  <c r="J357" i="4" a="1"/>
  <c r="J357" i="4" s="1"/>
  <c r="J358" i="4" a="1"/>
  <c r="J358" i="4" s="1"/>
  <c r="J359" i="4" a="1"/>
  <c r="J359" i="4" s="1"/>
  <c r="J360" i="4" a="1"/>
  <c r="J360" i="4" s="1"/>
  <c r="J361" i="4" a="1"/>
  <c r="J361" i="4" s="1"/>
  <c r="J362" i="4" a="1"/>
  <c r="J362" i="4" s="1"/>
  <c r="J363" i="4" a="1"/>
  <c r="J363" i="4" s="1"/>
  <c r="J364" i="4" a="1"/>
  <c r="J364" i="4" s="1"/>
  <c r="J365" i="4" a="1"/>
  <c r="J365" i="4" s="1"/>
  <c r="J366" i="4" a="1"/>
  <c r="J366" i="4" s="1"/>
  <c r="J367" i="4" a="1"/>
  <c r="J367" i="4"/>
  <c r="J368" i="4" a="1"/>
  <c r="J368" i="4" s="1"/>
  <c r="J369" i="4" a="1"/>
  <c r="J369" i="4" s="1"/>
  <c r="J370" i="4" a="1"/>
  <c r="J370" i="4" s="1"/>
  <c r="J371" i="4" a="1"/>
  <c r="J371" i="4"/>
  <c r="J372" i="4" a="1"/>
  <c r="J372" i="4" s="1"/>
  <c r="J373" i="4" a="1"/>
  <c r="J373" i="4" s="1"/>
  <c r="J374" i="4" a="1"/>
  <c r="J374" i="4" s="1"/>
  <c r="J375" i="4" a="1"/>
  <c r="J375" i="4" s="1"/>
  <c r="J376" i="4" a="1"/>
  <c r="J376" i="4" s="1"/>
  <c r="J377" i="4" a="1"/>
  <c r="J377" i="4" s="1"/>
  <c r="J378" i="4" a="1"/>
  <c r="J378" i="4" s="1"/>
  <c r="J379" i="4" a="1"/>
  <c r="J379" i="4"/>
  <c r="J380" i="4" a="1"/>
  <c r="J380" i="4" s="1"/>
  <c r="J381" i="4" a="1"/>
  <c r="J381" i="4" s="1"/>
  <c r="J382" i="4" a="1"/>
  <c r="J382" i="4" s="1"/>
  <c r="J383" i="4" a="1"/>
  <c r="J383" i="4" s="1"/>
  <c r="J384" i="4" a="1"/>
  <c r="J384" i="4" s="1"/>
  <c r="J385" i="4" a="1"/>
  <c r="J385" i="4" s="1"/>
  <c r="J386" i="4" a="1"/>
  <c r="J386" i="4" s="1"/>
  <c r="J387" i="4" a="1"/>
  <c r="J387" i="4" s="1"/>
  <c r="J388" i="4" a="1"/>
  <c r="J388" i="4" s="1"/>
  <c r="J389" i="4" a="1"/>
  <c r="J389" i="4" s="1"/>
  <c r="J390" i="4" a="1"/>
  <c r="J390" i="4" s="1"/>
  <c r="J391" i="4" a="1"/>
  <c r="J391" i="4"/>
  <c r="J392" i="4" a="1"/>
  <c r="J392" i="4" s="1"/>
  <c r="J393" i="4" a="1"/>
  <c r="J393" i="4" s="1"/>
  <c r="J394" i="4" a="1"/>
  <c r="J394" i="4" s="1"/>
  <c r="J395" i="4" a="1"/>
  <c r="J395" i="4" s="1"/>
  <c r="J396" i="4" a="1"/>
  <c r="J396" i="4" s="1"/>
  <c r="J397" i="4" a="1"/>
  <c r="J397" i="4" s="1"/>
  <c r="J398" i="4" a="1"/>
  <c r="J398" i="4" s="1"/>
  <c r="J399" i="4" a="1"/>
  <c r="J399" i="4" s="1"/>
  <c r="J400" i="4" a="1"/>
  <c r="J400" i="4" s="1"/>
  <c r="J401" i="4" a="1"/>
  <c r="J401" i="4" s="1"/>
  <c r="J402" i="4" a="1"/>
  <c r="J402" i="4" s="1"/>
  <c r="J403" i="4" a="1"/>
  <c r="J403" i="4" s="1"/>
  <c r="J404" i="4" a="1"/>
  <c r="J404" i="4" s="1"/>
  <c r="J405" i="4" a="1"/>
  <c r="J405" i="4" s="1"/>
  <c r="J406" i="4" a="1"/>
  <c r="J406" i="4" s="1"/>
  <c r="J407" i="4" a="1"/>
  <c r="J407" i="4" s="1"/>
  <c r="J408" i="4" a="1"/>
  <c r="J408" i="4" s="1"/>
  <c r="J409" i="4" a="1"/>
  <c r="J409" i="4" s="1"/>
  <c r="J410" i="4" a="1"/>
  <c r="J410" i="4" s="1"/>
  <c r="J411" i="4" a="1"/>
  <c r="J411" i="4" s="1"/>
  <c r="J412" i="4" a="1"/>
  <c r="J412" i="4" s="1"/>
  <c r="J413" i="4" a="1"/>
  <c r="J413" i="4" s="1"/>
  <c r="J414" i="4" a="1"/>
  <c r="J414" i="4" s="1"/>
  <c r="J415" i="4" a="1"/>
  <c r="J415" i="4" s="1"/>
  <c r="J416" i="4" a="1"/>
  <c r="J416" i="4" s="1"/>
  <c r="J417" i="4" a="1"/>
  <c r="J417" i="4" s="1"/>
  <c r="J418" i="4" a="1"/>
  <c r="J418" i="4" s="1"/>
  <c r="J419" i="4" a="1"/>
  <c r="J419" i="4"/>
  <c r="J420" i="4" a="1"/>
  <c r="J420" i="4" s="1"/>
  <c r="J421" i="4" a="1"/>
  <c r="J421" i="4" s="1"/>
  <c r="J422" i="4" a="1"/>
  <c r="J422" i="4" s="1"/>
  <c r="J423" i="4" a="1"/>
  <c r="J423" i="4" s="1"/>
  <c r="J424" i="4" a="1"/>
  <c r="J424" i="4" s="1"/>
  <c r="J425" i="4" a="1"/>
  <c r="J425" i="4" s="1"/>
  <c r="J426" i="4" a="1"/>
  <c r="J426" i="4" s="1"/>
  <c r="J427" i="4" a="1"/>
  <c r="J427" i="4"/>
  <c r="J428" i="4" a="1"/>
  <c r="J428" i="4" s="1"/>
  <c r="J429" i="4" a="1"/>
  <c r="J429" i="4" s="1"/>
  <c r="J430" i="4" a="1"/>
  <c r="J430" i="4" s="1"/>
  <c r="J431" i="4" a="1"/>
  <c r="J431" i="4" s="1"/>
  <c r="J432" i="4" a="1"/>
  <c r="J432" i="4" s="1"/>
  <c r="J433" i="4" a="1"/>
  <c r="J433" i="4" s="1"/>
  <c r="J434" i="4" a="1"/>
  <c r="J434" i="4" s="1"/>
  <c r="J435" i="4" a="1"/>
  <c r="J435" i="4" s="1"/>
  <c r="J436" i="4" a="1"/>
  <c r="J436" i="4" s="1"/>
  <c r="J437" i="4" a="1"/>
  <c r="J437" i="4" s="1"/>
  <c r="J438" i="4" a="1"/>
  <c r="J438" i="4" s="1"/>
  <c r="J439" i="4" a="1"/>
  <c r="J439" i="4"/>
  <c r="J440" i="4" a="1"/>
  <c r="J440" i="4" s="1"/>
  <c r="J441" i="4" a="1"/>
  <c r="J441" i="4" s="1"/>
  <c r="J442" i="4" a="1"/>
  <c r="J442" i="4" s="1"/>
  <c r="J443" i="4" a="1"/>
  <c r="J443" i="4"/>
  <c r="J444" i="4" a="1"/>
  <c r="J444" i="4" s="1"/>
  <c r="J445" i="4" a="1"/>
  <c r="J445" i="4" s="1"/>
  <c r="J446" i="4" a="1"/>
  <c r="J446" i="4" s="1"/>
  <c r="J447" i="4" a="1"/>
  <c r="J447" i="4" s="1"/>
  <c r="J448" i="4" a="1"/>
  <c r="J448" i="4" s="1"/>
  <c r="J449" i="4" a="1"/>
  <c r="J449" i="4" s="1"/>
  <c r="J450" i="4" a="1"/>
  <c r="J450" i="4" s="1"/>
  <c r="J451" i="4" a="1"/>
  <c r="J451" i="4"/>
  <c r="J452" i="4" a="1"/>
  <c r="J452" i="4" s="1"/>
  <c r="J453" i="4" a="1"/>
  <c r="J453" i="4" s="1"/>
  <c r="J454" i="4" a="1"/>
  <c r="J454" i="4" s="1"/>
  <c r="J455" i="4" a="1"/>
  <c r="J455" i="4" s="1"/>
  <c r="J456" i="4" a="1"/>
  <c r="J456" i="4" s="1"/>
  <c r="J457" i="4" a="1"/>
  <c r="J457" i="4" s="1"/>
  <c r="J458" i="4" a="1"/>
  <c r="J458" i="4" s="1"/>
  <c r="J459" i="4" a="1"/>
  <c r="J459" i="4" s="1"/>
  <c r="J460" i="4" a="1"/>
  <c r="J460" i="4" s="1"/>
  <c r="J461" i="4" a="1"/>
  <c r="J461" i="4" s="1"/>
  <c r="J462" i="4" a="1"/>
  <c r="J462" i="4" s="1"/>
  <c r="J463" i="4" a="1"/>
  <c r="J463" i="4"/>
  <c r="J464" i="4" a="1"/>
  <c r="J464" i="4" s="1"/>
  <c r="J465" i="4" a="1"/>
  <c r="J465" i="4" s="1"/>
  <c r="J466" i="4" a="1"/>
  <c r="J466" i="4" s="1"/>
  <c r="J467" i="4" a="1"/>
  <c r="J467" i="4" s="1"/>
  <c r="J468" i="4" a="1"/>
  <c r="J468" i="4" s="1"/>
  <c r="J469" i="4" a="1"/>
  <c r="J469" i="4" s="1"/>
  <c r="J470" i="4" a="1"/>
  <c r="J470" i="4" s="1"/>
  <c r="J471" i="4" a="1"/>
  <c r="J471" i="4" s="1"/>
  <c r="J472" i="4" a="1"/>
  <c r="J472" i="4" s="1"/>
  <c r="J473" i="4" a="1"/>
  <c r="J473" i="4" s="1"/>
  <c r="J474" i="4" a="1"/>
  <c r="J474" i="4" s="1"/>
  <c r="J475" i="4" a="1"/>
  <c r="J475" i="4" s="1"/>
  <c r="J476" i="4" a="1"/>
  <c r="J476" i="4" s="1"/>
  <c r="J477" i="4" a="1"/>
  <c r="J477" i="4" s="1"/>
  <c r="J478" i="4" a="1"/>
  <c r="J478" i="4" s="1"/>
  <c r="J479" i="4" a="1"/>
  <c r="J479" i="4" s="1"/>
  <c r="J480" i="4" a="1"/>
  <c r="J480" i="4" s="1"/>
  <c r="J481" i="4" a="1"/>
  <c r="J481" i="4" s="1"/>
  <c r="J482" i="4" a="1"/>
  <c r="J482" i="4" s="1"/>
  <c r="J483" i="4" a="1"/>
  <c r="J483" i="4" s="1"/>
  <c r="J484" i="4" a="1"/>
  <c r="J484" i="4" s="1"/>
  <c r="J485" i="4" a="1"/>
  <c r="J485" i="4" s="1"/>
  <c r="J486" i="4" a="1"/>
  <c r="J486" i="4" s="1"/>
  <c r="J487" i="4" a="1"/>
  <c r="J487" i="4" s="1"/>
  <c r="J488" i="4" a="1"/>
  <c r="J488" i="4" s="1"/>
  <c r="J489" i="4" a="1"/>
  <c r="J489" i="4" s="1"/>
  <c r="J490" i="4" a="1"/>
  <c r="J490" i="4" s="1"/>
  <c r="J491" i="4" a="1"/>
  <c r="J491" i="4"/>
  <c r="J492" i="4" a="1"/>
  <c r="J492" i="4" s="1"/>
  <c r="J493" i="4" a="1"/>
  <c r="J493" i="4" s="1"/>
  <c r="J494" i="4" a="1"/>
  <c r="J494" i="4" s="1"/>
  <c r="J495" i="4" a="1"/>
  <c r="J495" i="4" s="1"/>
  <c r="J496" i="4" a="1"/>
  <c r="J496" i="4" s="1"/>
  <c r="J497" i="4" a="1"/>
  <c r="J497" i="4" s="1"/>
  <c r="J498" i="4" a="1"/>
  <c r="J498" i="4" s="1"/>
  <c r="J499" i="4" a="1"/>
  <c r="J499" i="4"/>
  <c r="J500" i="4" a="1"/>
  <c r="J500" i="4" s="1"/>
  <c r="J501" i="4" a="1"/>
  <c r="J501" i="4" s="1"/>
  <c r="J502" i="4" a="1"/>
  <c r="J502" i="4" s="1"/>
  <c r="J503" i="4" a="1"/>
  <c r="J503" i="4" s="1"/>
  <c r="J504" i="4" a="1"/>
  <c r="J504" i="4" s="1"/>
  <c r="J505" i="4" a="1"/>
  <c r="J505" i="4" s="1"/>
  <c r="J506" i="4" a="1"/>
  <c r="J506" i="4" s="1"/>
  <c r="J507" i="4" a="1"/>
  <c r="J507" i="4" s="1"/>
  <c r="J508" i="4" a="1"/>
  <c r="J508" i="4" s="1"/>
  <c r="J509" i="4" a="1"/>
  <c r="J509" i="4" s="1"/>
  <c r="J510" i="4" a="1"/>
  <c r="J510" i="4" s="1"/>
  <c r="J511" i="4" a="1"/>
  <c r="J511" i="4"/>
  <c r="J512" i="4" a="1"/>
  <c r="J512" i="4" s="1"/>
  <c r="J513" i="4" a="1"/>
  <c r="J513" i="4" s="1"/>
  <c r="J514" i="4" a="1"/>
  <c r="J514" i="4"/>
  <c r="J515" i="4" a="1"/>
  <c r="J515" i="4" s="1"/>
  <c r="J516" i="4" a="1"/>
  <c r="J516" i="4" s="1"/>
  <c r="J517" i="4" a="1"/>
  <c r="J517" i="4"/>
  <c r="J518" i="4" a="1"/>
  <c r="J518" i="4" s="1"/>
  <c r="J519" i="4" a="1"/>
  <c r="J519" i="4"/>
  <c r="J520" i="4" a="1"/>
  <c r="J520" i="4" s="1"/>
  <c r="J521" i="4" a="1"/>
  <c r="J521" i="4" s="1"/>
  <c r="J522" i="4" a="1"/>
  <c r="J522" i="4" s="1"/>
  <c r="J523" i="4" a="1"/>
  <c r="J523" i="4" s="1"/>
  <c r="J524" i="4" a="1"/>
  <c r="J524" i="4" s="1"/>
  <c r="J525" i="4" a="1"/>
  <c r="J525" i="4" s="1"/>
  <c r="J526" i="4" a="1"/>
  <c r="J526" i="4"/>
  <c r="J527" i="4" a="1"/>
  <c r="J527" i="4" s="1"/>
  <c r="J528" i="4" a="1"/>
  <c r="J528" i="4"/>
  <c r="J529" i="4" a="1"/>
  <c r="J529" i="4" s="1"/>
  <c r="J530" i="4" a="1"/>
  <c r="J530" i="4" s="1"/>
  <c r="J531" i="4" a="1"/>
  <c r="J531" i="4" s="1"/>
  <c r="J532" i="4" a="1"/>
  <c r="J532" i="4" s="1"/>
  <c r="J533" i="4" a="1"/>
  <c r="J533" i="4" s="1"/>
  <c r="J534" i="4" a="1"/>
  <c r="J534" i="4"/>
  <c r="J535" i="4" a="1"/>
  <c r="J535" i="4"/>
  <c r="J536" i="4" a="1"/>
  <c r="J536" i="4" s="1"/>
  <c r="J537" i="4" a="1"/>
  <c r="J537" i="4" s="1"/>
  <c r="J538" i="4" a="1"/>
  <c r="J538" i="4" s="1"/>
  <c r="J539" i="4" a="1"/>
  <c r="J539" i="4" s="1"/>
  <c r="J540" i="4" a="1"/>
  <c r="J540" i="4"/>
  <c r="J541" i="4" a="1"/>
  <c r="J541" i="4"/>
  <c r="J542" i="4" a="1"/>
  <c r="J542" i="4" s="1"/>
  <c r="J543" i="4" a="1"/>
  <c r="J543" i="4"/>
  <c r="J544" i="4" a="1"/>
  <c r="J544" i="4" s="1"/>
  <c r="J545" i="4" a="1"/>
  <c r="J545" i="4" s="1"/>
  <c r="J546" i="4" a="1"/>
  <c r="J546" i="4"/>
  <c r="J547" i="4" a="1"/>
  <c r="J547" i="4"/>
  <c r="J548" i="4" a="1"/>
  <c r="J548" i="4" s="1"/>
  <c r="J549" i="4" a="1"/>
  <c r="J549" i="4" s="1"/>
  <c r="J550" i="4" a="1"/>
  <c r="J550" i="4"/>
  <c r="J551" i="4" a="1"/>
  <c r="J551" i="4" s="1"/>
  <c r="J552" i="4" a="1"/>
  <c r="J552" i="4" s="1"/>
  <c r="J553" i="4" a="1"/>
  <c r="J553" i="4"/>
  <c r="J554" i="4" a="1"/>
  <c r="J554" i="4" s="1"/>
  <c r="J555" i="4" a="1"/>
  <c r="J555" i="4"/>
  <c r="J556" i="4" a="1"/>
  <c r="J556" i="4" s="1"/>
  <c r="J557" i="4" a="1"/>
  <c r="J557" i="4" s="1"/>
  <c r="J558" i="4" a="1"/>
  <c r="J558" i="4" s="1"/>
  <c r="J559" i="4" a="1"/>
  <c r="J559" i="4" s="1"/>
  <c r="J560" i="4" a="1"/>
  <c r="J560" i="4" s="1"/>
  <c r="J561" i="4" a="1"/>
  <c r="J561" i="4" s="1"/>
  <c r="J562" i="4" a="1"/>
  <c r="J562" i="4"/>
  <c r="J563" i="4" a="1"/>
  <c r="J563" i="4" s="1"/>
  <c r="J564" i="4" a="1"/>
  <c r="J564" i="4"/>
  <c r="J565" i="4" a="1"/>
  <c r="J565" i="4" s="1"/>
  <c r="J566" i="4" a="1"/>
  <c r="J566" i="4" s="1"/>
  <c r="J567" i="4" a="1"/>
  <c r="J567" i="4" s="1"/>
  <c r="J568" i="4" a="1"/>
  <c r="J568" i="4" s="1"/>
  <c r="J569" i="4" a="1"/>
  <c r="J569" i="4" s="1"/>
  <c r="J570" i="4" a="1"/>
  <c r="J570" i="4"/>
  <c r="J571" i="4" a="1"/>
  <c r="J571" i="4"/>
  <c r="J572" i="4" a="1"/>
  <c r="J572" i="4" s="1"/>
  <c r="J573" i="4" a="1"/>
  <c r="J573" i="4" s="1"/>
  <c r="J574" i="4" a="1"/>
  <c r="J574" i="4" s="1"/>
  <c r="J575" i="4" a="1"/>
  <c r="J575" i="4" s="1"/>
  <c r="J576" i="4" a="1"/>
  <c r="J576" i="4"/>
  <c r="J577" i="4" a="1"/>
  <c r="J577" i="4"/>
  <c r="J578" i="4" a="1"/>
  <c r="J578" i="4" s="1"/>
  <c r="J579" i="4" a="1"/>
  <c r="J579" i="4"/>
  <c r="J580" i="4" a="1"/>
  <c r="J580" i="4" s="1"/>
  <c r="J581" i="4" a="1"/>
  <c r="J581" i="4" s="1"/>
  <c r="J582" i="4" a="1"/>
  <c r="J582" i="4"/>
  <c r="J583" i="4" a="1"/>
  <c r="J583" i="4"/>
  <c r="J584" i="4" a="1"/>
  <c r="J584" i="4" s="1"/>
  <c r="J585" i="4" a="1"/>
  <c r="J585" i="4" s="1"/>
  <c r="J586" i="4" a="1"/>
  <c r="J586" i="4"/>
  <c r="J587" i="4" a="1"/>
  <c r="J587" i="4" s="1"/>
  <c r="J588" i="4" a="1"/>
  <c r="J588" i="4" s="1"/>
  <c r="J589" i="4" a="1"/>
  <c r="J589" i="4"/>
  <c r="J590" i="4" a="1"/>
  <c r="J590" i="4" s="1"/>
  <c r="J591" i="4" a="1"/>
  <c r="J591" i="4"/>
  <c r="J592" i="4" a="1"/>
  <c r="J592" i="4" s="1"/>
  <c r="J593" i="4" a="1"/>
  <c r="J593" i="4" s="1"/>
  <c r="J594" i="4" a="1"/>
  <c r="J594" i="4" s="1"/>
  <c r="J595" i="4" a="1"/>
  <c r="J595" i="4" s="1"/>
  <c r="J596" i="4" a="1"/>
  <c r="J596" i="4" s="1"/>
  <c r="J597" i="4" a="1"/>
  <c r="J597" i="4" s="1"/>
  <c r="J598" i="4" a="1"/>
  <c r="J598" i="4"/>
  <c r="J599" i="4" a="1"/>
  <c r="J599" i="4" s="1"/>
  <c r="J600" i="4" a="1"/>
  <c r="J600" i="4"/>
  <c r="J601" i="4" a="1"/>
  <c r="J601" i="4" s="1"/>
  <c r="J602" i="4" a="1"/>
  <c r="J602" i="4" s="1"/>
  <c r="J603" i="4" a="1"/>
  <c r="J603" i="4" s="1"/>
  <c r="J604" i="4" a="1"/>
  <c r="J604" i="4" s="1"/>
  <c r="J605" i="4" a="1"/>
  <c r="J605" i="4" s="1"/>
  <c r="J606" i="4" a="1"/>
  <c r="J606" i="4"/>
  <c r="J607" i="4" a="1"/>
  <c r="J607" i="4"/>
  <c r="J608" i="4" a="1"/>
  <c r="J608" i="4" s="1"/>
  <c r="J609" i="4" a="1"/>
  <c r="J609" i="4" s="1"/>
  <c r="J610" i="4" a="1"/>
  <c r="J610" i="4" s="1"/>
  <c r="J611" i="4" a="1"/>
  <c r="J611" i="4" s="1"/>
  <c r="J612" i="4" a="1"/>
  <c r="J612" i="4"/>
  <c r="J613" i="4" a="1"/>
  <c r="J613" i="4"/>
  <c r="J614" i="4" a="1"/>
  <c r="J614" i="4" s="1"/>
  <c r="J615" i="4" a="1"/>
  <c r="J615" i="4"/>
  <c r="J616" i="4" a="1"/>
  <c r="J616" i="4" s="1"/>
  <c r="J617" i="4" a="1"/>
  <c r="J617" i="4" s="1"/>
  <c r="J618" i="4" a="1"/>
  <c r="J618" i="4"/>
  <c r="J619" i="4" a="1"/>
  <c r="J619" i="4"/>
  <c r="J620" i="4" a="1"/>
  <c r="J620" i="4" s="1"/>
  <c r="J621" i="4" a="1"/>
  <c r="J621" i="4" s="1"/>
  <c r="J622" i="4" a="1"/>
  <c r="J622" i="4"/>
  <c r="J623" i="4" a="1"/>
  <c r="J623" i="4" s="1"/>
  <c r="J624" i="4" a="1"/>
  <c r="J624" i="4" s="1"/>
  <c r="J625" i="4" a="1"/>
  <c r="J625" i="4"/>
  <c r="J626" i="4" a="1"/>
  <c r="J626" i="4" s="1"/>
  <c r="J627" i="4" a="1"/>
  <c r="J627" i="4"/>
  <c r="J628" i="4" a="1"/>
  <c r="J628" i="4" s="1"/>
  <c r="J629" i="4" a="1"/>
  <c r="J629" i="4" s="1"/>
  <c r="J630" i="4" a="1"/>
  <c r="J630" i="4" s="1"/>
  <c r="J631" i="4" a="1"/>
  <c r="J631" i="4" s="1"/>
  <c r="J632" i="4" a="1"/>
  <c r="J632" i="4" s="1"/>
  <c r="J633" i="4" a="1"/>
  <c r="J633" i="4" s="1"/>
  <c r="J634" i="4" a="1"/>
  <c r="J634" i="4"/>
  <c r="J635" i="4" a="1"/>
  <c r="J635" i="4" s="1"/>
  <c r="J636" i="4" a="1"/>
  <c r="J636" i="4"/>
  <c r="J637" i="4" a="1"/>
  <c r="J637" i="4" s="1"/>
  <c r="J638" i="4" a="1"/>
  <c r="J638" i="4" s="1"/>
  <c r="J639" i="4" a="1"/>
  <c r="J639" i="4" s="1"/>
  <c r="J640" i="4" a="1"/>
  <c r="J640" i="4" s="1"/>
  <c r="J641" i="4" a="1"/>
  <c r="J641" i="4" s="1"/>
  <c r="J642" i="4" a="1"/>
  <c r="J642" i="4"/>
  <c r="J643" i="4" a="1"/>
  <c r="J643" i="4" s="1"/>
  <c r="J644" i="4" a="1"/>
  <c r="J644" i="4" s="1"/>
  <c r="J645" i="4" a="1"/>
  <c r="J645" i="4" s="1"/>
  <c r="J646" i="4" a="1"/>
  <c r="J646" i="4" s="1"/>
  <c r="J647" i="4" a="1"/>
  <c r="J647" i="4" s="1"/>
  <c r="J648" i="4" a="1"/>
  <c r="J648" i="4"/>
  <c r="J649" i="4" a="1"/>
  <c r="J649" i="4" s="1"/>
  <c r="J650" i="4" a="1"/>
  <c r="J650" i="4" s="1"/>
  <c r="J651" i="4" a="1"/>
  <c r="J651" i="4" s="1"/>
  <c r="J652" i="4" a="1"/>
  <c r="J652" i="4" s="1"/>
  <c r="J653" i="4" a="1"/>
  <c r="J653" i="4" s="1"/>
  <c r="J654" i="4" a="1"/>
  <c r="J654" i="4" s="1"/>
  <c r="J655" i="4" a="1"/>
  <c r="J655" i="4" s="1"/>
  <c r="J656" i="4" a="1"/>
  <c r="J656" i="4" s="1"/>
  <c r="J657" i="4" a="1"/>
  <c r="J657" i="4" s="1"/>
  <c r="J658" i="4" a="1"/>
  <c r="J658" i="4" s="1"/>
  <c r="J659" i="4" a="1"/>
  <c r="J659" i="4" s="1"/>
  <c r="J660" i="4" a="1"/>
  <c r="J660" i="4"/>
  <c r="J661" i="4" a="1"/>
  <c r="J661" i="4" s="1"/>
  <c r="J662" i="4" a="1"/>
  <c r="J662" i="4" s="1"/>
  <c r="J663" i="4" a="1"/>
  <c r="J663" i="4" s="1"/>
  <c r="J664" i="4" a="1"/>
  <c r="J664" i="4" s="1"/>
  <c r="J665" i="4" a="1"/>
  <c r="J665" i="4" s="1"/>
  <c r="J666" i="4" a="1"/>
  <c r="J666" i="4"/>
  <c r="J667" i="4" a="1"/>
  <c r="J667" i="4" s="1"/>
  <c r="J668" i="4" a="1"/>
  <c r="J668" i="4" s="1"/>
  <c r="J669" i="4" a="1"/>
  <c r="J669" i="4" s="1"/>
  <c r="J670" i="4" a="1"/>
  <c r="J670" i="4" s="1"/>
  <c r="J671" i="4" a="1"/>
  <c r="J671" i="4" s="1"/>
  <c r="J672" i="4" a="1"/>
  <c r="J672" i="4" s="1"/>
  <c r="J673" i="4" a="1"/>
  <c r="J673" i="4" s="1"/>
  <c r="J674" i="4" a="1"/>
  <c r="J674" i="4" s="1"/>
  <c r="J675" i="4" a="1"/>
  <c r="J675" i="4" s="1"/>
  <c r="J676" i="4" a="1"/>
  <c r="J676" i="4" s="1"/>
  <c r="J677" i="4" a="1"/>
  <c r="J677" i="4" s="1"/>
  <c r="J678" i="4" a="1"/>
  <c r="J678" i="4"/>
  <c r="J679" i="4" a="1"/>
  <c r="J679" i="4" s="1"/>
  <c r="J680" i="4" a="1"/>
  <c r="J680" i="4" s="1"/>
  <c r="J681" i="4" a="1"/>
  <c r="J681" i="4" s="1"/>
  <c r="J682" i="4" a="1"/>
  <c r="J682" i="4" s="1"/>
  <c r="J683" i="4" a="1"/>
  <c r="J683" i="4" s="1"/>
  <c r="J684" i="4" a="1"/>
  <c r="J684" i="4"/>
  <c r="J685" i="4" a="1"/>
  <c r="J685" i="4" s="1"/>
  <c r="J686" i="4" a="1"/>
  <c r="J686" i="4" s="1"/>
  <c r="J687" i="4" a="1"/>
  <c r="J687" i="4" s="1"/>
  <c r="J688" i="4" a="1"/>
  <c r="J688" i="4" s="1"/>
  <c r="J689" i="4" a="1"/>
  <c r="J689" i="4" s="1"/>
  <c r="J690" i="4" a="1"/>
  <c r="J690" i="4" s="1"/>
  <c r="J691" i="4" a="1"/>
  <c r="J691" i="4" s="1"/>
  <c r="J692" i="4" a="1"/>
  <c r="J692" i="4" s="1"/>
  <c r="J693" i="4" a="1"/>
  <c r="J693" i="4" s="1"/>
  <c r="J694" i="4" a="1"/>
  <c r="J694" i="4" s="1"/>
  <c r="J695" i="4" a="1"/>
  <c r="J695" i="4" s="1"/>
  <c r="J696" i="4" a="1"/>
  <c r="J696" i="4"/>
  <c r="J697" i="4" a="1"/>
  <c r="J697" i="4" s="1"/>
  <c r="J698" i="4" a="1"/>
  <c r="J698" i="4" s="1"/>
  <c r="J699" i="4" a="1"/>
  <c r="J699" i="4" s="1"/>
  <c r="J700" i="4" a="1"/>
  <c r="J700" i="4" s="1"/>
  <c r="J701" i="4" a="1"/>
  <c r="J701" i="4" s="1"/>
  <c r="J702" i="4" a="1"/>
  <c r="J702" i="4"/>
  <c r="J703" i="4" a="1"/>
  <c r="J703" i="4" s="1"/>
  <c r="J704" i="4" a="1"/>
  <c r="J704" i="4" s="1"/>
  <c r="J705" i="4" a="1"/>
  <c r="J705" i="4" s="1"/>
  <c r="J706" i="4" a="1"/>
  <c r="J706" i="4" s="1"/>
  <c r="J707" i="4" a="1"/>
  <c r="J707" i="4" s="1"/>
  <c r="J708" i="4" a="1"/>
  <c r="J708" i="4" s="1"/>
  <c r="J709" i="4" a="1"/>
  <c r="J709" i="4" s="1"/>
  <c r="J710" i="4" a="1"/>
  <c r="J710" i="4" s="1"/>
  <c r="J711" i="4" a="1"/>
  <c r="J711" i="4" s="1"/>
  <c r="J712" i="4" a="1"/>
  <c r="J712" i="4" s="1"/>
  <c r="J713" i="4" a="1"/>
  <c r="J713" i="4" s="1"/>
  <c r="J714" i="4" a="1"/>
  <c r="J714" i="4"/>
  <c r="J715" i="4" a="1"/>
  <c r="J715" i="4" s="1"/>
  <c r="J716" i="4" a="1"/>
  <c r="J716" i="4" s="1"/>
  <c r="J717" i="4" a="1"/>
  <c r="J717" i="4" s="1"/>
  <c r="J718" i="4" a="1"/>
  <c r="J718" i="4" s="1"/>
  <c r="J719" i="4" a="1"/>
  <c r="J719" i="4" s="1"/>
  <c r="J720" i="4" a="1"/>
  <c r="J720" i="4"/>
  <c r="J721" i="4" a="1"/>
  <c r="J721" i="4" s="1"/>
  <c r="J722" i="4" a="1"/>
  <c r="J722" i="4" s="1"/>
  <c r="J723" i="4" a="1"/>
  <c r="J723" i="4" s="1"/>
  <c r="J724" i="4" a="1"/>
  <c r="J724" i="4" s="1"/>
  <c r="J725" i="4" a="1"/>
  <c r="J725" i="4" s="1"/>
  <c r="J726" i="4" a="1"/>
  <c r="J726" i="4" s="1"/>
  <c r="J727" i="4" a="1"/>
  <c r="J727" i="4" s="1"/>
  <c r="J728" i="4" a="1"/>
  <c r="J728" i="4" s="1"/>
  <c r="J729" i="4" a="1"/>
  <c r="J729" i="4" s="1"/>
  <c r="J730" i="4" a="1"/>
  <c r="J730" i="4" s="1"/>
  <c r="J731" i="4" a="1"/>
  <c r="J731" i="4" s="1"/>
  <c r="J732" i="4" a="1"/>
  <c r="J732" i="4"/>
  <c r="J733" i="4" a="1"/>
  <c r="J733" i="4" s="1"/>
  <c r="J734" i="4" a="1"/>
  <c r="J734" i="4" s="1"/>
  <c r="J735" i="4" a="1"/>
  <c r="J735" i="4" s="1"/>
  <c r="J736" i="4" a="1"/>
  <c r="J736" i="4" s="1"/>
  <c r="J737" i="4" a="1"/>
  <c r="J737" i="4" s="1"/>
  <c r="J738" i="4" a="1"/>
  <c r="J738" i="4"/>
  <c r="J739" i="4" a="1"/>
  <c r="J739" i="4" s="1"/>
  <c r="J740" i="4" a="1"/>
  <c r="J740" i="4" s="1"/>
  <c r="J741" i="4" a="1"/>
  <c r="J741" i="4" s="1"/>
  <c r="J742" i="4" a="1"/>
  <c r="J742" i="4" s="1"/>
  <c r="J743" i="4" a="1"/>
  <c r="J743" i="4" s="1"/>
  <c r="J744" i="4" a="1"/>
  <c r="J744" i="4" s="1"/>
  <c r="J745" i="4" a="1"/>
  <c r="J745" i="4" s="1"/>
  <c r="J746" i="4" a="1"/>
  <c r="J746" i="4" s="1"/>
  <c r="J747" i="4" a="1"/>
  <c r="J747" i="4" s="1"/>
  <c r="J748" i="4" a="1"/>
  <c r="J748" i="4" s="1"/>
  <c r="J749" i="4" a="1"/>
  <c r="J749" i="4" s="1"/>
  <c r="J750" i="4" a="1"/>
  <c r="J750" i="4"/>
  <c r="J751" i="4" a="1"/>
  <c r="J751" i="4" s="1"/>
  <c r="J752" i="4" a="1"/>
  <c r="J752" i="4" s="1"/>
  <c r="J753" i="4" a="1"/>
  <c r="J753" i="4" s="1"/>
  <c r="J754" i="4" a="1"/>
  <c r="J754" i="4" s="1"/>
  <c r="J755" i="4" a="1"/>
  <c r="J755" i="4" s="1"/>
  <c r="J756" i="4" a="1"/>
  <c r="J756" i="4"/>
  <c r="J757" i="4" a="1"/>
  <c r="J757" i="4" s="1"/>
  <c r="J758" i="4" a="1"/>
  <c r="J758" i="4" s="1"/>
  <c r="J759" i="4" a="1"/>
  <c r="J759" i="4" s="1"/>
  <c r="J760" i="4" a="1"/>
  <c r="J760" i="4" s="1"/>
  <c r="J761" i="4" a="1"/>
  <c r="J761" i="4" s="1"/>
  <c r="J762" i="4" a="1"/>
  <c r="J762" i="4" s="1"/>
  <c r="J763" i="4" a="1"/>
  <c r="J763" i="4" s="1"/>
  <c r="J764" i="4" a="1"/>
  <c r="J764" i="4" s="1"/>
  <c r="J765" i="4" a="1"/>
  <c r="J765" i="4" s="1"/>
  <c r="J766" i="4" a="1"/>
  <c r="J766" i="4" s="1"/>
  <c r="J767" i="4" a="1"/>
  <c r="J767" i="4" s="1"/>
  <c r="J768" i="4" a="1"/>
  <c r="J768" i="4"/>
  <c r="J769" i="4" a="1"/>
  <c r="J769" i="4" s="1"/>
  <c r="J770" i="4" a="1"/>
  <c r="J770" i="4" s="1"/>
  <c r="J771" i="4" a="1"/>
  <c r="J771" i="4" s="1"/>
  <c r="J772" i="4" a="1"/>
  <c r="J772" i="4" s="1"/>
  <c r="J773" i="4" a="1"/>
  <c r="J773" i="4" s="1"/>
  <c r="J774" i="4" a="1"/>
  <c r="J774" i="4"/>
  <c r="J775" i="4" a="1"/>
  <c r="J775" i="4" s="1"/>
  <c r="J776" i="4" a="1"/>
  <c r="J776" i="4" s="1"/>
  <c r="J777" i="4" a="1"/>
  <c r="J777" i="4" s="1"/>
  <c r="J778" i="4" a="1"/>
  <c r="J778" i="4" s="1"/>
  <c r="J779" i="4" a="1"/>
  <c r="J779" i="4" s="1"/>
  <c r="J780" i="4" a="1"/>
  <c r="J780" i="4" s="1"/>
  <c r="J781" i="4" a="1"/>
  <c r="J781" i="4" s="1"/>
  <c r="J782" i="4" a="1"/>
  <c r="J782" i="4" s="1"/>
  <c r="J783" i="4" a="1"/>
  <c r="J783" i="4" s="1"/>
  <c r="J784" i="4" a="1"/>
  <c r="J784" i="4" s="1"/>
  <c r="J785" i="4" a="1"/>
  <c r="J785" i="4" s="1"/>
  <c r="J786" i="4" a="1"/>
  <c r="J786" i="4"/>
  <c r="J787" i="4" a="1"/>
  <c r="J787" i="4" s="1"/>
  <c r="J788" i="4" a="1"/>
  <c r="J788" i="4" s="1"/>
  <c r="J789" i="4" a="1"/>
  <c r="J789" i="4" s="1"/>
  <c r="J790" i="4" a="1"/>
  <c r="J790" i="4" s="1"/>
  <c r="J791" i="4" a="1"/>
  <c r="J791" i="4" s="1"/>
  <c r="J792" i="4" a="1"/>
  <c r="J792" i="4"/>
  <c r="J793" i="4" a="1"/>
  <c r="J793" i="4" s="1"/>
  <c r="J794" i="4" a="1"/>
  <c r="J794" i="4" s="1"/>
  <c r="J795" i="4" a="1"/>
  <c r="J795" i="4" s="1"/>
  <c r="J796" i="4" a="1"/>
  <c r="J796" i="4" s="1"/>
  <c r="J797" i="4" a="1"/>
  <c r="J797" i="4" s="1"/>
  <c r="J798" i="4" a="1"/>
  <c r="J798" i="4" s="1"/>
  <c r="J799" i="4" a="1"/>
  <c r="J799" i="4" s="1"/>
  <c r="J800" i="4" a="1"/>
  <c r="J800" i="4" s="1"/>
  <c r="J801" i="4" a="1"/>
  <c r="J801" i="4" s="1"/>
  <c r="J802" i="4" a="1"/>
  <c r="J802" i="4" s="1"/>
  <c r="J803" i="4" a="1"/>
  <c r="J803" i="4" s="1"/>
  <c r="J804" i="4" a="1"/>
  <c r="J804" i="4"/>
  <c r="J805" i="4" a="1"/>
  <c r="J805" i="4" s="1"/>
  <c r="J806" i="4" a="1"/>
  <c r="J806" i="4" s="1"/>
  <c r="J807" i="4" a="1"/>
  <c r="J807" i="4" s="1"/>
  <c r="J808" i="4" a="1"/>
  <c r="J808" i="4" s="1"/>
  <c r="J809" i="4" a="1"/>
  <c r="J809" i="4" s="1"/>
  <c r="J810" i="4" a="1"/>
  <c r="J810" i="4"/>
  <c r="J811" i="4" a="1"/>
  <c r="J811" i="4" s="1"/>
  <c r="J812" i="4" a="1"/>
  <c r="J812" i="4" s="1"/>
  <c r="J813" i="4" a="1"/>
  <c r="J813" i="4" s="1"/>
  <c r="J814" i="4" a="1"/>
  <c r="J814" i="4" s="1"/>
  <c r="J815" i="4" a="1"/>
  <c r="J815" i="4" s="1"/>
  <c r="J816" i="4" a="1"/>
  <c r="J816" i="4"/>
  <c r="J817" i="4" a="1"/>
  <c r="J817" i="4" s="1"/>
  <c r="J818" i="4" a="1"/>
  <c r="J818" i="4" s="1"/>
  <c r="J819" i="4" a="1"/>
  <c r="J819" i="4" s="1"/>
  <c r="J820" i="4" a="1"/>
  <c r="J820" i="4" s="1"/>
  <c r="J821" i="4" a="1"/>
  <c r="J821" i="4" s="1"/>
  <c r="J822" i="4" a="1"/>
  <c r="J822" i="4"/>
  <c r="J823" i="4" a="1"/>
  <c r="J823" i="4" s="1"/>
  <c r="J824" i="4" a="1"/>
  <c r="J824" i="4" s="1"/>
  <c r="J825" i="4" a="1"/>
  <c r="J825" i="4" s="1"/>
  <c r="J826" i="4" a="1"/>
  <c r="J826" i="4" s="1"/>
  <c r="J827" i="4" a="1"/>
  <c r="J827" i="4" s="1"/>
  <c r="J828" i="4" a="1"/>
  <c r="J828" i="4" s="1"/>
  <c r="J829" i="4" a="1"/>
  <c r="J829" i="4" s="1"/>
  <c r="J830" i="4" a="1"/>
  <c r="J830" i="4" s="1"/>
  <c r="J831" i="4" a="1"/>
  <c r="J831" i="4" s="1"/>
  <c r="J832" i="4" a="1"/>
  <c r="J832" i="4" s="1"/>
  <c r="J833" i="4" a="1"/>
  <c r="J833" i="4" s="1"/>
  <c r="J834" i="4" a="1"/>
  <c r="J834" i="4"/>
  <c r="J835" i="4" a="1"/>
  <c r="J835" i="4" s="1"/>
  <c r="J836" i="4" a="1"/>
  <c r="J836" i="4" s="1"/>
  <c r="J837" i="4" a="1"/>
  <c r="J837" i="4" s="1"/>
  <c r="J838" i="4" a="1"/>
  <c r="J838" i="4" s="1"/>
  <c r="J839" i="4" a="1"/>
  <c r="J839" i="4" s="1"/>
  <c r="J840" i="4" a="1"/>
  <c r="J840" i="4" s="1"/>
  <c r="J841" i="4" a="1"/>
  <c r="J841" i="4" s="1"/>
  <c r="J842" i="4" a="1"/>
  <c r="J842" i="4" s="1"/>
  <c r="J843" i="4" a="1"/>
  <c r="J843" i="4" s="1"/>
  <c r="J844" i="4" a="1"/>
  <c r="J844" i="4" s="1"/>
  <c r="J845" i="4" a="1"/>
  <c r="J845" i="4" s="1"/>
  <c r="J846" i="4" a="1"/>
  <c r="J846" i="4"/>
  <c r="J847" i="4" a="1"/>
  <c r="J847" i="4" s="1"/>
  <c r="J848" i="4" a="1"/>
  <c r="J848" i="4" s="1"/>
  <c r="J849" i="4" a="1"/>
  <c r="J849" i="4" s="1"/>
  <c r="J850" i="4" a="1"/>
  <c r="J850" i="4" s="1"/>
  <c r="J851" i="4" a="1"/>
  <c r="J851" i="4" s="1"/>
  <c r="J852" i="4" a="1"/>
  <c r="J852" i="4" s="1"/>
  <c r="J853" i="4" a="1"/>
  <c r="J853" i="4" s="1"/>
  <c r="J854" i="4" a="1"/>
  <c r="J854" i="4" s="1"/>
  <c r="J855" i="4" a="1"/>
  <c r="J855" i="4" s="1"/>
  <c r="J856" i="4" a="1"/>
  <c r="J856" i="4" s="1"/>
  <c r="J857" i="4" a="1"/>
  <c r="J857" i="4" s="1"/>
  <c r="J858" i="4" a="1"/>
  <c r="J858" i="4" s="1"/>
  <c r="J859" i="4" a="1"/>
  <c r="J859" i="4" s="1"/>
  <c r="J860" i="4" a="1"/>
  <c r="J860" i="4" s="1"/>
  <c r="J861" i="4" a="1"/>
  <c r="J861" i="4" s="1"/>
  <c r="J862" i="4" a="1"/>
  <c r="J862" i="4" s="1"/>
  <c r="J863" i="4" a="1"/>
  <c r="J863" i="4" s="1"/>
  <c r="J864" i="4" a="1"/>
  <c r="J864" i="4"/>
  <c r="J865" i="4" a="1"/>
  <c r="J865" i="4" s="1"/>
  <c r="J866" i="4" a="1"/>
  <c r="J866" i="4" s="1"/>
  <c r="J867" i="4" a="1"/>
  <c r="J867" i="4" s="1"/>
  <c r="J868" i="4" a="1"/>
  <c r="J868" i="4" s="1"/>
  <c r="J869" i="4" a="1"/>
  <c r="J869" i="4" s="1"/>
  <c r="J870" i="4" a="1"/>
  <c r="J870" i="4" s="1"/>
  <c r="J871" i="4" a="1"/>
  <c r="J871" i="4" s="1"/>
  <c r="J872" i="4" a="1"/>
  <c r="J872" i="4" s="1"/>
  <c r="J873" i="4" a="1"/>
  <c r="J873" i="4" s="1"/>
  <c r="J874" i="4" a="1"/>
  <c r="J874" i="4" s="1"/>
  <c r="J875" i="4" a="1"/>
  <c r="J875" i="4" s="1"/>
  <c r="J876" i="4" a="1"/>
  <c r="J876" i="4" s="1"/>
  <c r="J877" i="4" a="1"/>
  <c r="J877" i="4" s="1"/>
  <c r="J878" i="4" a="1"/>
  <c r="J878" i="4" s="1"/>
  <c r="J879" i="4" a="1"/>
  <c r="J879" i="4" s="1"/>
  <c r="J880" i="4" a="1"/>
  <c r="J880" i="4" s="1"/>
  <c r="J881" i="4" a="1"/>
  <c r="J881" i="4" s="1"/>
  <c r="J882" i="4" a="1"/>
  <c r="J882" i="4"/>
  <c r="J883" i="4" a="1"/>
  <c r="J883" i="4" s="1"/>
  <c r="J884" i="4" a="1"/>
  <c r="J884" i="4" s="1"/>
  <c r="J885" i="4" a="1"/>
  <c r="J885" i="4" s="1"/>
  <c r="J886" i="4" a="1"/>
  <c r="J886" i="4" s="1"/>
  <c r="J887" i="4" a="1"/>
  <c r="J887" i="4" s="1"/>
  <c r="J888" i="4" a="1"/>
  <c r="J888" i="4"/>
  <c r="J889" i="4" a="1"/>
  <c r="J889" i="4" s="1"/>
  <c r="J890" i="4" a="1"/>
  <c r="J890" i="4" s="1"/>
  <c r="J891" i="4" a="1"/>
  <c r="J891" i="4" s="1"/>
  <c r="J892" i="4" a="1"/>
  <c r="J892" i="4" s="1"/>
  <c r="J893" i="4" a="1"/>
  <c r="J893" i="4" s="1"/>
  <c r="J894" i="4" a="1"/>
  <c r="J894" i="4"/>
  <c r="J895" i="4" a="1"/>
  <c r="J895" i="4" s="1"/>
  <c r="J896" i="4" a="1"/>
  <c r="J896" i="4" s="1"/>
  <c r="J897" i="4" a="1"/>
  <c r="J897" i="4" s="1"/>
  <c r="J898" i="4" a="1"/>
  <c r="J898" i="4" s="1"/>
  <c r="J899" i="4" a="1"/>
  <c r="J899" i="4" s="1"/>
  <c r="J900" i="4" a="1"/>
  <c r="J900" i="4" s="1"/>
  <c r="J901" i="4" a="1"/>
  <c r="J901" i="4" s="1"/>
  <c r="J902" i="4" a="1"/>
  <c r="J902" i="4" s="1"/>
  <c r="J903" i="4" a="1"/>
  <c r="J903" i="4" s="1"/>
  <c r="J904" i="4" a="1"/>
  <c r="J904" i="4" s="1"/>
  <c r="J905" i="4" a="1"/>
  <c r="J905" i="4" s="1"/>
  <c r="J906" i="4" a="1"/>
  <c r="J906" i="4"/>
  <c r="J907" i="4" a="1"/>
  <c r="J907" i="4" s="1"/>
  <c r="J908" i="4" a="1"/>
  <c r="J908" i="4" s="1"/>
  <c r="J909" i="4" a="1"/>
  <c r="J909" i="4" s="1"/>
  <c r="J910" i="4" a="1"/>
  <c r="J910" i="4" s="1"/>
  <c r="J911" i="4" a="1"/>
  <c r="J911" i="4" s="1"/>
  <c r="J912" i="4" a="1"/>
  <c r="J912" i="4" s="1"/>
  <c r="J913" i="4" a="1"/>
  <c r="J913" i="4" s="1"/>
  <c r="J914" i="4" a="1"/>
  <c r="J914" i="4" s="1"/>
  <c r="J915" i="4" a="1"/>
  <c r="J915" i="4" s="1"/>
  <c r="J916" i="4" a="1"/>
  <c r="J916" i="4" s="1"/>
  <c r="J917" i="4" a="1"/>
  <c r="J917" i="4" s="1"/>
  <c r="J918" i="4" a="1"/>
  <c r="J918" i="4"/>
  <c r="J919" i="4" a="1"/>
  <c r="J919" i="4" s="1"/>
  <c r="J920" i="4" a="1"/>
  <c r="J920" i="4" s="1"/>
  <c r="J921" i="4" a="1"/>
  <c r="J921" i="4" s="1"/>
  <c r="J922" i="4" a="1"/>
  <c r="J922" i="4" s="1"/>
  <c r="J923" i="4" a="1"/>
  <c r="J923" i="4" s="1"/>
  <c r="J924" i="4" a="1"/>
  <c r="J924" i="4" s="1"/>
  <c r="J925" i="4" a="1"/>
  <c r="J925" i="4" s="1"/>
  <c r="J926" i="4" a="1"/>
  <c r="J926" i="4" s="1"/>
  <c r="J927" i="4" a="1"/>
  <c r="J927" i="4" s="1"/>
  <c r="J928" i="4" a="1"/>
  <c r="J928" i="4" s="1"/>
  <c r="J929" i="4" a="1"/>
  <c r="J929" i="4" s="1"/>
  <c r="J930" i="4" a="1"/>
  <c r="J930" i="4" s="1"/>
  <c r="J931" i="4" a="1"/>
  <c r="J931" i="4" s="1"/>
  <c r="J932" i="4" a="1"/>
  <c r="J932" i="4" s="1"/>
  <c r="J933" i="4" a="1"/>
  <c r="J933" i="4" s="1"/>
  <c r="J934" i="4" a="1"/>
  <c r="J934" i="4" s="1"/>
  <c r="J935" i="4" a="1"/>
  <c r="J935" i="4" s="1"/>
  <c r="J936" i="4" a="1"/>
  <c r="J936" i="4"/>
  <c r="J937" i="4" a="1"/>
  <c r="J937" i="4" s="1"/>
  <c r="J938" i="4" a="1"/>
  <c r="J938" i="4" s="1"/>
  <c r="J939" i="4" a="1"/>
  <c r="J939" i="4" s="1"/>
  <c r="J940" i="4" a="1"/>
  <c r="J940" i="4" s="1"/>
  <c r="J941" i="4" a="1"/>
  <c r="J941" i="4" s="1"/>
  <c r="J942" i="4" a="1"/>
  <c r="J942" i="4" s="1"/>
  <c r="J943" i="4" a="1"/>
  <c r="J943" i="4" s="1"/>
  <c r="J944" i="4" a="1"/>
  <c r="J944" i="4" s="1"/>
  <c r="J945" i="4" a="1"/>
  <c r="J945" i="4" s="1"/>
  <c r="J946" i="4" a="1"/>
  <c r="J946" i="4" s="1"/>
  <c r="J947" i="4" a="1"/>
  <c r="J947" i="4" s="1"/>
  <c r="J948" i="4" a="1"/>
  <c r="J948" i="4" s="1"/>
  <c r="J949" i="4" a="1"/>
  <c r="J949" i="4" s="1"/>
  <c r="J950" i="4" a="1"/>
  <c r="J950" i="4" s="1"/>
  <c r="J951" i="4" a="1"/>
  <c r="J951" i="4" s="1"/>
  <c r="J952" i="4" a="1"/>
  <c r="J952" i="4" s="1"/>
  <c r="J953" i="4" a="1"/>
  <c r="J953" i="4" s="1"/>
  <c r="J954" i="4" a="1"/>
  <c r="J954" i="4"/>
  <c r="J955" i="4" a="1"/>
  <c r="J955" i="4" s="1"/>
  <c r="J956" i="4" a="1"/>
  <c r="J956" i="4" s="1"/>
  <c r="J957" i="4" a="1"/>
  <c r="J957" i="4" s="1"/>
  <c r="J958" i="4" a="1"/>
  <c r="J958" i="4" s="1"/>
  <c r="J959" i="4" a="1"/>
  <c r="J959" i="4" s="1"/>
  <c r="J960" i="4" a="1"/>
  <c r="J960" i="4"/>
  <c r="J961" i="4" a="1"/>
  <c r="J961" i="4" s="1"/>
  <c r="J962" i="4" a="1"/>
  <c r="J962" i="4" s="1"/>
  <c r="J963" i="4" a="1"/>
  <c r="J963" i="4" s="1"/>
  <c r="J964" i="4" a="1"/>
  <c r="J964" i="4" s="1"/>
  <c r="J965" i="4" a="1"/>
  <c r="J965" i="4" s="1"/>
  <c r="J966" i="4" a="1"/>
  <c r="J966" i="4"/>
  <c r="J967" i="4" a="1"/>
  <c r="J967" i="4" s="1"/>
  <c r="J968" i="4" a="1"/>
  <c r="J968" i="4" s="1"/>
  <c r="J969" i="4" a="1"/>
  <c r="J969" i="4" s="1"/>
  <c r="J970" i="4" a="1"/>
  <c r="J970" i="4" s="1"/>
  <c r="J971" i="4" a="1"/>
  <c r="J971" i="4" s="1"/>
  <c r="J972" i="4" a="1"/>
  <c r="J972" i="4" s="1"/>
  <c r="J973" i="4" a="1"/>
  <c r="J973" i="4" s="1"/>
  <c r="J974" i="4" a="1"/>
  <c r="J974" i="4" s="1"/>
  <c r="J975" i="4" a="1"/>
  <c r="J975" i="4" s="1"/>
  <c r="J976" i="4" a="1"/>
  <c r="J976" i="4" s="1"/>
  <c r="J977" i="4" a="1"/>
  <c r="J977" i="4" s="1"/>
  <c r="J978" i="4" a="1"/>
  <c r="J978" i="4"/>
  <c r="J979" i="4" a="1"/>
  <c r="J979" i="4" s="1"/>
  <c r="J980" i="4" a="1"/>
  <c r="J980" i="4" s="1"/>
  <c r="J981" i="4" a="1"/>
  <c r="J981" i="4" s="1"/>
  <c r="J982" i="4" a="1"/>
  <c r="J982" i="4" s="1"/>
  <c r="J983" i="4" a="1"/>
  <c r="J983" i="4" s="1"/>
  <c r="J984" i="4" a="1"/>
  <c r="J984" i="4" s="1"/>
  <c r="J985" i="4" a="1"/>
  <c r="J985" i="4" s="1"/>
  <c r="J986" i="4" a="1"/>
  <c r="J986" i="4" s="1"/>
  <c r="J987" i="4" a="1"/>
  <c r="J987" i="4" s="1"/>
  <c r="J988" i="4" a="1"/>
  <c r="J988" i="4" s="1"/>
  <c r="J989" i="4" a="1"/>
  <c r="J989" i="4" s="1"/>
  <c r="J990" i="4" a="1"/>
  <c r="J990" i="4"/>
  <c r="J991" i="4" a="1"/>
  <c r="J991" i="4" s="1"/>
  <c r="J992" i="4" a="1"/>
  <c r="J992" i="4" s="1"/>
  <c r="J993" i="4" a="1"/>
  <c r="J993" i="4" s="1"/>
  <c r="J994" i="4" a="1"/>
  <c r="J994" i="4" s="1"/>
  <c r="J995" i="4" a="1"/>
  <c r="J995" i="4" s="1"/>
  <c r="J996" i="4" a="1"/>
  <c r="J996" i="4" s="1"/>
  <c r="J997" i="4" a="1"/>
  <c r="J997" i="4" s="1"/>
  <c r="J998" i="4" a="1"/>
  <c r="J998" i="4" s="1"/>
  <c r="J999" i="4" a="1"/>
  <c r="J999" i="4" s="1"/>
  <c r="J1000" i="4" a="1"/>
  <c r="J1000" i="4" s="1"/>
  <c r="J1001" i="4" a="1"/>
  <c r="J1001" i="4" s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O612" i="4" l="1"/>
  <c r="O613" i="4" s="1"/>
  <c r="O614" i="4" s="1"/>
  <c r="O615" i="4" s="1"/>
  <c r="O616" i="4" s="1"/>
  <c r="O617" i="4" s="1"/>
  <c r="O618" i="4" s="1"/>
  <c r="O619" i="4" s="1"/>
  <c r="O620" i="4" s="1"/>
  <c r="O621" i="4" s="1"/>
  <c r="O622" i="4" s="1"/>
  <c r="O623" i="4" s="1"/>
  <c r="O624" i="4" s="1"/>
  <c r="O625" i="4" s="1"/>
  <c r="O626" i="4" s="1"/>
  <c r="O627" i="4" s="1"/>
  <c r="O628" i="4" s="1"/>
  <c r="O629" i="4" s="1"/>
  <c r="O630" i="4" s="1"/>
  <c r="O631" i="4" s="1"/>
  <c r="O632" i="4" s="1"/>
  <c r="O633" i="4" s="1"/>
  <c r="O634" i="4" s="1"/>
  <c r="O635" i="4" s="1"/>
  <c r="O636" i="4" s="1"/>
  <c r="O637" i="4" s="1"/>
  <c r="O638" i="4" s="1"/>
  <c r="O639" i="4" s="1"/>
  <c r="O640" i="4" s="1"/>
  <c r="O641" i="4" s="1"/>
  <c r="O642" i="4" s="1"/>
  <c r="O643" i="4" s="1"/>
  <c r="O644" i="4" s="1"/>
  <c r="O645" i="4" s="1"/>
  <c r="O646" i="4" s="1"/>
  <c r="O647" i="4" s="1"/>
  <c r="O648" i="4" s="1"/>
  <c r="O649" i="4" s="1"/>
  <c r="O650" i="4" s="1"/>
  <c r="O651" i="4" s="1"/>
  <c r="O652" i="4" s="1"/>
  <c r="O653" i="4" s="1"/>
  <c r="O654" i="4" s="1"/>
  <c r="O655" i="4" s="1"/>
  <c r="O656" i="4" s="1"/>
  <c r="O657" i="4" s="1"/>
  <c r="O658" i="4" s="1"/>
  <c r="O659" i="4" s="1"/>
  <c r="O660" i="4" s="1"/>
  <c r="O661" i="4" s="1"/>
  <c r="O662" i="4" s="1"/>
  <c r="O663" i="4" s="1"/>
  <c r="O664" i="4" s="1"/>
  <c r="O665" i="4" s="1"/>
  <c r="O666" i="4" s="1"/>
  <c r="O667" i="4" s="1"/>
  <c r="O668" i="4" s="1"/>
  <c r="O669" i="4" s="1"/>
  <c r="O670" i="4" s="1"/>
  <c r="O671" i="4" s="1"/>
  <c r="O672" i="4" s="1"/>
  <c r="O673" i="4" s="1"/>
  <c r="O674" i="4" s="1"/>
  <c r="O675" i="4" s="1"/>
  <c r="O676" i="4" s="1"/>
  <c r="O677" i="4" s="1"/>
  <c r="O678" i="4" s="1"/>
  <c r="O679" i="4" s="1"/>
  <c r="O680" i="4" s="1"/>
  <c r="O681" i="4" s="1"/>
  <c r="O682" i="4" s="1"/>
  <c r="O683" i="4" s="1"/>
  <c r="O684" i="4" s="1"/>
  <c r="O685" i="4" s="1"/>
  <c r="O686" i="4" s="1"/>
  <c r="O687" i="4" s="1"/>
  <c r="O688" i="4" s="1"/>
  <c r="O689" i="4" s="1"/>
  <c r="O690" i="4" s="1"/>
  <c r="O691" i="4" s="1"/>
  <c r="O692" i="4" s="1"/>
  <c r="O693" i="4" s="1"/>
  <c r="O694" i="4" s="1"/>
  <c r="O695" i="4" s="1"/>
  <c r="O696" i="4" s="1"/>
  <c r="O697" i="4" s="1"/>
  <c r="O698" i="4" s="1"/>
  <c r="O699" i="4" s="1"/>
  <c r="O700" i="4" s="1"/>
  <c r="O701" i="4" s="1"/>
  <c r="O702" i="4" s="1"/>
  <c r="O703" i="4" s="1"/>
  <c r="O704" i="4" s="1"/>
  <c r="O705" i="4" s="1"/>
  <c r="O706" i="4" s="1"/>
  <c r="O707" i="4" s="1"/>
  <c r="O708" i="4" s="1"/>
  <c r="O709" i="4" s="1"/>
  <c r="O710" i="4" s="1"/>
  <c r="O711" i="4" s="1"/>
  <c r="O712" i="4" s="1"/>
  <c r="O713" i="4" s="1"/>
  <c r="O714" i="4" s="1"/>
  <c r="O715" i="4" s="1"/>
  <c r="O716" i="4" s="1"/>
  <c r="O717" i="4" s="1"/>
  <c r="O718" i="4" s="1"/>
  <c r="O719" i="4" s="1"/>
  <c r="O720" i="4" s="1"/>
  <c r="O721" i="4" s="1"/>
  <c r="O722" i="4" s="1"/>
  <c r="O723" i="4" s="1"/>
  <c r="O724" i="4" s="1"/>
  <c r="O725" i="4" s="1"/>
  <c r="O726" i="4" s="1"/>
  <c r="O727" i="4" s="1"/>
  <c r="O728" i="4" s="1"/>
  <c r="O729" i="4" s="1"/>
  <c r="O730" i="4" s="1"/>
  <c r="O731" i="4" s="1"/>
  <c r="O732" i="4" s="1"/>
  <c r="O733" i="4" s="1"/>
  <c r="O734" i="4" s="1"/>
  <c r="O735" i="4" s="1"/>
  <c r="O736" i="4" s="1"/>
  <c r="O737" i="4" s="1"/>
  <c r="O738" i="4" s="1"/>
  <c r="O739" i="4" s="1"/>
  <c r="O740" i="4" s="1"/>
  <c r="O741" i="4" s="1"/>
  <c r="O742" i="4" s="1"/>
  <c r="O743" i="4" s="1"/>
  <c r="O744" i="4" s="1"/>
  <c r="O745" i="4" s="1"/>
  <c r="O746" i="4" s="1"/>
  <c r="O747" i="4" s="1"/>
  <c r="O748" i="4" s="1"/>
  <c r="O749" i="4" s="1"/>
  <c r="O750" i="4" s="1"/>
  <c r="O751" i="4" s="1"/>
  <c r="O752" i="4" s="1"/>
  <c r="O753" i="4" s="1"/>
  <c r="O754" i="4" s="1"/>
  <c r="O755" i="4" s="1"/>
  <c r="O756" i="4" s="1"/>
  <c r="O757" i="4" s="1"/>
  <c r="O758" i="4" s="1"/>
  <c r="O759" i="4" s="1"/>
  <c r="O760" i="4" s="1"/>
  <c r="O761" i="4" s="1"/>
  <c r="O762" i="4" s="1"/>
  <c r="O763" i="4" s="1"/>
  <c r="O764" i="4" s="1"/>
  <c r="O765" i="4" s="1"/>
  <c r="O766" i="4" s="1"/>
  <c r="O767" i="4" s="1"/>
  <c r="O768" i="4" s="1"/>
  <c r="O769" i="4" s="1"/>
  <c r="O770" i="4" s="1"/>
  <c r="O771" i="4" s="1"/>
  <c r="O772" i="4" s="1"/>
  <c r="O773" i="4" s="1"/>
  <c r="O774" i="4" s="1"/>
  <c r="O775" i="4" s="1"/>
  <c r="O776" i="4" s="1"/>
  <c r="O777" i="4" s="1"/>
  <c r="O778" i="4" s="1"/>
  <c r="O779" i="4" s="1"/>
  <c r="O780" i="4" s="1"/>
  <c r="O781" i="4" s="1"/>
  <c r="O782" i="4" s="1"/>
  <c r="O783" i="4" s="1"/>
  <c r="O784" i="4" s="1"/>
  <c r="O785" i="4" s="1"/>
  <c r="O786" i="4" s="1"/>
  <c r="O787" i="4" s="1"/>
  <c r="O788" i="4" s="1"/>
  <c r="O789" i="4" s="1"/>
  <c r="O790" i="4" s="1"/>
  <c r="O791" i="4" s="1"/>
  <c r="O792" i="4" s="1"/>
  <c r="O793" i="4" s="1"/>
  <c r="O794" i="4" s="1"/>
  <c r="O795" i="4" s="1"/>
  <c r="O796" i="4" s="1"/>
  <c r="O797" i="4" s="1"/>
  <c r="O798" i="4" s="1"/>
  <c r="O799" i="4" s="1"/>
  <c r="O800" i="4" s="1"/>
  <c r="O801" i="4" s="1"/>
  <c r="O802" i="4" s="1"/>
  <c r="O803" i="4" s="1"/>
  <c r="O804" i="4" s="1"/>
  <c r="O805" i="4" s="1"/>
  <c r="O806" i="4" s="1"/>
  <c r="O807" i="4" s="1"/>
  <c r="O808" i="4" s="1"/>
  <c r="O809" i="4" s="1"/>
  <c r="O810" i="4" s="1"/>
  <c r="O811" i="4" s="1"/>
  <c r="O812" i="4" s="1"/>
  <c r="O813" i="4" s="1"/>
  <c r="O814" i="4" s="1"/>
  <c r="O815" i="4" s="1"/>
  <c r="O816" i="4" s="1"/>
  <c r="O817" i="4" s="1"/>
  <c r="O818" i="4" s="1"/>
  <c r="O819" i="4" s="1"/>
  <c r="O820" i="4" s="1"/>
  <c r="O821" i="4" s="1"/>
  <c r="O822" i="4" s="1"/>
  <c r="O823" i="4" s="1"/>
  <c r="O824" i="4" s="1"/>
  <c r="O825" i="4" s="1"/>
  <c r="O826" i="4" s="1"/>
  <c r="O827" i="4" s="1"/>
  <c r="O828" i="4" s="1"/>
  <c r="O829" i="4" s="1"/>
  <c r="O830" i="4" s="1"/>
  <c r="O831" i="4" s="1"/>
  <c r="O832" i="4" s="1"/>
  <c r="O833" i="4" s="1"/>
  <c r="O834" i="4" s="1"/>
  <c r="O835" i="4" s="1"/>
  <c r="O836" i="4" s="1"/>
  <c r="O837" i="4" s="1"/>
  <c r="O838" i="4" s="1"/>
  <c r="O839" i="4" s="1"/>
  <c r="O840" i="4" s="1"/>
  <c r="O841" i="4" s="1"/>
  <c r="O842" i="4" s="1"/>
  <c r="O843" i="4" s="1"/>
  <c r="O844" i="4" s="1"/>
  <c r="O845" i="4" s="1"/>
  <c r="O846" i="4" s="1"/>
  <c r="O847" i="4" s="1"/>
  <c r="O848" i="4" s="1"/>
  <c r="O849" i="4" s="1"/>
  <c r="O850" i="4" s="1"/>
  <c r="O851" i="4" s="1"/>
  <c r="O852" i="4" s="1"/>
  <c r="O853" i="4" s="1"/>
  <c r="O854" i="4" s="1"/>
  <c r="O855" i="4" s="1"/>
  <c r="O856" i="4" s="1"/>
  <c r="O857" i="4" s="1"/>
  <c r="O858" i="4" s="1"/>
  <c r="O859" i="4" s="1"/>
  <c r="O860" i="4" s="1"/>
  <c r="O861" i="4" s="1"/>
  <c r="O862" i="4" s="1"/>
  <c r="O863" i="4" s="1"/>
  <c r="O864" i="4" s="1"/>
  <c r="O865" i="4" s="1"/>
  <c r="O866" i="4" s="1"/>
  <c r="O867" i="4" s="1"/>
  <c r="O868" i="4" s="1"/>
  <c r="O869" i="4" s="1"/>
  <c r="O870" i="4" s="1"/>
  <c r="O871" i="4" s="1"/>
  <c r="O872" i="4" s="1"/>
  <c r="O873" i="4" s="1"/>
  <c r="O874" i="4" s="1"/>
  <c r="O875" i="4" s="1"/>
  <c r="O876" i="4" s="1"/>
  <c r="O877" i="4" s="1"/>
  <c r="O878" i="4" s="1"/>
  <c r="O879" i="4" s="1"/>
  <c r="O880" i="4" s="1"/>
  <c r="O881" i="4" s="1"/>
  <c r="O882" i="4" s="1"/>
  <c r="O883" i="4" s="1"/>
  <c r="O884" i="4" s="1"/>
  <c r="O885" i="4" s="1"/>
  <c r="O886" i="4" s="1"/>
  <c r="O887" i="4" s="1"/>
  <c r="O888" i="4" s="1"/>
  <c r="O889" i="4" s="1"/>
  <c r="O890" i="4" s="1"/>
  <c r="O891" i="4" s="1"/>
  <c r="O892" i="4" s="1"/>
  <c r="O893" i="4" s="1"/>
  <c r="O894" i="4" s="1"/>
  <c r="O895" i="4" s="1"/>
  <c r="O896" i="4" s="1"/>
  <c r="O897" i="4" s="1"/>
  <c r="O898" i="4" s="1"/>
  <c r="O899" i="4" s="1"/>
  <c r="O900" i="4" s="1"/>
  <c r="O901" i="4" s="1"/>
  <c r="O902" i="4" s="1"/>
  <c r="O903" i="4" s="1"/>
  <c r="O904" i="4" s="1"/>
  <c r="O905" i="4" s="1"/>
  <c r="O906" i="4" s="1"/>
  <c r="O907" i="4" s="1"/>
  <c r="O908" i="4" s="1"/>
  <c r="O909" i="4" s="1"/>
  <c r="O910" i="4" s="1"/>
  <c r="O911" i="4" s="1"/>
  <c r="O912" i="4" s="1"/>
  <c r="O913" i="4" s="1"/>
  <c r="O914" i="4" s="1"/>
  <c r="O915" i="4" s="1"/>
  <c r="O916" i="4" s="1"/>
  <c r="O917" i="4" s="1"/>
  <c r="O918" i="4" s="1"/>
  <c r="O919" i="4" s="1"/>
  <c r="O920" i="4" s="1"/>
  <c r="O921" i="4" s="1"/>
  <c r="O922" i="4" s="1"/>
  <c r="O923" i="4" s="1"/>
  <c r="O924" i="4" s="1"/>
  <c r="O925" i="4" s="1"/>
  <c r="O926" i="4" s="1"/>
  <c r="O927" i="4" s="1"/>
  <c r="O928" i="4" s="1"/>
  <c r="O929" i="4" s="1"/>
  <c r="O930" i="4" s="1"/>
  <c r="O931" i="4" s="1"/>
  <c r="O932" i="4" s="1"/>
  <c r="O933" i="4" s="1"/>
  <c r="O934" i="4" s="1"/>
  <c r="O935" i="4" s="1"/>
  <c r="O936" i="4" s="1"/>
  <c r="O937" i="4" s="1"/>
  <c r="O938" i="4" s="1"/>
  <c r="O939" i="4" s="1"/>
  <c r="O940" i="4" s="1"/>
  <c r="O941" i="4" s="1"/>
  <c r="O942" i="4" s="1"/>
  <c r="O943" i="4" s="1"/>
  <c r="O944" i="4" s="1"/>
  <c r="O945" i="4" s="1"/>
  <c r="O946" i="4" s="1"/>
  <c r="O947" i="4" s="1"/>
  <c r="O948" i="4" s="1"/>
  <c r="O949" i="4" s="1"/>
  <c r="O950" i="4" s="1"/>
  <c r="O951" i="4" s="1"/>
  <c r="O952" i="4" s="1"/>
  <c r="O953" i="4" s="1"/>
  <c r="O954" i="4" s="1"/>
  <c r="O955" i="4" s="1"/>
  <c r="O956" i="4" s="1"/>
  <c r="O957" i="4" s="1"/>
  <c r="O958" i="4" s="1"/>
  <c r="O959" i="4" s="1"/>
  <c r="O960" i="4" s="1"/>
  <c r="O961" i="4" s="1"/>
  <c r="O962" i="4" s="1"/>
  <c r="O963" i="4" s="1"/>
  <c r="O964" i="4" s="1"/>
  <c r="O965" i="4" s="1"/>
  <c r="O966" i="4" s="1"/>
  <c r="O967" i="4" s="1"/>
  <c r="O968" i="4" s="1"/>
  <c r="O969" i="4" s="1"/>
  <c r="O970" i="4" s="1"/>
  <c r="O971" i="4" s="1"/>
  <c r="O972" i="4" s="1"/>
  <c r="O973" i="4" s="1"/>
  <c r="O974" i="4" s="1"/>
  <c r="O975" i="4" s="1"/>
  <c r="O976" i="4" s="1"/>
  <c r="O977" i="4" s="1"/>
  <c r="O978" i="4" s="1"/>
  <c r="O979" i="4" s="1"/>
  <c r="O980" i="4" s="1"/>
  <c r="O981" i="4" s="1"/>
  <c r="O982" i="4" s="1"/>
  <c r="O983" i="4" s="1"/>
  <c r="O984" i="4" s="1"/>
  <c r="O985" i="4" s="1"/>
  <c r="O986" i="4" s="1"/>
  <c r="O987" i="4" s="1"/>
  <c r="O988" i="4" s="1"/>
  <c r="O989" i="4" s="1"/>
  <c r="O990" i="4" s="1"/>
  <c r="O991" i="4" s="1"/>
  <c r="O992" i="4" s="1"/>
  <c r="O993" i="4" s="1"/>
  <c r="O994" i="4" s="1"/>
  <c r="O995" i="4" s="1"/>
  <c r="O996" i="4" s="1"/>
  <c r="O997" i="4" s="1"/>
  <c r="O998" i="4" s="1"/>
  <c r="O999" i="4" s="1"/>
  <c r="O1000" i="4" s="1"/>
  <c r="O1001" i="4" s="1"/>
  <c r="P612" i="4"/>
  <c r="P613" i="4" s="1"/>
  <c r="P614" i="4" s="1"/>
  <c r="P615" i="4" s="1"/>
  <c r="P616" i="4" s="1"/>
  <c r="P617" i="4" s="1"/>
  <c r="P618" i="4" s="1"/>
  <c r="P619" i="4" s="1"/>
  <c r="P620" i="4" s="1"/>
  <c r="P621" i="4" s="1"/>
  <c r="P622" i="4" s="1"/>
  <c r="P623" i="4" s="1"/>
  <c r="P624" i="4" s="1"/>
  <c r="P625" i="4" s="1"/>
  <c r="P626" i="4" s="1"/>
  <c r="P627" i="4" s="1"/>
  <c r="P628" i="4" s="1"/>
  <c r="P629" i="4" s="1"/>
  <c r="P630" i="4" s="1"/>
  <c r="P631" i="4" s="1"/>
  <c r="P632" i="4" s="1"/>
  <c r="P633" i="4" s="1"/>
  <c r="P634" i="4" s="1"/>
  <c r="P635" i="4" s="1"/>
  <c r="P636" i="4" s="1"/>
  <c r="P637" i="4" s="1"/>
  <c r="P638" i="4" s="1"/>
  <c r="P639" i="4" s="1"/>
  <c r="P640" i="4" s="1"/>
  <c r="P641" i="4" s="1"/>
  <c r="P642" i="4" s="1"/>
  <c r="P643" i="4" s="1"/>
  <c r="P644" i="4" s="1"/>
  <c r="P645" i="4" s="1"/>
  <c r="P646" i="4" s="1"/>
  <c r="P647" i="4" s="1"/>
  <c r="P648" i="4" s="1"/>
  <c r="P649" i="4" s="1"/>
  <c r="P650" i="4" s="1"/>
  <c r="P651" i="4" s="1"/>
  <c r="P652" i="4" s="1"/>
  <c r="P653" i="4" s="1"/>
  <c r="P654" i="4" s="1"/>
  <c r="P655" i="4" s="1"/>
  <c r="P656" i="4" s="1"/>
  <c r="P657" i="4" s="1"/>
  <c r="P658" i="4" s="1"/>
  <c r="P659" i="4" s="1"/>
  <c r="P660" i="4" s="1"/>
  <c r="P661" i="4" s="1"/>
  <c r="P662" i="4" s="1"/>
  <c r="P663" i="4" s="1"/>
  <c r="P664" i="4" s="1"/>
  <c r="P665" i="4" s="1"/>
  <c r="P666" i="4" s="1"/>
  <c r="P667" i="4" s="1"/>
  <c r="P668" i="4" s="1"/>
  <c r="P669" i="4" s="1"/>
  <c r="P670" i="4" s="1"/>
  <c r="P671" i="4" s="1"/>
  <c r="P672" i="4" s="1"/>
  <c r="P673" i="4" s="1"/>
  <c r="P674" i="4" s="1"/>
  <c r="P675" i="4" s="1"/>
  <c r="P676" i="4" s="1"/>
  <c r="P677" i="4" s="1"/>
  <c r="P678" i="4" s="1"/>
  <c r="P679" i="4" s="1"/>
  <c r="P680" i="4" s="1"/>
  <c r="P681" i="4" s="1"/>
  <c r="P682" i="4" s="1"/>
  <c r="P683" i="4" s="1"/>
  <c r="P684" i="4" s="1"/>
  <c r="P685" i="4" s="1"/>
  <c r="P686" i="4" s="1"/>
  <c r="P687" i="4" s="1"/>
  <c r="P688" i="4" s="1"/>
  <c r="P689" i="4" s="1"/>
  <c r="P690" i="4" s="1"/>
  <c r="P691" i="4" s="1"/>
  <c r="P692" i="4" s="1"/>
  <c r="P693" i="4" s="1"/>
  <c r="P694" i="4" s="1"/>
  <c r="P695" i="4" s="1"/>
  <c r="P696" i="4" s="1"/>
  <c r="P697" i="4" s="1"/>
  <c r="P698" i="4" s="1"/>
  <c r="P699" i="4" s="1"/>
  <c r="P700" i="4" s="1"/>
  <c r="P701" i="4" s="1"/>
  <c r="P702" i="4" s="1"/>
  <c r="P703" i="4" s="1"/>
  <c r="P704" i="4" s="1"/>
  <c r="P705" i="4" s="1"/>
  <c r="P706" i="4" s="1"/>
  <c r="P707" i="4" s="1"/>
  <c r="P708" i="4" s="1"/>
  <c r="P709" i="4" s="1"/>
  <c r="P710" i="4" s="1"/>
  <c r="P711" i="4" s="1"/>
  <c r="P712" i="4" s="1"/>
  <c r="P713" i="4" s="1"/>
  <c r="P714" i="4" s="1"/>
  <c r="P715" i="4" s="1"/>
  <c r="P716" i="4" s="1"/>
  <c r="P717" i="4" s="1"/>
  <c r="P718" i="4" s="1"/>
  <c r="P719" i="4" s="1"/>
  <c r="P720" i="4" s="1"/>
  <c r="P721" i="4" s="1"/>
  <c r="P722" i="4" s="1"/>
  <c r="P723" i="4" s="1"/>
  <c r="P724" i="4" s="1"/>
  <c r="P725" i="4" s="1"/>
  <c r="P726" i="4" s="1"/>
  <c r="P727" i="4" s="1"/>
  <c r="P728" i="4" s="1"/>
  <c r="P729" i="4" s="1"/>
  <c r="P730" i="4" s="1"/>
  <c r="P731" i="4" s="1"/>
  <c r="P732" i="4" s="1"/>
  <c r="P733" i="4" s="1"/>
  <c r="P734" i="4" s="1"/>
  <c r="P735" i="4" s="1"/>
  <c r="P736" i="4" s="1"/>
  <c r="P737" i="4" s="1"/>
  <c r="P738" i="4" s="1"/>
  <c r="P739" i="4" s="1"/>
  <c r="P740" i="4" s="1"/>
  <c r="P741" i="4" s="1"/>
  <c r="P742" i="4" s="1"/>
  <c r="P743" i="4" s="1"/>
  <c r="P744" i="4" s="1"/>
  <c r="P745" i="4" s="1"/>
  <c r="P746" i="4" s="1"/>
  <c r="P747" i="4" s="1"/>
  <c r="P748" i="4" s="1"/>
  <c r="P749" i="4" s="1"/>
  <c r="P750" i="4" s="1"/>
  <c r="P751" i="4" s="1"/>
  <c r="P752" i="4" s="1"/>
  <c r="P753" i="4" s="1"/>
  <c r="P754" i="4" s="1"/>
  <c r="P755" i="4" s="1"/>
  <c r="P756" i="4" s="1"/>
  <c r="P757" i="4" s="1"/>
  <c r="P758" i="4" s="1"/>
  <c r="P759" i="4" s="1"/>
  <c r="P760" i="4" s="1"/>
  <c r="P761" i="4" s="1"/>
  <c r="P762" i="4" s="1"/>
  <c r="P763" i="4" s="1"/>
  <c r="P764" i="4" s="1"/>
  <c r="P765" i="4" s="1"/>
  <c r="P766" i="4" s="1"/>
  <c r="P767" i="4" s="1"/>
  <c r="P768" i="4" s="1"/>
  <c r="P769" i="4" s="1"/>
  <c r="P770" i="4" s="1"/>
  <c r="P771" i="4" s="1"/>
  <c r="P772" i="4" s="1"/>
  <c r="P773" i="4" s="1"/>
  <c r="P774" i="4" s="1"/>
  <c r="P775" i="4" s="1"/>
  <c r="P776" i="4" s="1"/>
  <c r="P777" i="4" s="1"/>
  <c r="P778" i="4" s="1"/>
  <c r="P779" i="4" s="1"/>
  <c r="P780" i="4" s="1"/>
  <c r="P781" i="4" s="1"/>
  <c r="P782" i="4" s="1"/>
  <c r="P783" i="4" s="1"/>
  <c r="P784" i="4" s="1"/>
  <c r="P785" i="4" s="1"/>
  <c r="P786" i="4" s="1"/>
  <c r="P787" i="4" s="1"/>
  <c r="P788" i="4" s="1"/>
  <c r="P789" i="4" s="1"/>
  <c r="P790" i="4" s="1"/>
  <c r="P791" i="4" s="1"/>
  <c r="P792" i="4" s="1"/>
  <c r="P793" i="4" s="1"/>
  <c r="P794" i="4" s="1"/>
  <c r="P795" i="4" s="1"/>
  <c r="P796" i="4" s="1"/>
  <c r="P797" i="4" s="1"/>
  <c r="P798" i="4" s="1"/>
  <c r="P799" i="4" s="1"/>
  <c r="P800" i="4" s="1"/>
  <c r="P801" i="4" s="1"/>
  <c r="P802" i="4" s="1"/>
  <c r="P803" i="4" s="1"/>
  <c r="P804" i="4" s="1"/>
  <c r="P805" i="4" s="1"/>
  <c r="P806" i="4" s="1"/>
  <c r="P807" i="4" s="1"/>
  <c r="P808" i="4" s="1"/>
  <c r="P809" i="4" s="1"/>
  <c r="P810" i="4" s="1"/>
  <c r="P811" i="4" s="1"/>
  <c r="P812" i="4" s="1"/>
  <c r="P813" i="4" s="1"/>
  <c r="P814" i="4" s="1"/>
  <c r="P815" i="4" s="1"/>
  <c r="P816" i="4" s="1"/>
  <c r="P817" i="4" s="1"/>
  <c r="P818" i="4" s="1"/>
  <c r="P819" i="4" s="1"/>
  <c r="P820" i="4" s="1"/>
  <c r="P821" i="4" s="1"/>
  <c r="P822" i="4" s="1"/>
  <c r="P823" i="4" s="1"/>
  <c r="P824" i="4" s="1"/>
  <c r="P825" i="4" s="1"/>
  <c r="P826" i="4" s="1"/>
  <c r="P827" i="4" s="1"/>
  <c r="P828" i="4" s="1"/>
  <c r="P829" i="4" s="1"/>
  <c r="P830" i="4" s="1"/>
  <c r="P831" i="4" s="1"/>
  <c r="P832" i="4" s="1"/>
  <c r="P833" i="4" s="1"/>
  <c r="P834" i="4" s="1"/>
  <c r="P835" i="4" s="1"/>
  <c r="P836" i="4" s="1"/>
  <c r="P837" i="4" s="1"/>
  <c r="P838" i="4" s="1"/>
  <c r="P839" i="4" s="1"/>
  <c r="P840" i="4" s="1"/>
  <c r="P841" i="4" s="1"/>
  <c r="P842" i="4" s="1"/>
  <c r="P843" i="4" s="1"/>
  <c r="P844" i="4" s="1"/>
  <c r="P845" i="4" s="1"/>
  <c r="P846" i="4" s="1"/>
  <c r="P847" i="4" s="1"/>
  <c r="P848" i="4" s="1"/>
  <c r="P849" i="4" s="1"/>
  <c r="P850" i="4" s="1"/>
  <c r="P851" i="4" s="1"/>
  <c r="P852" i="4" s="1"/>
  <c r="P853" i="4" s="1"/>
  <c r="P854" i="4" s="1"/>
  <c r="P855" i="4" s="1"/>
  <c r="P856" i="4" s="1"/>
  <c r="P857" i="4" s="1"/>
  <c r="P858" i="4" s="1"/>
  <c r="P859" i="4" s="1"/>
  <c r="P860" i="4" s="1"/>
  <c r="P861" i="4" s="1"/>
  <c r="P862" i="4" s="1"/>
  <c r="P863" i="4" s="1"/>
  <c r="P864" i="4" s="1"/>
  <c r="P865" i="4" s="1"/>
  <c r="P866" i="4" s="1"/>
  <c r="P867" i="4" s="1"/>
  <c r="P868" i="4" s="1"/>
  <c r="P869" i="4" s="1"/>
  <c r="P870" i="4" s="1"/>
  <c r="P871" i="4" s="1"/>
  <c r="P872" i="4" s="1"/>
  <c r="P873" i="4" s="1"/>
  <c r="P874" i="4" s="1"/>
  <c r="P875" i="4" s="1"/>
  <c r="P876" i="4" s="1"/>
  <c r="P877" i="4" s="1"/>
  <c r="P878" i="4" s="1"/>
  <c r="P879" i="4" s="1"/>
  <c r="P880" i="4" s="1"/>
  <c r="P881" i="4" s="1"/>
  <c r="P882" i="4" s="1"/>
  <c r="P883" i="4" s="1"/>
  <c r="P884" i="4" s="1"/>
  <c r="P885" i="4" s="1"/>
  <c r="P886" i="4" s="1"/>
  <c r="P887" i="4" s="1"/>
  <c r="P888" i="4" s="1"/>
  <c r="P889" i="4" s="1"/>
  <c r="P890" i="4" s="1"/>
  <c r="P891" i="4" s="1"/>
  <c r="P892" i="4" s="1"/>
  <c r="P893" i="4" s="1"/>
  <c r="P894" i="4" s="1"/>
  <c r="P895" i="4" s="1"/>
  <c r="P896" i="4" s="1"/>
  <c r="P897" i="4" s="1"/>
  <c r="P898" i="4" s="1"/>
  <c r="P899" i="4" s="1"/>
  <c r="P900" i="4" s="1"/>
  <c r="P901" i="4" s="1"/>
  <c r="P902" i="4" s="1"/>
  <c r="P903" i="4" s="1"/>
  <c r="P904" i="4" s="1"/>
  <c r="P905" i="4" s="1"/>
  <c r="P906" i="4" s="1"/>
  <c r="P907" i="4" s="1"/>
  <c r="P908" i="4" s="1"/>
  <c r="P909" i="4" s="1"/>
  <c r="P910" i="4" s="1"/>
  <c r="P911" i="4" s="1"/>
  <c r="P912" i="4" s="1"/>
  <c r="P913" i="4" s="1"/>
  <c r="P914" i="4" s="1"/>
  <c r="P915" i="4" s="1"/>
  <c r="P916" i="4" s="1"/>
  <c r="P917" i="4" s="1"/>
  <c r="P918" i="4" s="1"/>
  <c r="P919" i="4" s="1"/>
  <c r="P920" i="4" s="1"/>
  <c r="P921" i="4" s="1"/>
  <c r="P922" i="4" s="1"/>
  <c r="P923" i="4" s="1"/>
  <c r="P924" i="4" s="1"/>
  <c r="P925" i="4" s="1"/>
  <c r="P926" i="4" s="1"/>
  <c r="P927" i="4" s="1"/>
  <c r="P928" i="4" s="1"/>
  <c r="P929" i="4" s="1"/>
  <c r="P930" i="4" s="1"/>
  <c r="P931" i="4" s="1"/>
  <c r="P932" i="4" s="1"/>
  <c r="P933" i="4" s="1"/>
  <c r="P934" i="4" s="1"/>
  <c r="P935" i="4" s="1"/>
  <c r="P936" i="4" s="1"/>
  <c r="P937" i="4" s="1"/>
  <c r="P938" i="4" s="1"/>
  <c r="P939" i="4" s="1"/>
  <c r="P940" i="4" s="1"/>
  <c r="P941" i="4" s="1"/>
  <c r="P942" i="4" s="1"/>
  <c r="P943" i="4" s="1"/>
  <c r="P944" i="4" s="1"/>
  <c r="P945" i="4" s="1"/>
  <c r="P946" i="4" s="1"/>
  <c r="P947" i="4" s="1"/>
  <c r="P948" i="4" s="1"/>
  <c r="P949" i="4" s="1"/>
  <c r="P950" i="4" s="1"/>
  <c r="P951" i="4" s="1"/>
  <c r="P952" i="4" s="1"/>
  <c r="P953" i="4" s="1"/>
  <c r="P954" i="4" s="1"/>
  <c r="P955" i="4" s="1"/>
  <c r="P956" i="4" s="1"/>
  <c r="P957" i="4" s="1"/>
  <c r="P958" i="4" s="1"/>
  <c r="P959" i="4" s="1"/>
  <c r="P960" i="4" s="1"/>
  <c r="P961" i="4" s="1"/>
  <c r="P962" i="4" s="1"/>
  <c r="P963" i="4" s="1"/>
  <c r="P964" i="4" s="1"/>
  <c r="P965" i="4" s="1"/>
  <c r="P966" i="4" s="1"/>
  <c r="P967" i="4" s="1"/>
  <c r="P968" i="4" s="1"/>
  <c r="P969" i="4" s="1"/>
  <c r="P970" i="4" s="1"/>
  <c r="P971" i="4" s="1"/>
  <c r="P972" i="4" s="1"/>
  <c r="P973" i="4" s="1"/>
  <c r="P974" i="4" s="1"/>
  <c r="P975" i="4" s="1"/>
  <c r="P976" i="4" s="1"/>
  <c r="P977" i="4" s="1"/>
  <c r="P978" i="4" s="1"/>
  <c r="P979" i="4" s="1"/>
  <c r="P980" i="4" s="1"/>
  <c r="P981" i="4" s="1"/>
  <c r="P982" i="4" s="1"/>
  <c r="P983" i="4" s="1"/>
  <c r="P984" i="4" s="1"/>
  <c r="P985" i="4" s="1"/>
  <c r="P986" i="4" s="1"/>
  <c r="P987" i="4" s="1"/>
  <c r="P988" i="4" s="1"/>
  <c r="P989" i="4" s="1"/>
  <c r="P990" i="4" s="1"/>
  <c r="P991" i="4" s="1"/>
  <c r="P992" i="4" s="1"/>
  <c r="P993" i="4" s="1"/>
  <c r="P994" i="4" s="1"/>
  <c r="P995" i="4" s="1"/>
  <c r="P996" i="4" s="1"/>
  <c r="P997" i="4" s="1"/>
  <c r="P998" i="4" s="1"/>
  <c r="P999" i="4" s="1"/>
  <c r="P1000" i="4" s="1"/>
  <c r="P100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39A17C-B1DB-4925-A3A5-F8CB85694E27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7661CF54-410C-4D7D-AF43-85C3837839FF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3" xr16:uid="{F9078B98-8CFE-48C7-8959-F84D8538B58D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4" xr16:uid="{61CED7DB-08D9-4BDE-846F-36E4253AD6B0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  <connection id="5" xr16:uid="{CD3A53D0-A373-45E4-8923-2C8B511C89B6}" keepAlive="1" name="Query - Merge_Dataset_4" description="Connection to the 'Merge_Dataset_4' query in the workbook." type="5" refreshedVersion="8" background="1" saveData="1">
    <dbPr connection="Provider=Microsoft.Mashup.OleDb.1;Data Source=$Workbook$;Location=Merge_Dataset_4;Extended Properties=&quot;&quot;" command="SELECT * FROM [Merge_Dataset_4]"/>
  </connection>
  <connection id="6" xr16:uid="{6608512C-6773-4E35-A125-338A11F9FF25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b5ce6e82-89d1-4054-ab67-ac53b7136749"/>
      </ext>
    </extLst>
  </connection>
  <connection id="7" xr16:uid="{FA094017-55BA-400E-9823-9B4003C6184E}" keepAlive="1" name="Query - Table1 (2)" description="Connection to the 'Table1 (2)' query in the workbook." type="5" refreshedVersion="0" background="1" saveData="1">
    <dbPr connection="Provider=Microsoft.Mashup.OleDb.1;Data Source=$Workbook$;Location=&quot;Table1 (2)&quot;;Extended Properties=&quot;&quot;" command="SELECT * FROM [Table1 (2)]"/>
  </connection>
  <connection id="8" xr16:uid="{485197C5-A1EE-449E-A4AC-71CAC65032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<sst xmlns="http://schemas.openxmlformats.org/spreadsheetml/2006/main" count="217" uniqueCount="73">
  <si>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</si>
  <si>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</si>
  <si>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</si>
  <si>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</si>
  <si>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</si>
  <si>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</si>
  <si>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</si>
  <si>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</si>
  <si>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</si>
  <si>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</si>
  <si>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</si>
  <si>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instant2</t>
  </si>
  <si>
    <t>atemp</t>
  </si>
  <si>
    <t>hum</t>
  </si>
  <si>
    <t>windspeed</t>
  </si>
  <si>
    <t>casual</t>
  </si>
  <si>
    <t>registered</t>
  </si>
  <si>
    <t>cnt</t>
  </si>
  <si>
    <t>Day</t>
  </si>
  <si>
    <t>Weather Situation</t>
  </si>
  <si>
    <t>Month</t>
  </si>
  <si>
    <t>weekday cnt</t>
  </si>
  <si>
    <t>Weekday</t>
  </si>
  <si>
    <t>STDEV of Humidity</t>
  </si>
  <si>
    <t>Average Humidity</t>
  </si>
  <si>
    <t>Humidity fluctuation from mean value is 0.18%</t>
  </si>
  <si>
    <t>Days</t>
  </si>
  <si>
    <t>Labels</t>
  </si>
  <si>
    <t>Temp</t>
  </si>
  <si>
    <t>Hum</t>
  </si>
  <si>
    <t>Windspeed</t>
  </si>
  <si>
    <t>Count</t>
  </si>
  <si>
    <t>Registered</t>
  </si>
  <si>
    <t>Casual</t>
  </si>
  <si>
    <t>Temperature</t>
  </si>
  <si>
    <t>Humidity</t>
  </si>
  <si>
    <t>Factor</t>
  </si>
  <si>
    <t>Correlation</t>
  </si>
  <si>
    <t>weekday2</t>
  </si>
  <si>
    <t>January</t>
  </si>
  <si>
    <t>Weekend</t>
  </si>
  <si>
    <t>Analysis</t>
  </si>
  <si>
    <t>STDEV of Temperature</t>
  </si>
  <si>
    <t>Average Temperature</t>
  </si>
  <si>
    <t>Temperature Fluctuation from mean valiue is 0.07%</t>
  </si>
  <si>
    <t>STDEV of Assumed Temperature</t>
  </si>
  <si>
    <t>Average Assumed Temperature</t>
  </si>
  <si>
    <t>Assumed Temperature Fluctuation from mean valiue is 0.07%</t>
  </si>
  <si>
    <t>Average Windspeed</t>
  </si>
  <si>
    <t>STDEV of Windspeed</t>
  </si>
  <si>
    <t>Windspeed fluctuation from mean value is 0.12%</t>
  </si>
  <si>
    <t>Difference</t>
  </si>
  <si>
    <t>Diff = 0.005926 Very slight deviation btw assumed &amp; actual</t>
  </si>
  <si>
    <t xml:space="preserve"> DSUM</t>
  </si>
  <si>
    <t xml:space="preserve"> DAVERAGE</t>
  </si>
  <si>
    <t>Casual on Weekend &amp; Weekday</t>
  </si>
  <si>
    <t>Registered on Weekend &amp; Weekday</t>
  </si>
  <si>
    <t>Count on Weekend &amp; Weekday</t>
  </si>
  <si>
    <t>High</t>
  </si>
  <si>
    <t>Low</t>
  </si>
  <si>
    <t>Casual in Month</t>
  </si>
  <si>
    <t>February</t>
  </si>
  <si>
    <t>Registered in Month</t>
  </si>
  <si>
    <t>Count in Month</t>
  </si>
  <si>
    <t>STDEV of Count</t>
  </si>
  <si>
    <t>Average Count</t>
  </si>
  <si>
    <t>STDEV of Registered</t>
  </si>
  <si>
    <t>Average Registered</t>
  </si>
  <si>
    <t>STDEV of Casual</t>
  </si>
  <si>
    <t>Average Casual</t>
  </si>
  <si>
    <t>Registered Fluctuation from mean valiue is 5.48%</t>
  </si>
  <si>
    <t>Count fluctuation from mean value is 7.3%</t>
  </si>
  <si>
    <t>Casual Fluctuation from mean valiue is 2.7%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</si>
</sst>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6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4" borderId="1" xfId="0" applyFont="1" applyFill="1" applyBorder="1" applyAlignment="1">
      <alignment horizontal="center"/>
    </xf>
    <xf numFmtId="0" fontId="3" fillId="5" borderId="11" xfId="0" applyFont="1" applyFill="1" applyBorder="1"/>
    <xf numFmtId="0" fontId="3" fillId="5" borderId="1" xfId="0" applyFont="1" applyFill="1" applyBorder="1"/>
    <xf numFmtId="0" fontId="0" fillId="3" borderId="13" xfId="0" applyFill="1" applyBorder="1"/>
    <xf numFmtId="0" fontId="0" fillId="0" borderId="13" xfId="0" applyBorder="1"/>
    <xf numFmtId="0" fontId="2" fillId="2" borderId="13" xfId="0" applyFont="1" applyFill="1" applyBorder="1"/>
    <xf numFmtId="0" fontId="0" fillId="0" borderId="1" xfId="0" applyBorder="1"/>
    <xf numFmtId="0" fontId="1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2" fillId="7" borderId="1" xfId="0" applyFont="1" applyFill="1" applyBorder="1"/>
    <xf numFmtId="0" fontId="0" fillId="8" borderId="1" xfId="0" applyFill="1" applyBorder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right style="thin">
          <color theme="9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Correlation of Weather With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CORREL!$F$2</c:f>
              <c:strCache>
                <c:ptCount val="1"/>
                <c:pt idx="0">
                  <c:v>Temp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CORREL!$G$1:$J$1</c:f>
              <c:strCache>
                <c:ptCount val="4"/>
                <c:pt idx="0">
                  <c:v>Temp</c:v>
                </c:pt>
                <c:pt idx="1">
                  <c:v>Hum</c:v>
                </c:pt>
                <c:pt idx="2">
                  <c:v>Windspeed</c:v>
                </c:pt>
                <c:pt idx="3">
                  <c:v>Count</c:v>
                </c:pt>
              </c:strCache>
            </c:strRef>
          </c:cat>
          <c:val>
            <c:numRef>
              <c:f>CORREL!$G$2:$J$2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7-4EEE-B569-03C48B67A1D1}"/>
            </c:ext>
          </c:extLst>
        </c:ser>
        <c:ser>
          <c:idx val="1"/>
          <c:order val="1"/>
          <c:tx>
            <c:strRef>
              <c:f>CORREL!$F$3</c:f>
              <c:strCache>
                <c:ptCount val="1"/>
                <c:pt idx="0">
                  <c:v>Hum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CORREL!$G$1:$J$1</c:f>
              <c:strCache>
                <c:ptCount val="4"/>
                <c:pt idx="0">
                  <c:v>Temp</c:v>
                </c:pt>
                <c:pt idx="1">
                  <c:v>Hum</c:v>
                </c:pt>
                <c:pt idx="2">
                  <c:v>Windspeed</c:v>
                </c:pt>
                <c:pt idx="3">
                  <c:v>Count</c:v>
                </c:pt>
              </c:strCache>
            </c:strRef>
          </c:cat>
          <c:val>
            <c:numRef>
              <c:f>CORREL!$G$3:$J$3</c:f>
              <c:numCache>
                <c:formatCode>General</c:formatCode>
                <c:ptCount val="4"/>
                <c:pt idx="0">
                  <c:v>8.0720147162812214E-2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7-4EEE-B569-03C48B67A1D1}"/>
            </c:ext>
          </c:extLst>
        </c:ser>
        <c:ser>
          <c:idx val="2"/>
          <c:order val="2"/>
          <c:tx>
            <c:strRef>
              <c:f>CORREL!$F$4</c:f>
              <c:strCache>
                <c:ptCount val="1"/>
                <c:pt idx="0">
                  <c:v>Windspeed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CORREL!$G$1:$J$1</c:f>
              <c:strCache>
                <c:ptCount val="4"/>
                <c:pt idx="0">
                  <c:v>Temp</c:v>
                </c:pt>
                <c:pt idx="1">
                  <c:v>Hum</c:v>
                </c:pt>
                <c:pt idx="2">
                  <c:v>Windspeed</c:v>
                </c:pt>
                <c:pt idx="3">
                  <c:v>Count</c:v>
                </c:pt>
              </c:strCache>
            </c:strRef>
          </c:cat>
          <c:val>
            <c:numRef>
              <c:f>CORREL!$G$4:$J$4</c:f>
              <c:numCache>
                <c:formatCode>General</c:formatCode>
                <c:ptCount val="4"/>
                <c:pt idx="0">
                  <c:v>0.12262532562998485</c:v>
                </c:pt>
                <c:pt idx="1">
                  <c:v>-0.38555034700358864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7-4EEE-B569-03C48B67A1D1}"/>
            </c:ext>
          </c:extLst>
        </c:ser>
        <c:ser>
          <c:idx val="3"/>
          <c:order val="3"/>
          <c:tx>
            <c:strRef>
              <c:f>CORREL!$F$5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CORREL!$G$1:$J$1</c:f>
              <c:strCache>
                <c:ptCount val="4"/>
                <c:pt idx="0">
                  <c:v>Temp</c:v>
                </c:pt>
                <c:pt idx="1">
                  <c:v>Hum</c:v>
                </c:pt>
                <c:pt idx="2">
                  <c:v>Windspeed</c:v>
                </c:pt>
                <c:pt idx="3">
                  <c:v>Count</c:v>
                </c:pt>
              </c:strCache>
            </c:strRef>
          </c:cat>
          <c:val>
            <c:numRef>
              <c:f>CORREL!$G$5:$J$5</c:f>
              <c:numCache>
                <c:formatCode>General</c:formatCode>
                <c:ptCount val="4"/>
                <c:pt idx="0">
                  <c:v>0.22929155386993369</c:v>
                </c:pt>
                <c:pt idx="1">
                  <c:v>-0.25435329828790432</c:v>
                </c:pt>
                <c:pt idx="2">
                  <c:v>0.10399668008577614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7-4EEE-B569-03C48B67A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515903"/>
        <c:axId val="1882537503"/>
      </c:barChart>
      <c:catAx>
        <c:axId val="188251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37503"/>
        <c:crosses val="autoZero"/>
        <c:auto val="1"/>
        <c:lblAlgn val="ctr"/>
        <c:lblOffset val="100"/>
        <c:noMultiLvlLbl val="0"/>
      </c:catAx>
      <c:valAx>
        <c:axId val="188253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159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Correlation of Weather on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CORREL!$G$22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CORREL!$F$23:$F$25</c:f>
              <c:strCache>
                <c:ptCount val="3"/>
                <c:pt idx="0">
                  <c:v>Temperature</c:v>
                </c:pt>
                <c:pt idx="1">
                  <c:v>Humidity</c:v>
                </c:pt>
                <c:pt idx="2">
                  <c:v>Windspeed</c:v>
                </c:pt>
              </c:strCache>
            </c:strRef>
          </c:cat>
          <c:val>
            <c:numRef>
              <c:f>CORREL!$G$23:$G$25</c:f>
              <c:numCache>
                <c:formatCode>General</c:formatCode>
                <c:ptCount val="3"/>
                <c:pt idx="0">
                  <c:v>0.23</c:v>
                </c:pt>
                <c:pt idx="1">
                  <c:v>-0.25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9-457F-9FDA-F0CE497B5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109951"/>
        <c:axId val="606112351"/>
      </c:barChart>
      <c:catAx>
        <c:axId val="60610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12351"/>
        <c:crosses val="autoZero"/>
        <c:auto val="1"/>
        <c:lblAlgn val="ctr"/>
        <c:lblOffset val="100"/>
        <c:noMultiLvlLbl val="0"/>
      </c:catAx>
      <c:valAx>
        <c:axId val="60611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0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41958">
          <a:srgbClr val="ACC5CF"/>
        </a:gs>
        <a:gs pos="0">
          <a:schemeClr val="accent2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38100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507F1F-524A-4086-AD98-53BE1F0D8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</xdr:colOff>
      <xdr:row>20</xdr:row>
      <xdr:rowOff>0</xdr:rowOff>
    </xdr:from>
    <xdr:to>
      <xdr:col>19</xdr:col>
      <xdr:colOff>601980</xdr:colOff>
      <xdr:row>34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CFB128-0D46-47B6-A084-D679DE65C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B9B3E16-A888-47F1-8F94-EBBB815DB53B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EAC29F2-2A09-4AF0-AB60-29DA05A74A72}" autoFormatId="16" applyNumberFormats="0" applyBorderFormats="0" applyFontFormats="0" applyPatternFormats="0" applyAlignmentFormats="0" applyWidthHeightFormats="0">
  <queryTableRefresh nextId="9">
    <queryTableFields count="8">
      <queryTableField id="1" name="Unnamed: 0" tableColumnId="1"/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A6846E8-6A51-41C8-A93B-6ECC3B4B5E9E}" autoFormatId="16" applyNumberFormats="0" applyBorderFormats="0" applyFontFormats="0" applyPatternFormats="0" applyAlignmentFormats="0" applyWidthHeightFormats="0">
  <queryTableRefresh nextId="14">
    <queryTableFields count="10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6" name="mnth" tableColumnId="6"/>
      <queryTableField id="7" name="hr" tableColumnId="7"/>
      <queryTableField id="8" name="holiday" tableColumnId="8"/>
      <queryTableField id="10" name="weekday2" tableColumnId="10"/>
      <queryTableField id="12" name="weathersit" tableColumnId="12"/>
      <queryTableField id="13" name="temp" tableColumnId="13"/>
    </queryTableFields>
    <queryTableDeletedFields count="3">
      <deletedField name="Weekday"/>
      <deletedField name="Month"/>
      <deletedField name="Weather Situation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95B9126-0111-4B10-A401-0C5139083CA9}" autoFormatId="16" applyNumberFormats="0" applyBorderFormats="0" applyFontFormats="0" applyPatternFormats="0" applyAlignmentFormats="0" applyWidthHeightFormats="0">
  <queryTableRefresh nextId="19">
    <queryTableFields count="18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Unnamed: 0" tableColumnId="11"/>
      <queryTableField id="12" name="instant2" tableColumnId="12"/>
      <queryTableField id="13" name="atemp" tableColumnId="13"/>
      <queryTableField id="14" name="hum" tableColumnId="14"/>
      <queryTableField id="15" name="windspeed" tableColumnId="15"/>
      <queryTableField id="16" name="casual" tableColumnId="16"/>
      <queryTableField id="17" name="registered" tableColumnId="17"/>
      <queryTableField id="18" name="cnt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E434A26-8463-4E4E-A6A2-F4A66419C5D4}" autoFormatId="16" applyNumberFormats="0" applyBorderFormats="0" applyFontFormats="0" applyPatternFormats="0" applyAlignmentFormats="0" applyWidthHeightFormats="0">
  <queryTableRefresh nextId="24">
    <queryTableFields count="22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22" dataBound="0" tableColumnId="22"/>
      <queryTableField id="5" name="mnth" tableColumnId="5"/>
      <queryTableField id="6" name="hr" tableColumnId="6"/>
      <queryTableField id="7" name="holiday" tableColumnId="7"/>
      <queryTableField id="19" dataBound="0" tableColumnId="19"/>
      <queryTableField id="23" dataBound="0" tableColumnId="24"/>
      <queryTableField id="8" name="weekday" tableColumnId="8"/>
      <queryTableField id="20" dataBound="0" tableColumnId="20"/>
      <queryTableField id="9" name="weathersit" tableColumnId="9"/>
      <queryTableField id="10" name="temp" tableColumnId="10"/>
      <queryTableField id="11" name="Unnamed: 0" tableColumnId="11"/>
      <queryTableField id="12" name="instant2" tableColumnId="12"/>
      <queryTableField id="13" name="atemp" tableColumnId="13"/>
      <queryTableField id="14" name="hum" tableColumnId="14"/>
      <queryTableField id="15" name="windspeed" tableColumnId="15"/>
      <queryTableField id="16" name="casual" tableColumnId="16"/>
      <queryTableField id="17" name="registered" tableColumnId="17"/>
      <queryTableField id="18" name="cn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A487D-87F9-49D5-955B-061656AB2D4E}" name="dataset_3" displayName="dataset_3" ref="A1:P391" tableType="queryTable" totalsRowShown="0">
  <autoFilter ref="A1:P391" xr:uid="{BDCA487D-87F9-49D5-955B-061656AB2D4E}"/>
  <tableColumns count="16">
    <tableColumn id="1" xr3:uid="{54BD39B6-57A0-4352-A3FB-0BCD13531DD1}" uniqueName="1" name="instant" queryTableFieldId="1"/>
    <tableColumn id="2" xr3:uid="{550660F9-C2E2-4B9F-AE22-1F0A184E8FA5}" uniqueName="2" name="dteday" queryTableFieldId="2" dataDxfId="39"/>
    <tableColumn id="3" xr3:uid="{492E10B9-0846-464F-8650-8B58D0FA19A8}" uniqueName="3" name="season" queryTableFieldId="3"/>
    <tableColumn id="4" xr3:uid="{E2F2D269-39CD-4B84-B130-B637B88FA5AF}" uniqueName="4" name="yr" queryTableFieldId="4"/>
    <tableColumn id="5" xr3:uid="{3322D797-6C49-4378-91B1-E3714CA26C73}" uniqueName="5" name="mnth" queryTableFieldId="5"/>
    <tableColumn id="6" xr3:uid="{F95DC20F-70B2-495A-AB37-EF9F47A4FDFA}" uniqueName="6" name="hr" queryTableFieldId="6"/>
    <tableColumn id="7" xr3:uid="{368B6622-ECA0-442C-AFC4-5FC41014D048}" uniqueName="7" name="holiday" queryTableFieldId="7"/>
    <tableColumn id="8" xr3:uid="{81357C3F-349F-4A5E-B030-C7E9984160E2}" uniqueName="8" name="weekday" queryTableFieldId="8"/>
    <tableColumn id="9" xr3:uid="{096795F7-2A65-49C8-90BA-FE8D699CD772}" uniqueName="9" name="weathersit" queryTableFieldId="9"/>
    <tableColumn id="10" xr3:uid="{C1E11C12-2CE9-442F-8B32-D638C031064C}" uniqueName="10" name="temp" queryTableFieldId="10"/>
    <tableColumn id="11" xr3:uid="{B0AC562A-F5C0-4C44-B7E3-2EB01E33F78C}" uniqueName="11" name="atemp" queryTableFieldId="11"/>
    <tableColumn id="12" xr3:uid="{527D90D3-C948-439C-A5D4-90FFBFB0A169}" uniqueName="12" name="hum" queryTableFieldId="12"/>
    <tableColumn id="13" xr3:uid="{6FF32886-3C29-447D-8F62-4B8E2A03C14A}" uniqueName="13" name="windspeed" queryTableFieldId="13"/>
    <tableColumn id="14" xr3:uid="{13CBC9E2-C363-4BAF-958F-D37F051984CE}" uniqueName="14" name="casual" queryTableFieldId="14"/>
    <tableColumn id="15" xr3:uid="{B977ADC1-656C-4C59-9EBF-BBCF4F4D2A05}" uniqueName="15" name="registered" queryTableFieldId="15"/>
    <tableColumn id="16" xr3:uid="{6C13E5A1-5341-4992-92F2-563F8B5A9C47}" uniqueName="16" name="cnt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1FB6BB-8260-43AB-9D99-1A1D3B63197C}" name="dataset_2" displayName="dataset_2" ref="A1:H999" tableType="queryTable" totalsRowShown="0">
  <autoFilter ref="A1:H999" xr:uid="{B61FB6BB-8260-43AB-9D99-1A1D3B63197C}"/>
  <tableColumns count="8">
    <tableColumn id="1" xr3:uid="{CE3E62FA-5AAC-413B-835C-800FEF92910B}" uniqueName="1" name="Unnamed: 0" queryTableFieldId="1"/>
    <tableColumn id="2" xr3:uid="{666675CE-D5DC-46D6-891D-B17365EA1DD7}" uniqueName="2" name="instant" queryTableFieldId="2"/>
    <tableColumn id="3" xr3:uid="{13A78C19-8579-4098-BFAC-4049983910DA}" uniqueName="3" name="atemp" queryTableFieldId="3"/>
    <tableColumn id="4" xr3:uid="{4843B179-29BD-4DAD-B520-B5D5DB815D5D}" uniqueName="4" name="hum" queryTableFieldId="4"/>
    <tableColumn id="5" xr3:uid="{DCD39D35-0F66-4784-898F-991D0DAC587A}" uniqueName="5" name="windspeed" queryTableFieldId="5"/>
    <tableColumn id="6" xr3:uid="{3D134543-6F72-4F7B-9AC5-0CEC6F6B9B5F}" uniqueName="6" name="casual" queryTableFieldId="6"/>
    <tableColumn id="7" xr3:uid="{52B1F814-3753-41AD-8F3B-56189444344C}" uniqueName="7" name="registered" queryTableFieldId="7"/>
    <tableColumn id="8" xr3:uid="{9F1C81EF-171A-40F2-8FC9-A83B4A9DF0E6}" uniqueName="8" name="cnt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F4F2E9-2341-4A2E-A23D-8EEA0410E55C}" name="dataset_1" displayName="dataset_1" ref="A1:J611" tableType="queryTable" totalsRowShown="0">
  <autoFilter ref="A1:J611" xr:uid="{40F4F2E9-2341-4A2E-A23D-8EEA0410E55C}"/>
  <tableColumns count="10">
    <tableColumn id="1" xr3:uid="{5AB642EC-1E27-4B3B-9B31-ED437933A60B}" uniqueName="1" name="instant" queryTableFieldId="1"/>
    <tableColumn id="2" xr3:uid="{58167B97-1A38-41A7-B6AB-8AF624D9EDE4}" uniqueName="2" name="dteday" queryTableFieldId="2" dataDxfId="38"/>
    <tableColumn id="3" xr3:uid="{A50A6B98-0F04-4694-AB82-0B0D1FF5B841}" uniqueName="3" name="season" queryTableFieldId="3"/>
    <tableColumn id="4" xr3:uid="{D5BB4005-294D-4AE1-81C8-EEE654E6939C}" uniqueName="4" name="yr" queryTableFieldId="4"/>
    <tableColumn id="6" xr3:uid="{8ACBEA83-72A6-4D39-BF1C-F86659DBD9FF}" uniqueName="6" name="mnth" queryTableFieldId="6"/>
    <tableColumn id="7" xr3:uid="{3F242F46-ACBE-4081-A1A5-2F6B1D84F0C8}" uniqueName="7" name="hr" queryTableFieldId="7"/>
    <tableColumn id="8" xr3:uid="{54926400-04A6-4060-9048-BCDC83B18666}" uniqueName="8" name="holiday" queryTableFieldId="8"/>
    <tableColumn id="10" xr3:uid="{5953030F-801A-4EBE-8346-96F942E907C9}" uniqueName="10" name="weekday2" queryTableFieldId="10"/>
    <tableColumn id="12" xr3:uid="{A822E5E4-9574-45D4-8368-CF97FD1EF263}" uniqueName="12" name="weathersit" queryTableFieldId="12"/>
    <tableColumn id="13" xr3:uid="{6AB8A17A-263C-4481-AFF5-CEEC22F3CF8D}" uniqueName="13" name="temp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2FC68-270E-48AA-968E-8448482833CC}" name="Merge_Dataset_4" displayName="Merge_Dataset_4" ref="A1:R611" tableType="queryTable" totalsRowShown="0">
  <autoFilter ref="A1:R611" xr:uid="{66F2FC68-270E-48AA-968E-8448482833CC}">
    <filterColumn colId="6">
      <filters>
        <filter val="FALSE"/>
      </filters>
    </filterColumn>
  </autoFilter>
  <tableColumns count="18">
    <tableColumn id="1" xr3:uid="{21FE71AD-B8C3-4D68-A27B-83BA503BDF4A}" uniqueName="1" name="instant" queryTableFieldId="1"/>
    <tableColumn id="2" xr3:uid="{E47BA134-723D-4227-B96D-71182ECFC154}" uniqueName="2" name="dteday" queryTableFieldId="2" dataDxfId="37"/>
    <tableColumn id="3" xr3:uid="{BCB287B5-B57B-4D20-B59F-B93CEDEB3392}" uniqueName="3" name="season" queryTableFieldId="3"/>
    <tableColumn id="4" xr3:uid="{8F94B246-3E0C-4C8B-968C-9A0EF3522E3D}" uniqueName="4" name="yr" queryTableFieldId="4"/>
    <tableColumn id="5" xr3:uid="{9DA2D65B-B938-40EF-ACBC-7AE2440C7640}" uniqueName="5" name="mnth" queryTableFieldId="5"/>
    <tableColumn id="6" xr3:uid="{5465F87F-DD1F-4D3C-93F4-10FFBCF9859D}" uniqueName="6" name="hr" queryTableFieldId="6"/>
    <tableColumn id="7" xr3:uid="{1D2878A3-5362-4944-918A-D10DA5A0DB9B}" uniqueName="7" name="holiday" queryTableFieldId="7"/>
    <tableColumn id="8" xr3:uid="{DC8E03A4-5F8A-48C9-B2D3-7B0DA3F41620}" uniqueName="8" name="weekday" queryTableFieldId="8"/>
    <tableColumn id="9" xr3:uid="{B21EFE16-A00B-4988-BDBD-D541E48659F2}" uniqueName="9" name="weathersit" queryTableFieldId="9"/>
    <tableColumn id="10" xr3:uid="{177E57E0-8A48-4418-B357-93F3CED662F5}" uniqueName="10" name="temp" queryTableFieldId="10"/>
    <tableColumn id="11" xr3:uid="{391D28E3-7065-46E8-8CF9-540E5BD381FE}" uniqueName="11" name="Unnamed: 0" queryTableFieldId="11"/>
    <tableColumn id="12" xr3:uid="{C614298B-6BB9-42F2-8341-C86C815306A6}" uniqueName="12" name="instant2" queryTableFieldId="12"/>
    <tableColumn id="13" xr3:uid="{C6B75A1E-C376-4EDE-BE48-1DB0CA12E732}" uniqueName="13" name="atemp" queryTableFieldId="13"/>
    <tableColumn id="14" xr3:uid="{0148ACD7-5798-4570-BE48-EC0D91CE9DFE}" uniqueName="14" name="hum" queryTableFieldId="14"/>
    <tableColumn id="15" xr3:uid="{C7BFD9F1-938F-4196-B0D8-C74626F7FAA0}" uniqueName="15" name="windspeed" queryTableFieldId="15"/>
    <tableColumn id="16" xr3:uid="{36CE7F56-4F67-4BC6-8225-3593A4A06F6F}" uniqueName="16" name="casual" queryTableFieldId="16"/>
    <tableColumn id="17" xr3:uid="{4AFD2F91-C156-492D-B851-DED4D4897A3E}" uniqueName="17" name="registered" queryTableFieldId="17"/>
    <tableColumn id="18" xr3:uid="{9A86FD53-F72F-4C39-A623-6A9D4453B28A}" uniqueName="18" name="cnt" queryTableField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16277E-C409-475E-AB5D-C9BA985D373A}" name="Append1" displayName="Append1" ref="A1:V1001" tableType="queryTable" totalsRowShown="0">
  <autoFilter ref="A1:V1001" xr:uid="{6D16277E-C409-475E-AB5D-C9BA985D373A}"/>
  <tableColumns count="22">
    <tableColumn id="1" xr3:uid="{FAA7DFFB-F249-4419-86CC-96E0000963E3}" uniqueName="1" name="instant" queryTableFieldId="1"/>
    <tableColumn id="2" xr3:uid="{30AAFBE6-0CC9-4AB9-8A47-2EF40DD61315}" uniqueName="2" name="dteday" queryTableFieldId="2" dataDxfId="36"/>
    <tableColumn id="3" xr3:uid="{518F9FC0-8856-4153-8DB3-23FA5D3A2F2D}" uniqueName="3" name="season" queryTableFieldId="3"/>
    <tableColumn id="4" xr3:uid="{36E94255-1CF2-4216-AF60-F0B4E8D93678}" uniqueName="4" name="yr" queryTableFieldId="4"/>
    <tableColumn id="22" xr3:uid="{0FE3F178-4024-4A86-B010-3D966EF2C8DD}" uniqueName="22" name="Month" queryTableFieldId="22" dataDxfId="35">
      <calculatedColumnFormula>TEXT(Append1[[#This Row],[dteday]],"MMMM")</calculatedColumnFormula>
    </tableColumn>
    <tableColumn id="5" xr3:uid="{EFAD188A-0FE2-43C9-8108-D66CDCA1AF29}" uniqueName="5" name="mnth" queryTableFieldId="5"/>
    <tableColumn id="6" xr3:uid="{C1E916FD-2C05-4D26-B25E-9B7E397AF6E4}" uniqueName="6" name="hr" queryTableFieldId="6"/>
    <tableColumn id="7" xr3:uid="{09B330DF-ABC5-46A4-8FFC-41820B68A212}" uniqueName="7" name="holiday" queryTableFieldId="7"/>
    <tableColumn id="19" xr3:uid="{ED7FC413-F952-4E31-B11E-DF098EE75352}" uniqueName="19" name="Day" queryTableFieldId="19" dataDxfId="34">
      <calculatedColumnFormula>TEXT(Append1[[#This Row],[dteday]],"DDDD")</calculatedColumnFormula>
    </tableColumn>
    <tableColumn id="24" xr3:uid="{CD669A40-EF5B-475F-803F-762085FF857C}" uniqueName="24" name="Weekday" queryTableFieldId="23" dataDxfId="33">
      <calculatedColumnFormula array="1">_xlfn.IFS(Append1[[#This Row],[weekday cnt]]=0,"Weekend",Append1[[#This Row],[weekday cnt]]=6,"Weekend",Append1[[#This Row],[weekday cnt]]&gt;0,"Weekday")</calculatedColumnFormula>
    </tableColumn>
    <tableColumn id="8" xr3:uid="{4835548E-A34A-420A-8988-06ACE3AF2006}" uniqueName="8" name="weekday cnt" queryTableFieldId="8"/>
    <tableColumn id="20" xr3:uid="{E3D49959-E5B5-442C-BE0F-B028FF815306}" uniqueName="20" name="Weather Situation" queryTableFieldId="20" dataDxfId="32">
      <calculatedColumnFormula array="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calculatedColumnFormula>
    </tableColumn>
    <tableColumn id="9" xr3:uid="{7846CA4F-E8D7-4F82-8E5F-947EDA580B05}" uniqueName="9" name="weathersit" queryTableFieldId="9"/>
    <tableColumn id="10" xr3:uid="{8D4652D9-CAE8-458D-B683-6271A80962C8}" uniqueName="10" name="temp" queryTableFieldId="10"/>
    <tableColumn id="11" xr3:uid="{15FF6886-1FDF-4969-A70D-E3D260BAE8BD}" uniqueName="11" name="Unnamed: 0" queryTableFieldId="11"/>
    <tableColumn id="12" xr3:uid="{4F886A24-B8F6-4365-AC37-493C0A1EC518}" uniqueName="12" name="instant2" queryTableFieldId="12"/>
    <tableColumn id="13" xr3:uid="{B78C85EF-9011-47D8-8C14-DA366719B03C}" uniqueName="13" name="atemp" queryTableFieldId="13"/>
    <tableColumn id="14" xr3:uid="{B01CAE58-430E-4551-988B-798288F57487}" uniqueName="14" name="hum" queryTableFieldId="14"/>
    <tableColumn id="15" xr3:uid="{599DA040-43A9-4017-A2FA-621F50C2BC00}" uniqueName="15" name="windspeed" queryTableFieldId="15"/>
    <tableColumn id="16" xr3:uid="{FE16780F-138E-4265-93F3-FF67CBE1520E}" uniqueName="16" name="casual" queryTableFieldId="16"/>
    <tableColumn id="17" xr3:uid="{35EEF753-037D-4EA3-9CF7-8AF19056EA31}" uniqueName="17" name="registered" queryTableFieldId="17"/>
    <tableColumn id="18" xr3:uid="{1C0EDF71-EF05-409C-ABF7-6881CE3277F4}" uniqueName="18" name="cnt" queryTableField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34B8F8-B0B0-4CD8-87B0-B8B0BE97FAE4}" name="Table8" displayName="Table8" ref="A1:C11" totalsRowShown="0" headerRowDxfId="31" dataDxfId="29" headerRowBorderDxfId="30" tableBorderDxfId="28" totalsRowBorderDxfId="27">
  <tableColumns count="3">
    <tableColumn id="1" xr3:uid="{E2500224-F808-44C5-8218-B3BCD0C52061}" name="STDEV of Humidity" dataDxfId="26"/>
    <tableColumn id="2" xr3:uid="{EE6C5DA0-A39F-43DE-812F-7C53F3A5F67F}" name="Average Humidity" dataDxfId="25"/>
    <tableColumn id="3" xr3:uid="{12AC2BAC-13D1-418C-B8B3-7C0F82303E49}" name="Analysis" dataDxfId="24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6C59F77-9DB8-4145-8182-5D8820D8EBAE}" name="Table811" displayName="Table811" ref="A17:C25" totalsRowShown="0" headerRowDxfId="23" dataDxfId="21" headerRowBorderDxfId="22" tableBorderDxfId="20" totalsRowBorderDxfId="19">
  <tableColumns count="3">
    <tableColumn id="1" xr3:uid="{B6C26D07-E63B-4D06-BDBD-8C8088D3E3FC}" name="STDEV of Count" dataDxfId="18"/>
    <tableColumn id="2" xr3:uid="{9213911A-F18A-44C5-B372-C40E3BC3B684}" name="Average Count" dataDxfId="17"/>
    <tableColumn id="3" xr3:uid="{F39EAA75-CA5E-433E-87C9-3848646A18F3}" name="Analysis" dataDxfId="16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565721-C83A-4360-8E65-6458F8FC0EF7}" name="Table4" displayName="Table4" ref="F1:J5" totalsRowShown="0" headerRowDxfId="15" dataDxfId="13" headerRowBorderDxfId="14" tableBorderDxfId="12" totalsRowBorderDxfId="11">
  <tableColumns count="5">
    <tableColumn id="1" xr3:uid="{22E70904-85FE-4D28-A2B4-D62C49298DFD}" name="Labels" dataDxfId="10"/>
    <tableColumn id="2" xr3:uid="{1161673B-5B17-4632-9F4B-CC285B1EC158}" name="Temp" dataDxfId="9"/>
    <tableColumn id="3" xr3:uid="{270C6ACD-BCE1-4CD9-B626-05EF70264401}" name="Hum" dataDxfId="8"/>
    <tableColumn id="4" xr3:uid="{220AC383-3861-42F3-91C7-E06195D24ED8}" name="Windspeed" dataDxfId="7"/>
    <tableColumn id="5" xr3:uid="{FB38DFC2-80E4-48EB-8436-6C32C16F8E85}" name="Count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1BAEC6-81D6-4079-8D86-62D4E816962F}" name="Table9" displayName="Table9" ref="A1:D1001" totalsRowShown="0" headerRowDxfId="5" dataDxfId="4" tableBorderDxfId="3">
  <autoFilter ref="A1:D1001" xr:uid="{7E1BAEC6-81D6-4079-8D86-62D4E816962F}"/>
  <tableColumns count="4">
    <tableColumn id="1" xr3:uid="{29C76834-6BE5-41C0-8222-107952A87927}" name="Days">
      <calculatedColumnFormula array="1">_xlfn.IFS(Append1[[#This Row],[weekday cnt]]=0,"Weekend",Append1[[#This Row],[weekday cnt]]=6,"Weekend",Append1[[#This Row],[weekday cnt]]&gt;0,"Weekday")</calculatedColumnFormula>
    </tableColumn>
    <tableColumn id="2" xr3:uid="{B8DBAD78-A67C-43EF-8EBA-6A329DFB6ACE}" name="casual" dataDxfId="2"/>
    <tableColumn id="3" xr3:uid="{E461AFEB-D928-453E-9DBD-8A0E8090E976}" name="registered" dataDxfId="1"/>
    <tableColumn id="4" xr3:uid="{73C20651-A63B-4A91-A0C1-3A08314A91B1}" name="cn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1627-D51C-4415-89AF-FDDDD9B1AD0D}">
  <dimension ref="A1:P391"/>
  <sheetViews>
    <sheetView workbookViewId="0">
      <selection activeCell="Q12" sqref="Q12"/>
    </sheetView>
  </sheetViews>
  <sheetFormatPr defaultRowHeight="14.4" x14ac:dyDescent="0.3"/>
  <cols>
    <col min="1" max="1" width="9" bestFit="1" customWidth="1"/>
    <col min="2" max="2" width="9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8.6640625" bestFit="1" customWidth="1"/>
    <col min="12" max="12" width="6.88671875" bestFit="1" customWidth="1"/>
    <col min="13" max="13" width="12.33203125" bestFit="1" customWidth="1"/>
    <col min="14" max="14" width="8.6640625" bestFit="1" customWidth="1"/>
    <col min="15" max="15" width="11.6640625" bestFit="1" customWidth="1"/>
    <col min="16" max="16" width="5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3">
      <c r="A2">
        <v>611</v>
      </c>
      <c r="B2" s="1">
        <v>40571</v>
      </c>
      <c r="C2">
        <v>1</v>
      </c>
      <c r="D2">
        <v>0</v>
      </c>
      <c r="E2">
        <v>1</v>
      </c>
      <c r="F2">
        <v>16</v>
      </c>
      <c r="G2" t="b">
        <v>0</v>
      </c>
      <c r="H2">
        <v>5</v>
      </c>
      <c r="I2">
        <v>1</v>
      </c>
      <c r="J2">
        <v>0.22</v>
      </c>
      <c r="K2">
        <v>0.2727</v>
      </c>
      <c r="L2">
        <v>0.8</v>
      </c>
      <c r="M2">
        <v>0</v>
      </c>
      <c r="N2">
        <v>10</v>
      </c>
      <c r="O2">
        <v>70</v>
      </c>
      <c r="P2">
        <v>80</v>
      </c>
    </row>
    <row r="3" spans="1:16" x14ac:dyDescent="0.3">
      <c r="A3">
        <v>612</v>
      </c>
      <c r="B3" s="1">
        <v>40571</v>
      </c>
      <c r="C3">
        <v>1</v>
      </c>
      <c r="D3">
        <v>0</v>
      </c>
      <c r="E3">
        <v>1</v>
      </c>
      <c r="F3">
        <v>17</v>
      </c>
      <c r="G3" t="b">
        <v>0</v>
      </c>
      <c r="H3">
        <v>5</v>
      </c>
      <c r="I3">
        <v>1</v>
      </c>
      <c r="J3">
        <v>0.24</v>
      </c>
      <c r="K3">
        <v>0.2424</v>
      </c>
      <c r="L3">
        <v>0.75</v>
      </c>
      <c r="M3">
        <v>0.1343</v>
      </c>
      <c r="N3">
        <v>2</v>
      </c>
      <c r="O3">
        <v>147</v>
      </c>
      <c r="P3">
        <v>149</v>
      </c>
    </row>
    <row r="4" spans="1:16" x14ac:dyDescent="0.3">
      <c r="A4">
        <v>613</v>
      </c>
      <c r="B4" s="1">
        <v>40571</v>
      </c>
      <c r="C4">
        <v>1</v>
      </c>
      <c r="D4">
        <v>0</v>
      </c>
      <c r="E4">
        <v>1</v>
      </c>
      <c r="F4">
        <v>18</v>
      </c>
      <c r="G4" t="b">
        <v>0</v>
      </c>
      <c r="H4">
        <v>5</v>
      </c>
      <c r="I4">
        <v>1</v>
      </c>
      <c r="J4">
        <v>0.24</v>
      </c>
      <c r="K4">
        <v>0.2273</v>
      </c>
      <c r="L4">
        <v>0.75</v>
      </c>
      <c r="M4">
        <v>0.19400000000000001</v>
      </c>
      <c r="N4">
        <v>2</v>
      </c>
      <c r="O4">
        <v>107</v>
      </c>
      <c r="P4">
        <v>109</v>
      </c>
    </row>
    <row r="5" spans="1:16" x14ac:dyDescent="0.3">
      <c r="A5">
        <v>614</v>
      </c>
      <c r="B5" s="1">
        <v>40571</v>
      </c>
      <c r="C5">
        <v>1</v>
      </c>
      <c r="D5">
        <v>0</v>
      </c>
      <c r="E5">
        <v>1</v>
      </c>
      <c r="F5">
        <v>19</v>
      </c>
      <c r="G5" t="b">
        <v>0</v>
      </c>
      <c r="H5">
        <v>5</v>
      </c>
      <c r="I5">
        <v>2</v>
      </c>
      <c r="J5">
        <v>0.24</v>
      </c>
      <c r="K5">
        <v>0.2424</v>
      </c>
      <c r="L5">
        <v>0.75</v>
      </c>
      <c r="M5">
        <v>0.1343</v>
      </c>
      <c r="N5">
        <v>5</v>
      </c>
      <c r="O5">
        <v>84</v>
      </c>
      <c r="P5">
        <v>89</v>
      </c>
    </row>
    <row r="6" spans="1:16" x14ac:dyDescent="0.3">
      <c r="A6">
        <v>615</v>
      </c>
      <c r="B6" s="1">
        <v>40571</v>
      </c>
      <c r="C6">
        <v>1</v>
      </c>
      <c r="D6">
        <v>0</v>
      </c>
      <c r="E6">
        <v>1</v>
      </c>
      <c r="F6">
        <v>20</v>
      </c>
      <c r="G6" t="b">
        <v>0</v>
      </c>
      <c r="H6">
        <v>5</v>
      </c>
      <c r="I6">
        <v>2</v>
      </c>
      <c r="J6">
        <v>0.24</v>
      </c>
      <c r="K6">
        <v>0.2273</v>
      </c>
      <c r="L6">
        <v>0.7</v>
      </c>
      <c r="M6">
        <v>0.19400000000000001</v>
      </c>
      <c r="N6">
        <v>1</v>
      </c>
      <c r="O6">
        <v>61</v>
      </c>
      <c r="P6">
        <v>62</v>
      </c>
    </row>
    <row r="7" spans="1:16" x14ac:dyDescent="0.3">
      <c r="A7">
        <v>616</v>
      </c>
      <c r="B7" s="1">
        <v>40571</v>
      </c>
      <c r="C7">
        <v>1</v>
      </c>
      <c r="D7">
        <v>0</v>
      </c>
      <c r="E7">
        <v>1</v>
      </c>
      <c r="F7">
        <v>21</v>
      </c>
      <c r="G7" t="b">
        <v>0</v>
      </c>
      <c r="H7">
        <v>5</v>
      </c>
      <c r="I7">
        <v>2</v>
      </c>
      <c r="J7">
        <v>0.22</v>
      </c>
      <c r="K7">
        <v>0.2273</v>
      </c>
      <c r="L7">
        <v>0.75</v>
      </c>
      <c r="M7">
        <v>0.1343</v>
      </c>
      <c r="N7">
        <v>1</v>
      </c>
      <c r="O7">
        <v>57</v>
      </c>
      <c r="P7">
        <v>58</v>
      </c>
    </row>
    <row r="8" spans="1:16" x14ac:dyDescent="0.3">
      <c r="A8">
        <v>617</v>
      </c>
      <c r="B8" s="1">
        <v>40571</v>
      </c>
      <c r="C8">
        <v>1</v>
      </c>
      <c r="D8">
        <v>0</v>
      </c>
      <c r="E8">
        <v>1</v>
      </c>
      <c r="F8">
        <v>22</v>
      </c>
      <c r="G8" t="b">
        <v>0</v>
      </c>
      <c r="H8">
        <v>5</v>
      </c>
      <c r="I8">
        <v>1</v>
      </c>
      <c r="J8">
        <v>0.24</v>
      </c>
      <c r="K8">
        <v>0.21210000000000001</v>
      </c>
      <c r="L8">
        <v>0.65</v>
      </c>
      <c r="M8">
        <v>0.35820000000000002</v>
      </c>
      <c r="N8">
        <v>0</v>
      </c>
      <c r="O8">
        <v>26</v>
      </c>
      <c r="P8">
        <v>26</v>
      </c>
    </row>
    <row r="9" spans="1:16" x14ac:dyDescent="0.3">
      <c r="A9">
        <v>618</v>
      </c>
      <c r="B9" s="1">
        <v>40571</v>
      </c>
      <c r="C9">
        <v>1</v>
      </c>
      <c r="D9">
        <v>0</v>
      </c>
      <c r="E9">
        <v>1</v>
      </c>
      <c r="F9">
        <v>23</v>
      </c>
      <c r="G9" t="b">
        <v>0</v>
      </c>
      <c r="H9">
        <v>5</v>
      </c>
      <c r="I9">
        <v>1</v>
      </c>
      <c r="J9">
        <v>0.24</v>
      </c>
      <c r="K9">
        <v>0.2273</v>
      </c>
      <c r="L9">
        <v>0.6</v>
      </c>
      <c r="M9">
        <v>0.22389999999999999</v>
      </c>
      <c r="N9">
        <v>1</v>
      </c>
      <c r="O9">
        <v>22</v>
      </c>
      <c r="P9">
        <v>23</v>
      </c>
    </row>
    <row r="10" spans="1:16" x14ac:dyDescent="0.3">
      <c r="A10">
        <v>619</v>
      </c>
      <c r="B10" s="1">
        <v>40572</v>
      </c>
      <c r="C10">
        <v>1</v>
      </c>
      <c r="D10">
        <v>0</v>
      </c>
      <c r="E10">
        <v>1</v>
      </c>
      <c r="F10">
        <v>0</v>
      </c>
      <c r="G10" t="b">
        <v>0</v>
      </c>
      <c r="H10">
        <v>6</v>
      </c>
      <c r="I10">
        <v>1</v>
      </c>
      <c r="J10">
        <v>0.22</v>
      </c>
      <c r="K10">
        <v>0.19700000000000001</v>
      </c>
      <c r="L10">
        <v>0.64</v>
      </c>
      <c r="M10">
        <v>0.35820000000000002</v>
      </c>
      <c r="N10">
        <v>2</v>
      </c>
      <c r="O10">
        <v>26</v>
      </c>
      <c r="P10">
        <v>28</v>
      </c>
    </row>
    <row r="11" spans="1:16" x14ac:dyDescent="0.3">
      <c r="A11">
        <v>620</v>
      </c>
      <c r="B11" s="1">
        <v>40572</v>
      </c>
      <c r="C11">
        <v>1</v>
      </c>
      <c r="D11">
        <v>0</v>
      </c>
      <c r="E11">
        <v>1</v>
      </c>
      <c r="F11">
        <v>1</v>
      </c>
      <c r="G11" t="b">
        <v>0</v>
      </c>
      <c r="H11">
        <v>6</v>
      </c>
      <c r="I11">
        <v>1</v>
      </c>
      <c r="J11">
        <v>0.22</v>
      </c>
      <c r="K11">
        <v>0.2273</v>
      </c>
      <c r="L11">
        <v>0.64</v>
      </c>
      <c r="M11">
        <v>0.19400000000000001</v>
      </c>
      <c r="N11">
        <v>0</v>
      </c>
      <c r="O11">
        <v>20</v>
      </c>
      <c r="P11">
        <v>20</v>
      </c>
    </row>
    <row r="12" spans="1:16" x14ac:dyDescent="0.3">
      <c r="A12">
        <v>621</v>
      </c>
      <c r="B12" s="1">
        <v>40572</v>
      </c>
      <c r="C12">
        <v>1</v>
      </c>
      <c r="D12">
        <v>0</v>
      </c>
      <c r="E12">
        <v>1</v>
      </c>
      <c r="F12">
        <v>2</v>
      </c>
      <c r="G12" t="b">
        <v>0</v>
      </c>
      <c r="H12">
        <v>6</v>
      </c>
      <c r="I12">
        <v>1</v>
      </c>
      <c r="J12">
        <v>0.22</v>
      </c>
      <c r="K12">
        <v>0.2273</v>
      </c>
      <c r="L12">
        <v>0.64</v>
      </c>
      <c r="M12">
        <v>0.16420000000000001</v>
      </c>
      <c r="N12">
        <v>0</v>
      </c>
      <c r="O12">
        <v>15</v>
      </c>
      <c r="P12">
        <v>15</v>
      </c>
    </row>
    <row r="13" spans="1:16" x14ac:dyDescent="0.3">
      <c r="A13">
        <v>622</v>
      </c>
      <c r="B13" s="1">
        <v>40572</v>
      </c>
      <c r="C13">
        <v>1</v>
      </c>
      <c r="D13">
        <v>0</v>
      </c>
      <c r="E13">
        <v>1</v>
      </c>
      <c r="F13">
        <v>3</v>
      </c>
      <c r="G13" t="b">
        <v>0</v>
      </c>
      <c r="H13">
        <v>6</v>
      </c>
      <c r="I13">
        <v>1</v>
      </c>
      <c r="J13">
        <v>0.2</v>
      </c>
      <c r="K13">
        <v>0.21210000000000001</v>
      </c>
      <c r="L13">
        <v>0.64</v>
      </c>
      <c r="M13">
        <v>0.1343</v>
      </c>
      <c r="N13">
        <v>3</v>
      </c>
      <c r="O13">
        <v>5</v>
      </c>
      <c r="P13">
        <v>8</v>
      </c>
    </row>
    <row r="14" spans="1:16" x14ac:dyDescent="0.3">
      <c r="A14">
        <v>623</v>
      </c>
      <c r="B14" s="1">
        <v>40572</v>
      </c>
      <c r="C14">
        <v>1</v>
      </c>
      <c r="D14">
        <v>0</v>
      </c>
      <c r="E14">
        <v>1</v>
      </c>
      <c r="F14">
        <v>4</v>
      </c>
      <c r="G14" t="b">
        <v>0</v>
      </c>
      <c r="H14">
        <v>6</v>
      </c>
      <c r="I14">
        <v>1</v>
      </c>
      <c r="J14">
        <v>0.16</v>
      </c>
      <c r="K14">
        <v>0.18179999999999999</v>
      </c>
      <c r="L14">
        <v>0.69</v>
      </c>
      <c r="M14">
        <v>0.1045</v>
      </c>
      <c r="N14">
        <v>1</v>
      </c>
      <c r="O14">
        <v>2</v>
      </c>
      <c r="P14">
        <v>3</v>
      </c>
    </row>
    <row r="15" spans="1:16" x14ac:dyDescent="0.3">
      <c r="A15">
        <v>624</v>
      </c>
      <c r="B15" s="1">
        <v>40572</v>
      </c>
      <c r="C15">
        <v>1</v>
      </c>
      <c r="D15">
        <v>0</v>
      </c>
      <c r="E15">
        <v>1</v>
      </c>
      <c r="F15">
        <v>6</v>
      </c>
      <c r="G15" t="b">
        <v>0</v>
      </c>
      <c r="H15">
        <v>6</v>
      </c>
      <c r="I15">
        <v>1</v>
      </c>
      <c r="J15">
        <v>0.16</v>
      </c>
      <c r="K15">
        <v>0.18179999999999999</v>
      </c>
      <c r="L15">
        <v>0.64</v>
      </c>
      <c r="M15">
        <v>0.1343</v>
      </c>
      <c r="N15">
        <v>0</v>
      </c>
      <c r="O15">
        <v>2</v>
      </c>
      <c r="P15">
        <v>2</v>
      </c>
    </row>
    <row r="16" spans="1:16" x14ac:dyDescent="0.3">
      <c r="A16">
        <v>625</v>
      </c>
      <c r="B16" s="1">
        <v>40572</v>
      </c>
      <c r="C16">
        <v>1</v>
      </c>
      <c r="D16">
        <v>0</v>
      </c>
      <c r="E16">
        <v>1</v>
      </c>
      <c r="F16">
        <v>7</v>
      </c>
      <c r="G16" t="b">
        <v>0</v>
      </c>
      <c r="H16">
        <v>6</v>
      </c>
      <c r="I16">
        <v>1</v>
      </c>
      <c r="J16">
        <v>0.16</v>
      </c>
      <c r="K16">
        <v>0.18179999999999999</v>
      </c>
      <c r="L16">
        <v>0.59</v>
      </c>
      <c r="M16">
        <v>0.1045</v>
      </c>
      <c r="N16">
        <v>1</v>
      </c>
      <c r="O16">
        <v>4</v>
      </c>
      <c r="P16">
        <v>5</v>
      </c>
    </row>
    <row r="17" spans="1:16" x14ac:dyDescent="0.3">
      <c r="A17">
        <v>626</v>
      </c>
      <c r="B17" s="1">
        <v>40572</v>
      </c>
      <c r="C17">
        <v>1</v>
      </c>
      <c r="D17">
        <v>0</v>
      </c>
      <c r="E17">
        <v>1</v>
      </c>
      <c r="F17">
        <v>8</v>
      </c>
      <c r="G17" t="b">
        <v>0</v>
      </c>
      <c r="H17">
        <v>6</v>
      </c>
      <c r="I17">
        <v>1</v>
      </c>
      <c r="J17">
        <v>0.18</v>
      </c>
      <c r="K17">
        <v>0.19700000000000001</v>
      </c>
      <c r="L17">
        <v>0.55000000000000004</v>
      </c>
      <c r="M17">
        <v>0.16420000000000001</v>
      </c>
      <c r="N17">
        <v>3</v>
      </c>
      <c r="O17">
        <v>31</v>
      </c>
      <c r="P17">
        <v>34</v>
      </c>
    </row>
    <row r="18" spans="1:16" x14ac:dyDescent="0.3">
      <c r="A18">
        <v>627</v>
      </c>
      <c r="B18" s="1">
        <v>40572</v>
      </c>
      <c r="C18">
        <v>1</v>
      </c>
      <c r="D18">
        <v>0</v>
      </c>
      <c r="E18">
        <v>1</v>
      </c>
      <c r="F18">
        <v>9</v>
      </c>
      <c r="G18" t="b">
        <v>0</v>
      </c>
      <c r="H18">
        <v>6</v>
      </c>
      <c r="I18">
        <v>1</v>
      </c>
      <c r="J18">
        <v>0.18</v>
      </c>
      <c r="K18">
        <v>0.21210000000000001</v>
      </c>
      <c r="L18">
        <v>0.59</v>
      </c>
      <c r="M18">
        <v>8.9599999999999999E-2</v>
      </c>
      <c r="N18">
        <v>0</v>
      </c>
      <c r="O18">
        <v>34</v>
      </c>
      <c r="P18">
        <v>34</v>
      </c>
    </row>
    <row r="19" spans="1:16" x14ac:dyDescent="0.3">
      <c r="A19">
        <v>628</v>
      </c>
      <c r="B19" s="1">
        <v>40572</v>
      </c>
      <c r="C19">
        <v>1</v>
      </c>
      <c r="D19">
        <v>0</v>
      </c>
      <c r="E19">
        <v>1</v>
      </c>
      <c r="F19">
        <v>10</v>
      </c>
      <c r="G19" t="b">
        <v>0</v>
      </c>
      <c r="H19">
        <v>6</v>
      </c>
      <c r="I19">
        <v>2</v>
      </c>
      <c r="J19">
        <v>0.18</v>
      </c>
      <c r="K19">
        <v>0.21210000000000001</v>
      </c>
      <c r="L19">
        <v>0.64</v>
      </c>
      <c r="M19">
        <v>0.1045</v>
      </c>
      <c r="N19">
        <v>4</v>
      </c>
      <c r="O19">
        <v>51</v>
      </c>
      <c r="P19">
        <v>55</v>
      </c>
    </row>
    <row r="20" spans="1:16" x14ac:dyDescent="0.3">
      <c r="A20">
        <v>629</v>
      </c>
      <c r="B20" s="1">
        <v>40572</v>
      </c>
      <c r="C20">
        <v>1</v>
      </c>
      <c r="D20">
        <v>0</v>
      </c>
      <c r="E20">
        <v>1</v>
      </c>
      <c r="F20">
        <v>11</v>
      </c>
      <c r="G20" t="b">
        <v>0</v>
      </c>
      <c r="H20">
        <v>6</v>
      </c>
      <c r="I20">
        <v>2</v>
      </c>
      <c r="J20">
        <v>0.18</v>
      </c>
      <c r="K20">
        <v>0.19700000000000001</v>
      </c>
      <c r="L20">
        <v>0.64</v>
      </c>
      <c r="M20">
        <v>0.1343</v>
      </c>
      <c r="N20">
        <v>4</v>
      </c>
      <c r="O20">
        <v>60</v>
      </c>
      <c r="P20">
        <v>64</v>
      </c>
    </row>
    <row r="21" spans="1:16" x14ac:dyDescent="0.3">
      <c r="A21">
        <v>630</v>
      </c>
      <c r="B21" s="1">
        <v>40572</v>
      </c>
      <c r="C21">
        <v>1</v>
      </c>
      <c r="D21">
        <v>0</v>
      </c>
      <c r="E21">
        <v>1</v>
      </c>
      <c r="F21">
        <v>12</v>
      </c>
      <c r="G21" t="b">
        <v>0</v>
      </c>
      <c r="H21">
        <v>6</v>
      </c>
      <c r="I21">
        <v>2</v>
      </c>
      <c r="J21">
        <v>0.2</v>
      </c>
      <c r="K21">
        <v>0.19700000000000001</v>
      </c>
      <c r="L21">
        <v>0.59</v>
      </c>
      <c r="M21">
        <v>0.19400000000000001</v>
      </c>
      <c r="N21">
        <v>12</v>
      </c>
      <c r="O21">
        <v>66</v>
      </c>
      <c r="P21">
        <v>78</v>
      </c>
    </row>
    <row r="22" spans="1:16" x14ac:dyDescent="0.3">
      <c r="A22">
        <v>631</v>
      </c>
      <c r="B22" s="1">
        <v>40572</v>
      </c>
      <c r="C22">
        <v>1</v>
      </c>
      <c r="D22">
        <v>0</v>
      </c>
      <c r="E22">
        <v>1</v>
      </c>
      <c r="F22">
        <v>13</v>
      </c>
      <c r="G22" t="b">
        <v>0</v>
      </c>
      <c r="H22">
        <v>6</v>
      </c>
      <c r="I22">
        <v>2</v>
      </c>
      <c r="J22">
        <v>0.22</v>
      </c>
      <c r="K22">
        <v>0.2273</v>
      </c>
      <c r="L22">
        <v>0.55000000000000004</v>
      </c>
      <c r="M22">
        <v>0.16420000000000001</v>
      </c>
      <c r="N22">
        <v>9</v>
      </c>
      <c r="O22">
        <v>56</v>
      </c>
      <c r="P22">
        <v>65</v>
      </c>
    </row>
    <row r="23" spans="1:16" x14ac:dyDescent="0.3">
      <c r="A23">
        <v>632</v>
      </c>
      <c r="B23" s="1">
        <v>40572</v>
      </c>
      <c r="C23">
        <v>1</v>
      </c>
      <c r="D23">
        <v>0</v>
      </c>
      <c r="E23">
        <v>1</v>
      </c>
      <c r="F23">
        <v>14</v>
      </c>
      <c r="G23" t="b">
        <v>0</v>
      </c>
      <c r="H23">
        <v>6</v>
      </c>
      <c r="I23">
        <v>2</v>
      </c>
      <c r="J23">
        <v>0.22</v>
      </c>
      <c r="K23">
        <v>0.2273</v>
      </c>
      <c r="L23">
        <v>0.6</v>
      </c>
      <c r="M23">
        <v>0.1343</v>
      </c>
      <c r="N23">
        <v>10</v>
      </c>
      <c r="O23">
        <v>89</v>
      </c>
      <c r="P23">
        <v>99</v>
      </c>
    </row>
    <row r="24" spans="1:16" x14ac:dyDescent="0.3">
      <c r="A24">
        <v>633</v>
      </c>
      <c r="B24" s="1">
        <v>40572</v>
      </c>
      <c r="C24">
        <v>1</v>
      </c>
      <c r="D24">
        <v>0</v>
      </c>
      <c r="E24">
        <v>1</v>
      </c>
      <c r="F24">
        <v>15</v>
      </c>
      <c r="G24" t="b">
        <v>0</v>
      </c>
      <c r="H24">
        <v>6</v>
      </c>
      <c r="I24">
        <v>1</v>
      </c>
      <c r="J24">
        <v>0.22</v>
      </c>
      <c r="K24">
        <v>0.21210000000000001</v>
      </c>
      <c r="L24">
        <v>0.69</v>
      </c>
      <c r="M24">
        <v>0.25369999999999998</v>
      </c>
      <c r="N24">
        <v>22</v>
      </c>
      <c r="O24">
        <v>98</v>
      </c>
      <c r="P24">
        <v>120</v>
      </c>
    </row>
    <row r="25" spans="1:16" x14ac:dyDescent="0.3">
      <c r="A25">
        <v>634</v>
      </c>
      <c r="B25" s="1">
        <v>40572</v>
      </c>
      <c r="C25">
        <v>1</v>
      </c>
      <c r="D25">
        <v>0</v>
      </c>
      <c r="E25">
        <v>1</v>
      </c>
      <c r="F25">
        <v>16</v>
      </c>
      <c r="G25" t="b">
        <v>0</v>
      </c>
      <c r="H25">
        <v>6</v>
      </c>
      <c r="I25">
        <v>1</v>
      </c>
      <c r="J25">
        <v>0.24</v>
      </c>
      <c r="K25">
        <v>0.2424</v>
      </c>
      <c r="L25">
        <v>0.6</v>
      </c>
      <c r="M25">
        <v>0.16420000000000001</v>
      </c>
      <c r="N25">
        <v>19</v>
      </c>
      <c r="O25">
        <v>88</v>
      </c>
      <c r="P25">
        <v>107</v>
      </c>
    </row>
    <row r="26" spans="1:16" x14ac:dyDescent="0.3">
      <c r="A26">
        <v>635</v>
      </c>
      <c r="B26" s="1">
        <v>40572</v>
      </c>
      <c r="C26">
        <v>1</v>
      </c>
      <c r="D26">
        <v>0</v>
      </c>
      <c r="E26">
        <v>1</v>
      </c>
      <c r="F26">
        <v>17</v>
      </c>
      <c r="G26" t="b">
        <v>0</v>
      </c>
      <c r="H26">
        <v>6</v>
      </c>
      <c r="I26">
        <v>1</v>
      </c>
      <c r="J26">
        <v>0.24</v>
      </c>
      <c r="K26">
        <v>0.28789999999999999</v>
      </c>
      <c r="L26">
        <v>0.6</v>
      </c>
      <c r="M26">
        <v>0</v>
      </c>
      <c r="N26">
        <v>9</v>
      </c>
      <c r="O26">
        <v>82</v>
      </c>
      <c r="P26">
        <v>91</v>
      </c>
    </row>
    <row r="27" spans="1:16" x14ac:dyDescent="0.3">
      <c r="A27">
        <v>636</v>
      </c>
      <c r="B27" s="1">
        <v>40572</v>
      </c>
      <c r="C27">
        <v>1</v>
      </c>
      <c r="D27">
        <v>0</v>
      </c>
      <c r="E27">
        <v>1</v>
      </c>
      <c r="F27">
        <v>18</v>
      </c>
      <c r="G27" t="b">
        <v>0</v>
      </c>
      <c r="H27">
        <v>6</v>
      </c>
      <c r="I27">
        <v>1</v>
      </c>
      <c r="J27">
        <v>0.22</v>
      </c>
      <c r="K27">
        <v>0.2273</v>
      </c>
      <c r="L27">
        <v>0.69</v>
      </c>
      <c r="M27">
        <v>0.1343</v>
      </c>
      <c r="N27">
        <v>9</v>
      </c>
      <c r="O27">
        <v>59</v>
      </c>
      <c r="P27">
        <v>68</v>
      </c>
    </row>
    <row r="28" spans="1:16" x14ac:dyDescent="0.3">
      <c r="A28">
        <v>637</v>
      </c>
      <c r="B28" s="1">
        <v>40572</v>
      </c>
      <c r="C28">
        <v>1</v>
      </c>
      <c r="D28">
        <v>0</v>
      </c>
      <c r="E28">
        <v>1</v>
      </c>
      <c r="F28">
        <v>19</v>
      </c>
      <c r="G28" t="b">
        <v>0</v>
      </c>
      <c r="H28">
        <v>6</v>
      </c>
      <c r="I28">
        <v>2</v>
      </c>
      <c r="J28">
        <v>0.22</v>
      </c>
      <c r="K28">
        <v>0.21210000000000001</v>
      </c>
      <c r="L28">
        <v>0.69</v>
      </c>
      <c r="M28">
        <v>0.25369999999999998</v>
      </c>
      <c r="N28">
        <v>6</v>
      </c>
      <c r="O28">
        <v>52</v>
      </c>
      <c r="P28">
        <v>58</v>
      </c>
    </row>
    <row r="29" spans="1:16" x14ac:dyDescent="0.3">
      <c r="A29">
        <v>638</v>
      </c>
      <c r="B29" s="1">
        <v>40572</v>
      </c>
      <c r="C29">
        <v>1</v>
      </c>
      <c r="D29">
        <v>0</v>
      </c>
      <c r="E29">
        <v>1</v>
      </c>
      <c r="F29">
        <v>20</v>
      </c>
      <c r="G29" t="b">
        <v>0</v>
      </c>
      <c r="H29">
        <v>6</v>
      </c>
      <c r="I29">
        <v>1</v>
      </c>
      <c r="J29">
        <v>0.18</v>
      </c>
      <c r="K29">
        <v>0.21210000000000001</v>
      </c>
      <c r="L29">
        <v>0.74</v>
      </c>
      <c r="M29">
        <v>8.9599999999999999E-2</v>
      </c>
      <c r="N29">
        <v>1</v>
      </c>
      <c r="O29">
        <v>42</v>
      </c>
      <c r="P29">
        <v>43</v>
      </c>
    </row>
    <row r="30" spans="1:16" x14ac:dyDescent="0.3">
      <c r="A30">
        <v>639</v>
      </c>
      <c r="B30" s="1">
        <v>40572</v>
      </c>
      <c r="C30">
        <v>1</v>
      </c>
      <c r="D30">
        <v>0</v>
      </c>
      <c r="E30">
        <v>1</v>
      </c>
      <c r="F30">
        <v>21</v>
      </c>
      <c r="G30" t="b">
        <v>0</v>
      </c>
      <c r="H30">
        <v>6</v>
      </c>
      <c r="I30">
        <v>1</v>
      </c>
      <c r="J30">
        <v>0.18</v>
      </c>
      <c r="K30">
        <v>0.21210000000000001</v>
      </c>
      <c r="L30">
        <v>0.74</v>
      </c>
      <c r="M30">
        <v>8.9599999999999999E-2</v>
      </c>
      <c r="N30">
        <v>1</v>
      </c>
      <c r="O30">
        <v>35</v>
      </c>
      <c r="P30">
        <v>36</v>
      </c>
    </row>
    <row r="31" spans="1:16" x14ac:dyDescent="0.3">
      <c r="A31">
        <v>640</v>
      </c>
      <c r="B31" s="1">
        <v>40572</v>
      </c>
      <c r="C31">
        <v>1</v>
      </c>
      <c r="D31">
        <v>0</v>
      </c>
      <c r="E31">
        <v>1</v>
      </c>
      <c r="F31">
        <v>22</v>
      </c>
      <c r="G31" t="b">
        <v>0</v>
      </c>
      <c r="H31">
        <v>6</v>
      </c>
      <c r="I31">
        <v>1</v>
      </c>
      <c r="J31">
        <v>0.16</v>
      </c>
      <c r="K31">
        <v>0.19700000000000001</v>
      </c>
      <c r="L31">
        <v>0.8</v>
      </c>
      <c r="M31">
        <v>8.9599999999999999E-2</v>
      </c>
      <c r="N31">
        <v>4</v>
      </c>
      <c r="O31">
        <v>28</v>
      </c>
      <c r="P31">
        <v>32</v>
      </c>
    </row>
    <row r="32" spans="1:16" x14ac:dyDescent="0.3">
      <c r="A32">
        <v>641</v>
      </c>
      <c r="B32" s="1">
        <v>40572</v>
      </c>
      <c r="C32">
        <v>1</v>
      </c>
      <c r="D32">
        <v>0</v>
      </c>
      <c r="E32">
        <v>1</v>
      </c>
      <c r="F32">
        <v>23</v>
      </c>
      <c r="G32" t="b">
        <v>0</v>
      </c>
      <c r="H32">
        <v>6</v>
      </c>
      <c r="I32">
        <v>1</v>
      </c>
      <c r="J32">
        <v>0.16</v>
      </c>
      <c r="K32">
        <v>0.19700000000000001</v>
      </c>
      <c r="L32">
        <v>0.8</v>
      </c>
      <c r="M32">
        <v>8.9599999999999999E-2</v>
      </c>
      <c r="N32">
        <v>3</v>
      </c>
      <c r="O32">
        <v>30</v>
      </c>
      <c r="P32">
        <v>33</v>
      </c>
    </row>
    <row r="33" spans="1:16" x14ac:dyDescent="0.3">
      <c r="A33">
        <v>642</v>
      </c>
      <c r="B33" s="1">
        <v>40573</v>
      </c>
      <c r="C33">
        <v>1</v>
      </c>
      <c r="D33">
        <v>0</v>
      </c>
      <c r="E33">
        <v>1</v>
      </c>
      <c r="F33">
        <v>0</v>
      </c>
      <c r="G33" t="b">
        <v>0</v>
      </c>
      <c r="H33">
        <v>0</v>
      </c>
      <c r="I33">
        <v>1</v>
      </c>
      <c r="J33">
        <v>0.16</v>
      </c>
      <c r="K33">
        <v>0.18179999999999999</v>
      </c>
      <c r="L33">
        <v>0.8</v>
      </c>
      <c r="M33">
        <v>0.1045</v>
      </c>
      <c r="N33">
        <v>0</v>
      </c>
      <c r="O33">
        <v>33</v>
      </c>
      <c r="P33">
        <v>33</v>
      </c>
    </row>
    <row r="34" spans="1:16" x14ac:dyDescent="0.3">
      <c r="A34">
        <v>643</v>
      </c>
      <c r="B34" s="1">
        <v>40573</v>
      </c>
      <c r="C34">
        <v>1</v>
      </c>
      <c r="D34">
        <v>0</v>
      </c>
      <c r="E34">
        <v>1</v>
      </c>
      <c r="F34">
        <v>1</v>
      </c>
      <c r="G34" t="b">
        <v>0</v>
      </c>
      <c r="H34">
        <v>0</v>
      </c>
      <c r="I34">
        <v>1</v>
      </c>
      <c r="J34">
        <v>0.14000000000000001</v>
      </c>
      <c r="K34">
        <v>0.21210000000000001</v>
      </c>
      <c r="L34">
        <v>0.8</v>
      </c>
      <c r="M34">
        <v>0</v>
      </c>
      <c r="N34">
        <v>7</v>
      </c>
      <c r="O34">
        <v>22</v>
      </c>
      <c r="P34">
        <v>29</v>
      </c>
    </row>
    <row r="35" spans="1:16" x14ac:dyDescent="0.3">
      <c r="A35">
        <v>644</v>
      </c>
      <c r="B35" s="1">
        <v>40573</v>
      </c>
      <c r="C35">
        <v>1</v>
      </c>
      <c r="D35">
        <v>0</v>
      </c>
      <c r="E35">
        <v>1</v>
      </c>
      <c r="F35">
        <v>2</v>
      </c>
      <c r="G35" t="b">
        <v>0</v>
      </c>
      <c r="H35">
        <v>0</v>
      </c>
      <c r="I35">
        <v>1</v>
      </c>
      <c r="J35">
        <v>0.16</v>
      </c>
      <c r="K35">
        <v>0.2273</v>
      </c>
      <c r="L35">
        <v>0.8</v>
      </c>
      <c r="M35">
        <v>0</v>
      </c>
      <c r="N35">
        <v>1</v>
      </c>
      <c r="O35">
        <v>10</v>
      </c>
      <c r="P35">
        <v>11</v>
      </c>
    </row>
    <row r="36" spans="1:16" x14ac:dyDescent="0.3">
      <c r="A36">
        <v>645</v>
      </c>
      <c r="B36" s="1">
        <v>40573</v>
      </c>
      <c r="C36">
        <v>1</v>
      </c>
      <c r="D36">
        <v>0</v>
      </c>
      <c r="E36">
        <v>1</v>
      </c>
      <c r="F36">
        <v>3</v>
      </c>
      <c r="G36" t="b">
        <v>0</v>
      </c>
      <c r="H36">
        <v>0</v>
      </c>
      <c r="I36">
        <v>1</v>
      </c>
      <c r="J36">
        <v>0.14000000000000001</v>
      </c>
      <c r="K36">
        <v>0.21210000000000001</v>
      </c>
      <c r="L36">
        <v>0.93</v>
      </c>
      <c r="M36">
        <v>0</v>
      </c>
      <c r="N36">
        <v>1</v>
      </c>
      <c r="O36">
        <v>7</v>
      </c>
      <c r="P36">
        <v>8</v>
      </c>
    </row>
    <row r="37" spans="1:16" x14ac:dyDescent="0.3">
      <c r="A37">
        <v>646</v>
      </c>
      <c r="B37" s="1">
        <v>40573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0.14000000000000001</v>
      </c>
      <c r="K37">
        <v>0.21210000000000001</v>
      </c>
      <c r="L37">
        <v>0.93</v>
      </c>
      <c r="M37">
        <v>0</v>
      </c>
      <c r="N37">
        <v>0</v>
      </c>
      <c r="O37">
        <v>1</v>
      </c>
      <c r="P37">
        <v>1</v>
      </c>
    </row>
    <row r="38" spans="1:16" x14ac:dyDescent="0.3">
      <c r="A38">
        <v>647</v>
      </c>
      <c r="B38" s="1">
        <v>40573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0.14000000000000001</v>
      </c>
      <c r="K38">
        <v>0.21210000000000001</v>
      </c>
      <c r="L38">
        <v>0.86</v>
      </c>
      <c r="M38">
        <v>0</v>
      </c>
      <c r="N38">
        <v>0</v>
      </c>
      <c r="O38">
        <v>3</v>
      </c>
      <c r="P38">
        <v>3</v>
      </c>
    </row>
    <row r="39" spans="1:16" x14ac:dyDescent="0.3">
      <c r="A39">
        <v>648</v>
      </c>
      <c r="B39" s="1">
        <v>40573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0.14000000000000001</v>
      </c>
      <c r="K39">
        <v>0.21210000000000001</v>
      </c>
      <c r="L39">
        <v>0.86</v>
      </c>
      <c r="M39">
        <v>0</v>
      </c>
      <c r="N39">
        <v>0</v>
      </c>
      <c r="O39">
        <v>3</v>
      </c>
      <c r="P39">
        <v>3</v>
      </c>
    </row>
    <row r="40" spans="1:16" x14ac:dyDescent="0.3">
      <c r="A40">
        <v>649</v>
      </c>
      <c r="B40" s="1">
        <v>40573</v>
      </c>
      <c r="C40">
        <v>1</v>
      </c>
      <c r="D40">
        <v>0</v>
      </c>
      <c r="E40">
        <v>1</v>
      </c>
      <c r="F40">
        <v>8</v>
      </c>
      <c r="G40" t="b">
        <v>0</v>
      </c>
      <c r="H40">
        <v>0</v>
      </c>
      <c r="I40">
        <v>2</v>
      </c>
      <c r="J40">
        <v>0.14000000000000001</v>
      </c>
      <c r="K40">
        <v>0.21210000000000001</v>
      </c>
      <c r="L40">
        <v>0.86</v>
      </c>
      <c r="M40">
        <v>0</v>
      </c>
      <c r="N40">
        <v>1</v>
      </c>
      <c r="O40">
        <v>11</v>
      </c>
      <c r="P40">
        <v>12</v>
      </c>
    </row>
    <row r="41" spans="1:16" x14ac:dyDescent="0.3">
      <c r="A41">
        <v>650</v>
      </c>
      <c r="B41" s="1">
        <v>40573</v>
      </c>
      <c r="C41">
        <v>1</v>
      </c>
      <c r="D41">
        <v>0</v>
      </c>
      <c r="E41">
        <v>1</v>
      </c>
      <c r="F41">
        <v>9</v>
      </c>
      <c r="G41" t="b">
        <v>0</v>
      </c>
      <c r="H41">
        <v>0</v>
      </c>
      <c r="I41">
        <v>2</v>
      </c>
      <c r="J41">
        <v>0.16</v>
      </c>
      <c r="K41">
        <v>0.2273</v>
      </c>
      <c r="L41">
        <v>0.8</v>
      </c>
      <c r="M41">
        <v>0</v>
      </c>
      <c r="N41">
        <v>4</v>
      </c>
      <c r="O41">
        <v>34</v>
      </c>
      <c r="P41">
        <v>38</v>
      </c>
    </row>
    <row r="42" spans="1:16" x14ac:dyDescent="0.3">
      <c r="A42">
        <v>651</v>
      </c>
      <c r="B42" s="1">
        <v>40573</v>
      </c>
      <c r="C42">
        <v>1</v>
      </c>
      <c r="D42">
        <v>0</v>
      </c>
      <c r="E42">
        <v>1</v>
      </c>
      <c r="F42">
        <v>10</v>
      </c>
      <c r="G42" t="b">
        <v>0</v>
      </c>
      <c r="H42">
        <v>0</v>
      </c>
      <c r="I42">
        <v>2</v>
      </c>
      <c r="J42">
        <v>0.18</v>
      </c>
      <c r="K42">
        <v>0.2424</v>
      </c>
      <c r="L42">
        <v>0.8</v>
      </c>
      <c r="M42">
        <v>0</v>
      </c>
      <c r="N42">
        <v>7</v>
      </c>
      <c r="O42">
        <v>57</v>
      </c>
      <c r="P42">
        <v>64</v>
      </c>
    </row>
    <row r="43" spans="1:16" x14ac:dyDescent="0.3">
      <c r="A43">
        <v>652</v>
      </c>
      <c r="B43" s="1">
        <v>40573</v>
      </c>
      <c r="C43">
        <v>1</v>
      </c>
      <c r="D43">
        <v>0</v>
      </c>
      <c r="E43">
        <v>1</v>
      </c>
      <c r="F43">
        <v>11</v>
      </c>
      <c r="G43" t="b">
        <v>0</v>
      </c>
      <c r="H43">
        <v>0</v>
      </c>
      <c r="I43">
        <v>1</v>
      </c>
      <c r="J43">
        <v>0.22</v>
      </c>
      <c r="K43">
        <v>0.2727</v>
      </c>
      <c r="L43">
        <v>0.75</v>
      </c>
      <c r="M43">
        <v>0</v>
      </c>
      <c r="N43">
        <v>9</v>
      </c>
      <c r="O43">
        <v>50</v>
      </c>
      <c r="P43">
        <v>59</v>
      </c>
    </row>
    <row r="44" spans="1:16" x14ac:dyDescent="0.3">
      <c r="A44">
        <v>653</v>
      </c>
      <c r="B44" s="1">
        <v>40573</v>
      </c>
      <c r="C44">
        <v>1</v>
      </c>
      <c r="D44">
        <v>0</v>
      </c>
      <c r="E44">
        <v>1</v>
      </c>
      <c r="F44">
        <v>12</v>
      </c>
      <c r="G44" t="b">
        <v>0</v>
      </c>
      <c r="H44">
        <v>0</v>
      </c>
      <c r="I44">
        <v>1</v>
      </c>
      <c r="J44">
        <v>0.3</v>
      </c>
      <c r="K44">
        <v>0.31819999999999998</v>
      </c>
      <c r="L44">
        <v>0.52</v>
      </c>
      <c r="M44">
        <v>0.1045</v>
      </c>
      <c r="N44">
        <v>10</v>
      </c>
      <c r="O44">
        <v>87</v>
      </c>
      <c r="P44">
        <v>97</v>
      </c>
    </row>
    <row r="45" spans="1:16" x14ac:dyDescent="0.3">
      <c r="A45">
        <v>654</v>
      </c>
      <c r="B45" s="1">
        <v>40573</v>
      </c>
      <c r="C45">
        <v>1</v>
      </c>
      <c r="D45">
        <v>0</v>
      </c>
      <c r="E45">
        <v>1</v>
      </c>
      <c r="F45">
        <v>13</v>
      </c>
      <c r="G45" t="b">
        <v>0</v>
      </c>
      <c r="H45">
        <v>0</v>
      </c>
      <c r="I45">
        <v>1</v>
      </c>
      <c r="J45">
        <v>0.28000000000000003</v>
      </c>
      <c r="K45">
        <v>0.28789999999999999</v>
      </c>
      <c r="L45">
        <v>0.61</v>
      </c>
      <c r="M45">
        <v>0.1045</v>
      </c>
      <c r="N45">
        <v>13</v>
      </c>
      <c r="O45">
        <v>71</v>
      </c>
      <c r="P45">
        <v>84</v>
      </c>
    </row>
    <row r="46" spans="1:16" x14ac:dyDescent="0.3">
      <c r="A46">
        <v>655</v>
      </c>
      <c r="B46" s="1">
        <v>40573</v>
      </c>
      <c r="C46">
        <v>1</v>
      </c>
      <c r="D46">
        <v>0</v>
      </c>
      <c r="E46">
        <v>1</v>
      </c>
      <c r="F46">
        <v>14</v>
      </c>
      <c r="G46" t="b">
        <v>0</v>
      </c>
      <c r="H46">
        <v>0</v>
      </c>
      <c r="I46">
        <v>1</v>
      </c>
      <c r="J46">
        <v>0.28000000000000003</v>
      </c>
      <c r="K46">
        <v>0.30299999999999999</v>
      </c>
      <c r="L46">
        <v>0.61</v>
      </c>
      <c r="M46">
        <v>8.9599999999999999E-2</v>
      </c>
      <c r="N46">
        <v>18</v>
      </c>
      <c r="O46">
        <v>104</v>
      </c>
      <c r="P46">
        <v>122</v>
      </c>
    </row>
    <row r="47" spans="1:16" x14ac:dyDescent="0.3">
      <c r="A47">
        <v>656</v>
      </c>
      <c r="B47" s="1">
        <v>40573</v>
      </c>
      <c r="C47">
        <v>1</v>
      </c>
      <c r="D47">
        <v>0</v>
      </c>
      <c r="E47">
        <v>1</v>
      </c>
      <c r="F47">
        <v>15</v>
      </c>
      <c r="G47" t="b">
        <v>0</v>
      </c>
      <c r="H47">
        <v>0</v>
      </c>
      <c r="I47">
        <v>1</v>
      </c>
      <c r="J47">
        <v>0.3</v>
      </c>
      <c r="K47">
        <v>0.33329999999999999</v>
      </c>
      <c r="L47">
        <v>0.56000000000000005</v>
      </c>
      <c r="M47">
        <v>0</v>
      </c>
      <c r="N47">
        <v>14</v>
      </c>
      <c r="O47">
        <v>95</v>
      </c>
      <c r="P47">
        <v>109</v>
      </c>
    </row>
    <row r="48" spans="1:16" x14ac:dyDescent="0.3">
      <c r="A48">
        <v>657</v>
      </c>
      <c r="B48" s="1">
        <v>40573</v>
      </c>
      <c r="C48">
        <v>1</v>
      </c>
      <c r="D48">
        <v>0</v>
      </c>
      <c r="E48">
        <v>1</v>
      </c>
      <c r="F48">
        <v>16</v>
      </c>
      <c r="G48" t="b">
        <v>0</v>
      </c>
      <c r="H48">
        <v>0</v>
      </c>
      <c r="I48">
        <v>1</v>
      </c>
      <c r="J48">
        <v>0.3</v>
      </c>
      <c r="K48">
        <v>0.33329999999999999</v>
      </c>
      <c r="L48">
        <v>0.56000000000000005</v>
      </c>
      <c r="M48">
        <v>0</v>
      </c>
      <c r="N48">
        <v>19</v>
      </c>
      <c r="O48">
        <v>104</v>
      </c>
      <c r="P48">
        <v>123</v>
      </c>
    </row>
    <row r="49" spans="1:16" x14ac:dyDescent="0.3">
      <c r="A49">
        <v>658</v>
      </c>
      <c r="B49" s="1">
        <v>40573</v>
      </c>
      <c r="C49">
        <v>1</v>
      </c>
      <c r="D49">
        <v>0</v>
      </c>
      <c r="E49">
        <v>1</v>
      </c>
      <c r="F49">
        <v>17</v>
      </c>
      <c r="G49" t="b">
        <v>0</v>
      </c>
      <c r="H49">
        <v>0</v>
      </c>
      <c r="I49">
        <v>1</v>
      </c>
      <c r="J49">
        <v>0.3</v>
      </c>
      <c r="K49">
        <v>0.28789999999999999</v>
      </c>
      <c r="L49">
        <v>0.56000000000000005</v>
      </c>
      <c r="M49">
        <v>0.19400000000000001</v>
      </c>
      <c r="N49">
        <v>6</v>
      </c>
      <c r="O49">
        <v>71</v>
      </c>
      <c r="P49">
        <v>77</v>
      </c>
    </row>
    <row r="50" spans="1:16" x14ac:dyDescent="0.3">
      <c r="A50">
        <v>659</v>
      </c>
      <c r="B50" s="1">
        <v>40573</v>
      </c>
      <c r="C50">
        <v>1</v>
      </c>
      <c r="D50">
        <v>0</v>
      </c>
      <c r="E50">
        <v>1</v>
      </c>
      <c r="F50">
        <v>18</v>
      </c>
      <c r="G50" t="b">
        <v>0</v>
      </c>
      <c r="H50">
        <v>0</v>
      </c>
      <c r="I50">
        <v>1</v>
      </c>
      <c r="J50">
        <v>0.26</v>
      </c>
      <c r="K50">
        <v>0.2576</v>
      </c>
      <c r="L50">
        <v>0.65</v>
      </c>
      <c r="M50">
        <v>0.16420000000000001</v>
      </c>
      <c r="N50">
        <v>8</v>
      </c>
      <c r="O50">
        <v>57</v>
      </c>
      <c r="P50">
        <v>65</v>
      </c>
    </row>
    <row r="51" spans="1:16" x14ac:dyDescent="0.3">
      <c r="A51">
        <v>660</v>
      </c>
      <c r="B51" s="1">
        <v>40573</v>
      </c>
      <c r="C51">
        <v>1</v>
      </c>
      <c r="D51">
        <v>0</v>
      </c>
      <c r="E51">
        <v>1</v>
      </c>
      <c r="F51">
        <v>19</v>
      </c>
      <c r="G51" t="b">
        <v>0</v>
      </c>
      <c r="H51">
        <v>0</v>
      </c>
      <c r="I51">
        <v>1</v>
      </c>
      <c r="J51">
        <v>0.26</v>
      </c>
      <c r="K51">
        <v>0.2576</v>
      </c>
      <c r="L51">
        <v>0.65</v>
      </c>
      <c r="M51">
        <v>0.19400000000000001</v>
      </c>
      <c r="N51">
        <v>9</v>
      </c>
      <c r="O51">
        <v>46</v>
      </c>
      <c r="P51">
        <v>55</v>
      </c>
    </row>
    <row r="52" spans="1:16" x14ac:dyDescent="0.3">
      <c r="A52">
        <v>661</v>
      </c>
      <c r="B52" s="1">
        <v>40573</v>
      </c>
      <c r="C52">
        <v>1</v>
      </c>
      <c r="D52">
        <v>0</v>
      </c>
      <c r="E52">
        <v>1</v>
      </c>
      <c r="F52">
        <v>20</v>
      </c>
      <c r="G52" t="b">
        <v>0</v>
      </c>
      <c r="H52">
        <v>0</v>
      </c>
      <c r="I52">
        <v>2</v>
      </c>
      <c r="J52">
        <v>0.26</v>
      </c>
      <c r="K52">
        <v>0.2727</v>
      </c>
      <c r="L52">
        <v>0.65</v>
      </c>
      <c r="M52">
        <v>0.1045</v>
      </c>
      <c r="N52">
        <v>3</v>
      </c>
      <c r="O52">
        <v>30</v>
      </c>
      <c r="P52">
        <v>33</v>
      </c>
    </row>
    <row r="53" spans="1:16" x14ac:dyDescent="0.3">
      <c r="A53">
        <v>662</v>
      </c>
      <c r="B53" s="1">
        <v>40573</v>
      </c>
      <c r="C53">
        <v>1</v>
      </c>
      <c r="D53">
        <v>0</v>
      </c>
      <c r="E53">
        <v>1</v>
      </c>
      <c r="F53">
        <v>21</v>
      </c>
      <c r="G53" t="b">
        <v>0</v>
      </c>
      <c r="H53">
        <v>0</v>
      </c>
      <c r="I53">
        <v>2</v>
      </c>
      <c r="J53">
        <v>0.24</v>
      </c>
      <c r="K53">
        <v>0.2424</v>
      </c>
      <c r="L53">
        <v>0.7</v>
      </c>
      <c r="M53">
        <v>0.16420000000000001</v>
      </c>
      <c r="N53">
        <v>3</v>
      </c>
      <c r="O53">
        <v>25</v>
      </c>
      <c r="P53">
        <v>28</v>
      </c>
    </row>
    <row r="54" spans="1:16" x14ac:dyDescent="0.3">
      <c r="A54">
        <v>663</v>
      </c>
      <c r="B54" s="1">
        <v>40573</v>
      </c>
      <c r="C54">
        <v>1</v>
      </c>
      <c r="D54">
        <v>0</v>
      </c>
      <c r="E54">
        <v>1</v>
      </c>
      <c r="F54">
        <v>22</v>
      </c>
      <c r="G54" t="b">
        <v>0</v>
      </c>
      <c r="H54">
        <v>0</v>
      </c>
      <c r="I54">
        <v>2</v>
      </c>
      <c r="J54">
        <v>0.24</v>
      </c>
      <c r="K54">
        <v>0.2273</v>
      </c>
      <c r="L54">
        <v>0.7</v>
      </c>
      <c r="M54">
        <v>0.19400000000000001</v>
      </c>
      <c r="N54">
        <v>2</v>
      </c>
      <c r="O54">
        <v>19</v>
      </c>
      <c r="P54">
        <v>21</v>
      </c>
    </row>
    <row r="55" spans="1:16" x14ac:dyDescent="0.3">
      <c r="A55">
        <v>664</v>
      </c>
      <c r="B55" s="1">
        <v>40573</v>
      </c>
      <c r="C55">
        <v>1</v>
      </c>
      <c r="D55">
        <v>0</v>
      </c>
      <c r="E55">
        <v>1</v>
      </c>
      <c r="F55">
        <v>23</v>
      </c>
      <c r="G55" t="b">
        <v>0</v>
      </c>
      <c r="H55">
        <v>0</v>
      </c>
      <c r="I55">
        <v>2</v>
      </c>
      <c r="J55">
        <v>0.24</v>
      </c>
      <c r="K55">
        <v>0.21210000000000001</v>
      </c>
      <c r="L55">
        <v>0.65</v>
      </c>
      <c r="M55">
        <v>0.28360000000000002</v>
      </c>
      <c r="N55">
        <v>5</v>
      </c>
      <c r="O55">
        <v>16</v>
      </c>
      <c r="P55">
        <v>21</v>
      </c>
    </row>
    <row r="56" spans="1:16" x14ac:dyDescent="0.3">
      <c r="A56">
        <v>665</v>
      </c>
      <c r="B56" s="1">
        <v>40574</v>
      </c>
      <c r="C56">
        <v>1</v>
      </c>
      <c r="D56">
        <v>0</v>
      </c>
      <c r="E56">
        <v>1</v>
      </c>
      <c r="F56">
        <v>0</v>
      </c>
      <c r="G56" t="b">
        <v>0</v>
      </c>
      <c r="H56">
        <v>1</v>
      </c>
      <c r="I56">
        <v>2</v>
      </c>
      <c r="J56">
        <v>0.24</v>
      </c>
      <c r="K56">
        <v>0.2273</v>
      </c>
      <c r="L56">
        <v>0.65</v>
      </c>
      <c r="M56">
        <v>0.22389999999999999</v>
      </c>
      <c r="N56">
        <v>1</v>
      </c>
      <c r="O56">
        <v>6</v>
      </c>
      <c r="P56">
        <v>7</v>
      </c>
    </row>
    <row r="57" spans="1:16" x14ac:dyDescent="0.3">
      <c r="A57">
        <v>666</v>
      </c>
      <c r="B57" s="1">
        <v>40574</v>
      </c>
      <c r="C57">
        <v>1</v>
      </c>
      <c r="D57">
        <v>0</v>
      </c>
      <c r="E57">
        <v>1</v>
      </c>
      <c r="F57">
        <v>1</v>
      </c>
      <c r="G57" t="b">
        <v>0</v>
      </c>
      <c r="H57">
        <v>1</v>
      </c>
      <c r="I57">
        <v>1</v>
      </c>
      <c r="J57">
        <v>0.22</v>
      </c>
      <c r="K57">
        <v>0.21210000000000001</v>
      </c>
      <c r="L57">
        <v>0.64</v>
      </c>
      <c r="M57">
        <v>0.25369999999999998</v>
      </c>
      <c r="N57">
        <v>2</v>
      </c>
      <c r="O57">
        <v>5</v>
      </c>
      <c r="P57">
        <v>7</v>
      </c>
    </row>
    <row r="58" spans="1:16" x14ac:dyDescent="0.3">
      <c r="A58">
        <v>667</v>
      </c>
      <c r="B58" s="1">
        <v>40574</v>
      </c>
      <c r="C58">
        <v>1</v>
      </c>
      <c r="D58">
        <v>0</v>
      </c>
      <c r="E58">
        <v>1</v>
      </c>
      <c r="F58">
        <v>2</v>
      </c>
      <c r="G58" t="b">
        <v>0</v>
      </c>
      <c r="H58">
        <v>1</v>
      </c>
      <c r="I58">
        <v>1</v>
      </c>
      <c r="J58">
        <v>0.22</v>
      </c>
      <c r="K58">
        <v>0.2273</v>
      </c>
      <c r="L58">
        <v>0.64</v>
      </c>
      <c r="M58">
        <v>0.19400000000000001</v>
      </c>
      <c r="N58">
        <v>0</v>
      </c>
      <c r="O58">
        <v>1</v>
      </c>
      <c r="P58">
        <v>1</v>
      </c>
    </row>
    <row r="59" spans="1:16" x14ac:dyDescent="0.3">
      <c r="A59">
        <v>668</v>
      </c>
      <c r="B59" s="1">
        <v>40574</v>
      </c>
      <c r="C59">
        <v>1</v>
      </c>
      <c r="D59">
        <v>0</v>
      </c>
      <c r="E59">
        <v>1</v>
      </c>
      <c r="F59">
        <v>3</v>
      </c>
      <c r="G59" t="b">
        <v>0</v>
      </c>
      <c r="H59">
        <v>1</v>
      </c>
      <c r="I59">
        <v>1</v>
      </c>
      <c r="J59">
        <v>0.22</v>
      </c>
      <c r="K59">
        <v>0.2273</v>
      </c>
      <c r="L59">
        <v>0.64</v>
      </c>
      <c r="M59">
        <v>0.19400000000000001</v>
      </c>
      <c r="N59">
        <v>0</v>
      </c>
      <c r="O59">
        <v>2</v>
      </c>
      <c r="P59">
        <v>2</v>
      </c>
    </row>
    <row r="60" spans="1:16" x14ac:dyDescent="0.3">
      <c r="A60">
        <v>669</v>
      </c>
      <c r="B60" s="1">
        <v>40574</v>
      </c>
      <c r="C60">
        <v>1</v>
      </c>
      <c r="D60">
        <v>0</v>
      </c>
      <c r="E60">
        <v>1</v>
      </c>
      <c r="F60">
        <v>4</v>
      </c>
      <c r="G60" t="b">
        <v>0</v>
      </c>
      <c r="H60">
        <v>1</v>
      </c>
      <c r="I60">
        <v>1</v>
      </c>
      <c r="J60">
        <v>0.2</v>
      </c>
      <c r="K60">
        <v>0.19700000000000001</v>
      </c>
      <c r="L60">
        <v>0.59</v>
      </c>
      <c r="M60">
        <v>0.22389999999999999</v>
      </c>
      <c r="N60">
        <v>0</v>
      </c>
      <c r="O60">
        <v>2</v>
      </c>
      <c r="P60">
        <v>2</v>
      </c>
    </row>
    <row r="61" spans="1:16" x14ac:dyDescent="0.3">
      <c r="A61">
        <v>670</v>
      </c>
      <c r="B61" s="1">
        <v>40574</v>
      </c>
      <c r="C61">
        <v>1</v>
      </c>
      <c r="D61">
        <v>0</v>
      </c>
      <c r="E61">
        <v>1</v>
      </c>
      <c r="F61">
        <v>5</v>
      </c>
      <c r="G61" t="b">
        <v>0</v>
      </c>
      <c r="H61">
        <v>1</v>
      </c>
      <c r="I61">
        <v>1</v>
      </c>
      <c r="J61">
        <v>0.18</v>
      </c>
      <c r="K61">
        <v>0.16669999999999999</v>
      </c>
      <c r="L61">
        <v>0.64</v>
      </c>
      <c r="M61">
        <v>0.28360000000000002</v>
      </c>
      <c r="N61">
        <v>0</v>
      </c>
      <c r="O61">
        <v>8</v>
      </c>
      <c r="P61">
        <v>8</v>
      </c>
    </row>
    <row r="62" spans="1:16" x14ac:dyDescent="0.3">
      <c r="A62">
        <v>671</v>
      </c>
      <c r="B62" s="1">
        <v>40574</v>
      </c>
      <c r="C62">
        <v>1</v>
      </c>
      <c r="D62">
        <v>0</v>
      </c>
      <c r="E62">
        <v>1</v>
      </c>
      <c r="F62">
        <v>6</v>
      </c>
      <c r="G62" t="b">
        <v>0</v>
      </c>
      <c r="H62">
        <v>1</v>
      </c>
      <c r="I62">
        <v>1</v>
      </c>
      <c r="J62">
        <v>0.16</v>
      </c>
      <c r="K62">
        <v>0.13639999999999999</v>
      </c>
      <c r="L62">
        <v>0.69</v>
      </c>
      <c r="M62">
        <v>0.32840000000000003</v>
      </c>
      <c r="N62">
        <v>0</v>
      </c>
      <c r="O62">
        <v>37</v>
      </c>
      <c r="P62">
        <v>37</v>
      </c>
    </row>
    <row r="63" spans="1:16" x14ac:dyDescent="0.3">
      <c r="A63">
        <v>672</v>
      </c>
      <c r="B63" s="1">
        <v>40574</v>
      </c>
      <c r="C63">
        <v>1</v>
      </c>
      <c r="D63">
        <v>0</v>
      </c>
      <c r="E63">
        <v>1</v>
      </c>
      <c r="F63">
        <v>7</v>
      </c>
      <c r="G63" t="b">
        <v>0</v>
      </c>
      <c r="H63">
        <v>1</v>
      </c>
      <c r="I63">
        <v>2</v>
      </c>
      <c r="J63">
        <v>0.16</v>
      </c>
      <c r="K63">
        <v>0.13639999999999999</v>
      </c>
      <c r="L63">
        <v>0.64</v>
      </c>
      <c r="M63">
        <v>0.28360000000000002</v>
      </c>
      <c r="N63">
        <v>1</v>
      </c>
      <c r="O63">
        <v>71</v>
      </c>
      <c r="P63">
        <v>72</v>
      </c>
    </row>
    <row r="64" spans="1:16" x14ac:dyDescent="0.3">
      <c r="A64">
        <v>673</v>
      </c>
      <c r="B64" s="1">
        <v>40574</v>
      </c>
      <c r="C64">
        <v>1</v>
      </c>
      <c r="D64">
        <v>0</v>
      </c>
      <c r="E64">
        <v>1</v>
      </c>
      <c r="F64">
        <v>8</v>
      </c>
      <c r="G64" t="b">
        <v>0</v>
      </c>
      <c r="H64">
        <v>1</v>
      </c>
      <c r="I64">
        <v>2</v>
      </c>
      <c r="J64">
        <v>0.16</v>
      </c>
      <c r="K64">
        <v>0.13639999999999999</v>
      </c>
      <c r="L64">
        <v>0.59</v>
      </c>
      <c r="M64">
        <v>0.28360000000000002</v>
      </c>
      <c r="N64">
        <v>3</v>
      </c>
      <c r="O64">
        <v>182</v>
      </c>
      <c r="P64">
        <v>185</v>
      </c>
    </row>
    <row r="65" spans="1:16" x14ac:dyDescent="0.3">
      <c r="A65">
        <v>674</v>
      </c>
      <c r="B65" s="1">
        <v>40574</v>
      </c>
      <c r="C65">
        <v>1</v>
      </c>
      <c r="D65">
        <v>0</v>
      </c>
      <c r="E65">
        <v>1</v>
      </c>
      <c r="F65">
        <v>9</v>
      </c>
      <c r="G65" t="b">
        <v>0</v>
      </c>
      <c r="H65">
        <v>1</v>
      </c>
      <c r="I65">
        <v>2</v>
      </c>
      <c r="J65">
        <v>0.16</v>
      </c>
      <c r="K65">
        <v>0.13639999999999999</v>
      </c>
      <c r="L65">
        <v>0.59</v>
      </c>
      <c r="M65">
        <v>0.29849999999999999</v>
      </c>
      <c r="N65">
        <v>0</v>
      </c>
      <c r="O65">
        <v>112</v>
      </c>
      <c r="P65">
        <v>112</v>
      </c>
    </row>
    <row r="66" spans="1:16" x14ac:dyDescent="0.3">
      <c r="A66">
        <v>675</v>
      </c>
      <c r="B66" s="1">
        <v>40574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2</v>
      </c>
      <c r="J66">
        <v>0.16</v>
      </c>
      <c r="K66">
        <v>0.1515</v>
      </c>
      <c r="L66">
        <v>0.59</v>
      </c>
      <c r="M66">
        <v>0.19400000000000001</v>
      </c>
      <c r="N66">
        <v>1</v>
      </c>
      <c r="O66">
        <v>68</v>
      </c>
      <c r="P66">
        <v>69</v>
      </c>
    </row>
    <row r="67" spans="1:16" x14ac:dyDescent="0.3">
      <c r="A67">
        <v>676</v>
      </c>
      <c r="B67" s="1">
        <v>40574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2</v>
      </c>
      <c r="J67">
        <v>0.16</v>
      </c>
      <c r="K67">
        <v>0.1515</v>
      </c>
      <c r="L67">
        <v>0.59</v>
      </c>
      <c r="M67">
        <v>0.19400000000000001</v>
      </c>
      <c r="N67">
        <v>2</v>
      </c>
      <c r="O67">
        <v>46</v>
      </c>
      <c r="P67">
        <v>48</v>
      </c>
    </row>
    <row r="68" spans="1:16" x14ac:dyDescent="0.3">
      <c r="A68">
        <v>677</v>
      </c>
      <c r="B68" s="1">
        <v>40574</v>
      </c>
      <c r="C68">
        <v>1</v>
      </c>
      <c r="D68">
        <v>0</v>
      </c>
      <c r="E68">
        <v>1</v>
      </c>
      <c r="F68">
        <v>12</v>
      </c>
      <c r="G68" t="b">
        <v>0</v>
      </c>
      <c r="H68">
        <v>1</v>
      </c>
      <c r="I68">
        <v>2</v>
      </c>
      <c r="J68">
        <v>0.18</v>
      </c>
      <c r="K68">
        <v>0.21210000000000001</v>
      </c>
      <c r="L68">
        <v>0.55000000000000004</v>
      </c>
      <c r="M68">
        <v>0.1045</v>
      </c>
      <c r="N68">
        <v>6</v>
      </c>
      <c r="O68">
        <v>62</v>
      </c>
      <c r="P68">
        <v>68</v>
      </c>
    </row>
    <row r="69" spans="1:16" x14ac:dyDescent="0.3">
      <c r="A69">
        <v>678</v>
      </c>
      <c r="B69" s="1">
        <v>40574</v>
      </c>
      <c r="C69">
        <v>1</v>
      </c>
      <c r="D69">
        <v>0</v>
      </c>
      <c r="E69">
        <v>1</v>
      </c>
      <c r="F69">
        <v>13</v>
      </c>
      <c r="G69" t="b">
        <v>0</v>
      </c>
      <c r="H69">
        <v>1</v>
      </c>
      <c r="I69">
        <v>2</v>
      </c>
      <c r="J69">
        <v>0.16</v>
      </c>
      <c r="K69">
        <v>0.2273</v>
      </c>
      <c r="L69">
        <v>0.59</v>
      </c>
      <c r="M69">
        <v>0</v>
      </c>
      <c r="N69">
        <v>2</v>
      </c>
      <c r="O69">
        <v>52</v>
      </c>
      <c r="P69">
        <v>54</v>
      </c>
    </row>
    <row r="70" spans="1:16" x14ac:dyDescent="0.3">
      <c r="A70">
        <v>679</v>
      </c>
      <c r="B70" s="1">
        <v>40574</v>
      </c>
      <c r="C70">
        <v>1</v>
      </c>
      <c r="D70">
        <v>0</v>
      </c>
      <c r="E70">
        <v>1</v>
      </c>
      <c r="F70">
        <v>14</v>
      </c>
      <c r="G70" t="b">
        <v>0</v>
      </c>
      <c r="H70">
        <v>1</v>
      </c>
      <c r="I70">
        <v>2</v>
      </c>
      <c r="J70">
        <v>0.18</v>
      </c>
      <c r="K70">
        <v>0.19700000000000001</v>
      </c>
      <c r="L70">
        <v>0.55000000000000004</v>
      </c>
      <c r="M70">
        <v>0.1343</v>
      </c>
      <c r="N70">
        <v>1</v>
      </c>
      <c r="O70">
        <v>85</v>
      </c>
      <c r="P70">
        <v>86</v>
      </c>
    </row>
    <row r="71" spans="1:16" x14ac:dyDescent="0.3">
      <c r="A71">
        <v>680</v>
      </c>
      <c r="B71" s="1">
        <v>40574</v>
      </c>
      <c r="C71">
        <v>1</v>
      </c>
      <c r="D71">
        <v>0</v>
      </c>
      <c r="E71">
        <v>1</v>
      </c>
      <c r="F71">
        <v>15</v>
      </c>
      <c r="G71" t="b">
        <v>0</v>
      </c>
      <c r="H71">
        <v>1</v>
      </c>
      <c r="I71">
        <v>2</v>
      </c>
      <c r="J71">
        <v>0.16</v>
      </c>
      <c r="K71">
        <v>0.18179999999999999</v>
      </c>
      <c r="L71">
        <v>0.59</v>
      </c>
      <c r="M71">
        <v>0.1343</v>
      </c>
      <c r="N71">
        <v>3</v>
      </c>
      <c r="O71">
        <v>41</v>
      </c>
      <c r="P71">
        <v>44</v>
      </c>
    </row>
    <row r="72" spans="1:16" x14ac:dyDescent="0.3">
      <c r="A72">
        <v>681</v>
      </c>
      <c r="B72" s="1">
        <v>40574</v>
      </c>
      <c r="C72">
        <v>1</v>
      </c>
      <c r="D72">
        <v>0</v>
      </c>
      <c r="E72">
        <v>1</v>
      </c>
      <c r="F72">
        <v>16</v>
      </c>
      <c r="G72" t="b">
        <v>0</v>
      </c>
      <c r="H72">
        <v>1</v>
      </c>
      <c r="I72">
        <v>2</v>
      </c>
      <c r="J72">
        <v>0.16</v>
      </c>
      <c r="K72">
        <v>0.18179999999999999</v>
      </c>
      <c r="L72">
        <v>0.56000000000000005</v>
      </c>
      <c r="M72">
        <v>0.19400000000000001</v>
      </c>
      <c r="N72">
        <v>3</v>
      </c>
      <c r="O72">
        <v>83</v>
      </c>
      <c r="P72">
        <v>86</v>
      </c>
    </row>
    <row r="73" spans="1:16" x14ac:dyDescent="0.3">
      <c r="A73">
        <v>682</v>
      </c>
      <c r="B73" s="1">
        <v>40574</v>
      </c>
      <c r="C73">
        <v>1</v>
      </c>
      <c r="D73">
        <v>0</v>
      </c>
      <c r="E73">
        <v>1</v>
      </c>
      <c r="F73">
        <v>17</v>
      </c>
      <c r="G73" t="b">
        <v>0</v>
      </c>
      <c r="H73">
        <v>1</v>
      </c>
      <c r="I73">
        <v>2</v>
      </c>
      <c r="J73">
        <v>0.16</v>
      </c>
      <c r="K73">
        <v>0.1515</v>
      </c>
      <c r="L73">
        <v>0.59</v>
      </c>
      <c r="M73">
        <v>0.19400000000000001</v>
      </c>
      <c r="N73">
        <v>6</v>
      </c>
      <c r="O73">
        <v>155</v>
      </c>
      <c r="P73">
        <v>161</v>
      </c>
    </row>
    <row r="74" spans="1:16" x14ac:dyDescent="0.3">
      <c r="A74">
        <v>683</v>
      </c>
      <c r="B74" s="1">
        <v>40574</v>
      </c>
      <c r="C74">
        <v>1</v>
      </c>
      <c r="D74">
        <v>0</v>
      </c>
      <c r="E74">
        <v>1</v>
      </c>
      <c r="F74">
        <v>18</v>
      </c>
      <c r="G74" t="b">
        <v>0</v>
      </c>
      <c r="H74">
        <v>1</v>
      </c>
      <c r="I74">
        <v>2</v>
      </c>
      <c r="J74">
        <v>0.16</v>
      </c>
      <c r="K74">
        <v>0.1515</v>
      </c>
      <c r="L74">
        <v>0.55000000000000004</v>
      </c>
      <c r="M74">
        <v>0.22389999999999999</v>
      </c>
      <c r="N74">
        <v>3</v>
      </c>
      <c r="O74">
        <v>153</v>
      </c>
      <c r="P74">
        <v>156</v>
      </c>
    </row>
    <row r="75" spans="1:16" x14ac:dyDescent="0.3">
      <c r="A75">
        <v>684</v>
      </c>
      <c r="B75" s="1">
        <v>40574</v>
      </c>
      <c r="C75">
        <v>1</v>
      </c>
      <c r="D75">
        <v>0</v>
      </c>
      <c r="E75">
        <v>1</v>
      </c>
      <c r="F75">
        <v>19</v>
      </c>
      <c r="G75" t="b">
        <v>0</v>
      </c>
      <c r="H75">
        <v>1</v>
      </c>
      <c r="I75">
        <v>1</v>
      </c>
      <c r="J75">
        <v>0.3</v>
      </c>
      <c r="K75">
        <v>0.31819999999999998</v>
      </c>
      <c r="L75">
        <v>0.61</v>
      </c>
      <c r="M75">
        <v>0.1045</v>
      </c>
      <c r="N75">
        <v>3</v>
      </c>
      <c r="O75">
        <v>108</v>
      </c>
      <c r="P75">
        <v>111</v>
      </c>
    </row>
    <row r="76" spans="1:16" x14ac:dyDescent="0.3">
      <c r="A76">
        <v>685</v>
      </c>
      <c r="B76" s="1">
        <v>40574</v>
      </c>
      <c r="C76">
        <v>1</v>
      </c>
      <c r="D76">
        <v>0</v>
      </c>
      <c r="E76">
        <v>1</v>
      </c>
      <c r="F76">
        <v>20</v>
      </c>
      <c r="G76" t="b">
        <v>0</v>
      </c>
      <c r="H76">
        <v>1</v>
      </c>
      <c r="I76">
        <v>3</v>
      </c>
      <c r="J76">
        <v>0.16</v>
      </c>
      <c r="K76">
        <v>0.16669999999999999</v>
      </c>
      <c r="L76">
        <v>0.59</v>
      </c>
      <c r="M76">
        <v>0.16420000000000001</v>
      </c>
      <c r="N76">
        <v>0</v>
      </c>
      <c r="O76">
        <v>78</v>
      </c>
      <c r="P76">
        <v>78</v>
      </c>
    </row>
    <row r="77" spans="1:16" x14ac:dyDescent="0.3">
      <c r="A77">
        <v>686</v>
      </c>
      <c r="B77" s="1">
        <v>40574</v>
      </c>
      <c r="C77">
        <v>1</v>
      </c>
      <c r="D77">
        <v>0</v>
      </c>
      <c r="E77">
        <v>1</v>
      </c>
      <c r="F77">
        <v>21</v>
      </c>
      <c r="G77" t="b">
        <v>0</v>
      </c>
      <c r="H77">
        <v>1</v>
      </c>
      <c r="I77">
        <v>3</v>
      </c>
      <c r="J77">
        <v>0.16</v>
      </c>
      <c r="K77">
        <v>0.19700000000000001</v>
      </c>
      <c r="L77">
        <v>0.59</v>
      </c>
      <c r="M77">
        <v>8.9599999999999999E-2</v>
      </c>
      <c r="N77">
        <v>3</v>
      </c>
      <c r="O77">
        <v>53</v>
      </c>
      <c r="P77">
        <v>56</v>
      </c>
    </row>
    <row r="78" spans="1:16" x14ac:dyDescent="0.3">
      <c r="A78">
        <v>687</v>
      </c>
      <c r="B78" s="1">
        <v>40574</v>
      </c>
      <c r="C78">
        <v>1</v>
      </c>
      <c r="D78">
        <v>0</v>
      </c>
      <c r="E78">
        <v>1</v>
      </c>
      <c r="F78">
        <v>22</v>
      </c>
      <c r="G78" t="b">
        <v>0</v>
      </c>
      <c r="H78">
        <v>1</v>
      </c>
      <c r="I78">
        <v>2</v>
      </c>
      <c r="J78">
        <v>0.16</v>
      </c>
      <c r="K78">
        <v>0.18179999999999999</v>
      </c>
      <c r="L78">
        <v>0.59</v>
      </c>
      <c r="M78">
        <v>0.1045</v>
      </c>
      <c r="N78">
        <v>0</v>
      </c>
      <c r="O78">
        <v>34</v>
      </c>
      <c r="P78">
        <v>34</v>
      </c>
    </row>
    <row r="79" spans="1:16" x14ac:dyDescent="0.3">
      <c r="A79">
        <v>688</v>
      </c>
      <c r="B79" s="1">
        <v>40574</v>
      </c>
      <c r="C79">
        <v>1</v>
      </c>
      <c r="D79">
        <v>0</v>
      </c>
      <c r="E79">
        <v>1</v>
      </c>
      <c r="F79">
        <v>23</v>
      </c>
      <c r="G79" t="b">
        <v>0</v>
      </c>
      <c r="H79">
        <v>1</v>
      </c>
      <c r="I79">
        <v>2</v>
      </c>
      <c r="J79">
        <v>0.16</v>
      </c>
      <c r="K79">
        <v>0.19700000000000001</v>
      </c>
      <c r="L79">
        <v>0.64</v>
      </c>
      <c r="M79">
        <v>8.9599999999999999E-2</v>
      </c>
      <c r="N79">
        <v>2</v>
      </c>
      <c r="O79">
        <v>15</v>
      </c>
      <c r="P79">
        <v>17</v>
      </c>
    </row>
    <row r="80" spans="1:16" x14ac:dyDescent="0.3">
      <c r="A80">
        <v>689</v>
      </c>
      <c r="B80" s="1">
        <v>40575</v>
      </c>
      <c r="C80">
        <v>1</v>
      </c>
      <c r="D80">
        <v>0</v>
      </c>
      <c r="E80">
        <v>2</v>
      </c>
      <c r="F80">
        <v>0</v>
      </c>
      <c r="G80" t="b">
        <v>0</v>
      </c>
      <c r="H80">
        <v>2</v>
      </c>
      <c r="I80">
        <v>2</v>
      </c>
      <c r="J80">
        <v>0.16</v>
      </c>
      <c r="K80">
        <v>0.18179999999999999</v>
      </c>
      <c r="L80">
        <v>0.64</v>
      </c>
      <c r="M80">
        <v>0.1045</v>
      </c>
      <c r="N80">
        <v>2</v>
      </c>
      <c r="O80">
        <v>6</v>
      </c>
      <c r="P80">
        <v>8</v>
      </c>
    </row>
    <row r="81" spans="1:16" x14ac:dyDescent="0.3">
      <c r="A81">
        <v>690</v>
      </c>
      <c r="B81" s="1">
        <v>40575</v>
      </c>
      <c r="C81">
        <v>1</v>
      </c>
      <c r="D81">
        <v>0</v>
      </c>
      <c r="E81">
        <v>2</v>
      </c>
      <c r="F81">
        <v>1</v>
      </c>
      <c r="G81" t="b">
        <v>0</v>
      </c>
      <c r="H81">
        <v>2</v>
      </c>
      <c r="I81">
        <v>2</v>
      </c>
      <c r="J81">
        <v>0.16</v>
      </c>
      <c r="K81">
        <v>0.18179999999999999</v>
      </c>
      <c r="L81">
        <v>0.69</v>
      </c>
      <c r="M81">
        <v>0.1045</v>
      </c>
      <c r="N81">
        <v>0</v>
      </c>
      <c r="O81">
        <v>3</v>
      </c>
      <c r="P81">
        <v>3</v>
      </c>
    </row>
    <row r="82" spans="1:16" x14ac:dyDescent="0.3">
      <c r="A82">
        <v>691</v>
      </c>
      <c r="B82" s="1">
        <v>40575</v>
      </c>
      <c r="C82">
        <v>1</v>
      </c>
      <c r="D82">
        <v>0</v>
      </c>
      <c r="E82">
        <v>2</v>
      </c>
      <c r="F82">
        <v>2</v>
      </c>
      <c r="G82" t="b">
        <v>0</v>
      </c>
      <c r="H82">
        <v>2</v>
      </c>
      <c r="I82">
        <v>2</v>
      </c>
      <c r="J82">
        <v>0.16</v>
      </c>
      <c r="K82">
        <v>0.2273</v>
      </c>
      <c r="L82">
        <v>0.69</v>
      </c>
      <c r="M82">
        <v>0</v>
      </c>
      <c r="N82">
        <v>0</v>
      </c>
      <c r="O82">
        <v>2</v>
      </c>
      <c r="P82">
        <v>2</v>
      </c>
    </row>
    <row r="83" spans="1:16" x14ac:dyDescent="0.3">
      <c r="A83">
        <v>692</v>
      </c>
      <c r="B83" s="1">
        <v>40575</v>
      </c>
      <c r="C83">
        <v>1</v>
      </c>
      <c r="D83">
        <v>0</v>
      </c>
      <c r="E83">
        <v>2</v>
      </c>
      <c r="F83">
        <v>3</v>
      </c>
      <c r="G83" t="b">
        <v>0</v>
      </c>
      <c r="H83">
        <v>2</v>
      </c>
      <c r="I83">
        <v>2</v>
      </c>
      <c r="J83">
        <v>0.16</v>
      </c>
      <c r="K83">
        <v>0.2273</v>
      </c>
      <c r="L83">
        <v>0.69</v>
      </c>
      <c r="M83">
        <v>0</v>
      </c>
      <c r="N83">
        <v>0</v>
      </c>
      <c r="O83">
        <v>2</v>
      </c>
      <c r="P83">
        <v>2</v>
      </c>
    </row>
    <row r="84" spans="1:16" x14ac:dyDescent="0.3">
      <c r="A84">
        <v>693</v>
      </c>
      <c r="B84" s="1">
        <v>40575</v>
      </c>
      <c r="C84">
        <v>1</v>
      </c>
      <c r="D84">
        <v>0</v>
      </c>
      <c r="E84">
        <v>2</v>
      </c>
      <c r="F84">
        <v>5</v>
      </c>
      <c r="G84" t="b">
        <v>0</v>
      </c>
      <c r="H84">
        <v>2</v>
      </c>
      <c r="I84">
        <v>3</v>
      </c>
      <c r="J84">
        <v>0.14000000000000001</v>
      </c>
      <c r="K84">
        <v>0.21210000000000001</v>
      </c>
      <c r="L84">
        <v>0.93</v>
      </c>
      <c r="M84">
        <v>0</v>
      </c>
      <c r="N84">
        <v>0</v>
      </c>
      <c r="O84">
        <v>3</v>
      </c>
      <c r="P84">
        <v>3</v>
      </c>
    </row>
    <row r="85" spans="1:16" x14ac:dyDescent="0.3">
      <c r="A85">
        <v>694</v>
      </c>
      <c r="B85" s="1">
        <v>40575</v>
      </c>
      <c r="C85">
        <v>1</v>
      </c>
      <c r="D85">
        <v>0</v>
      </c>
      <c r="E85">
        <v>2</v>
      </c>
      <c r="F85">
        <v>6</v>
      </c>
      <c r="G85" t="b">
        <v>0</v>
      </c>
      <c r="H85">
        <v>2</v>
      </c>
      <c r="I85">
        <v>3</v>
      </c>
      <c r="J85">
        <v>0.14000000000000001</v>
      </c>
      <c r="K85">
        <v>0.21210000000000001</v>
      </c>
      <c r="L85">
        <v>0.93</v>
      </c>
      <c r="M85">
        <v>0</v>
      </c>
      <c r="N85">
        <v>0</v>
      </c>
      <c r="O85">
        <v>22</v>
      </c>
      <c r="P85">
        <v>22</v>
      </c>
    </row>
    <row r="86" spans="1:16" x14ac:dyDescent="0.3">
      <c r="A86">
        <v>695</v>
      </c>
      <c r="B86" s="1">
        <v>40575</v>
      </c>
      <c r="C86">
        <v>1</v>
      </c>
      <c r="D86">
        <v>0</v>
      </c>
      <c r="E86">
        <v>2</v>
      </c>
      <c r="F86">
        <v>7</v>
      </c>
      <c r="G86" t="b">
        <v>0</v>
      </c>
      <c r="H86">
        <v>2</v>
      </c>
      <c r="I86">
        <v>3</v>
      </c>
      <c r="J86">
        <v>0.16</v>
      </c>
      <c r="K86">
        <v>0.2273</v>
      </c>
      <c r="L86">
        <v>0.93</v>
      </c>
      <c r="M86">
        <v>0</v>
      </c>
      <c r="N86">
        <v>0</v>
      </c>
      <c r="O86">
        <v>52</v>
      </c>
      <c r="P86">
        <v>52</v>
      </c>
    </row>
    <row r="87" spans="1:16" x14ac:dyDescent="0.3">
      <c r="A87">
        <v>696</v>
      </c>
      <c r="B87" s="1">
        <v>40575</v>
      </c>
      <c r="C87">
        <v>1</v>
      </c>
      <c r="D87">
        <v>0</v>
      </c>
      <c r="E87">
        <v>2</v>
      </c>
      <c r="F87">
        <v>8</v>
      </c>
      <c r="G87" t="b">
        <v>0</v>
      </c>
      <c r="H87">
        <v>2</v>
      </c>
      <c r="I87">
        <v>3</v>
      </c>
      <c r="J87">
        <v>0.16</v>
      </c>
      <c r="K87">
        <v>0.2273</v>
      </c>
      <c r="L87">
        <v>0.93</v>
      </c>
      <c r="M87">
        <v>0</v>
      </c>
      <c r="N87">
        <v>3</v>
      </c>
      <c r="O87">
        <v>132</v>
      </c>
      <c r="P87">
        <v>135</v>
      </c>
    </row>
    <row r="88" spans="1:16" x14ac:dyDescent="0.3">
      <c r="A88">
        <v>697</v>
      </c>
      <c r="B88" s="1">
        <v>40575</v>
      </c>
      <c r="C88">
        <v>1</v>
      </c>
      <c r="D88">
        <v>0</v>
      </c>
      <c r="E88">
        <v>2</v>
      </c>
      <c r="F88">
        <v>9</v>
      </c>
      <c r="G88" t="b">
        <v>0</v>
      </c>
      <c r="H88">
        <v>2</v>
      </c>
      <c r="I88">
        <v>2</v>
      </c>
      <c r="J88">
        <v>0.16</v>
      </c>
      <c r="K88">
        <v>0.2273</v>
      </c>
      <c r="L88">
        <v>0.93</v>
      </c>
      <c r="M88">
        <v>0</v>
      </c>
      <c r="N88">
        <v>2</v>
      </c>
      <c r="O88">
        <v>114</v>
      </c>
      <c r="P88">
        <v>116</v>
      </c>
    </row>
    <row r="89" spans="1:16" x14ac:dyDescent="0.3">
      <c r="A89">
        <v>698</v>
      </c>
      <c r="B89" s="1">
        <v>40575</v>
      </c>
      <c r="C89">
        <v>1</v>
      </c>
      <c r="D89">
        <v>0</v>
      </c>
      <c r="E89">
        <v>2</v>
      </c>
      <c r="F89">
        <v>10</v>
      </c>
      <c r="G89" t="b">
        <v>0</v>
      </c>
      <c r="H89">
        <v>2</v>
      </c>
      <c r="I89">
        <v>2</v>
      </c>
      <c r="J89">
        <v>0.16</v>
      </c>
      <c r="K89">
        <v>0.2273</v>
      </c>
      <c r="L89">
        <v>0.93</v>
      </c>
      <c r="M89">
        <v>0</v>
      </c>
      <c r="N89">
        <v>0</v>
      </c>
      <c r="O89">
        <v>47</v>
      </c>
      <c r="P89">
        <v>47</v>
      </c>
    </row>
    <row r="90" spans="1:16" x14ac:dyDescent="0.3">
      <c r="A90">
        <v>699</v>
      </c>
      <c r="B90" s="1">
        <v>40575</v>
      </c>
      <c r="C90">
        <v>1</v>
      </c>
      <c r="D90">
        <v>0</v>
      </c>
      <c r="E90">
        <v>2</v>
      </c>
      <c r="F90">
        <v>11</v>
      </c>
      <c r="G90" t="b">
        <v>0</v>
      </c>
      <c r="H90">
        <v>2</v>
      </c>
      <c r="I90">
        <v>2</v>
      </c>
      <c r="J90">
        <v>0.18</v>
      </c>
      <c r="K90">
        <v>0.2424</v>
      </c>
      <c r="L90">
        <v>0.86</v>
      </c>
      <c r="M90">
        <v>0</v>
      </c>
      <c r="N90">
        <v>2</v>
      </c>
      <c r="O90">
        <v>49</v>
      </c>
      <c r="P90">
        <v>51</v>
      </c>
    </row>
    <row r="91" spans="1:16" x14ac:dyDescent="0.3">
      <c r="A91">
        <v>700</v>
      </c>
      <c r="B91" s="1">
        <v>40575</v>
      </c>
      <c r="C91">
        <v>1</v>
      </c>
      <c r="D91">
        <v>0</v>
      </c>
      <c r="E91">
        <v>2</v>
      </c>
      <c r="F91">
        <v>12</v>
      </c>
      <c r="G91" t="b">
        <v>0</v>
      </c>
      <c r="H91">
        <v>2</v>
      </c>
      <c r="I91">
        <v>2</v>
      </c>
      <c r="J91">
        <v>0.2</v>
      </c>
      <c r="K91">
        <v>0.2576</v>
      </c>
      <c r="L91">
        <v>0.86</v>
      </c>
      <c r="M91">
        <v>0</v>
      </c>
      <c r="N91">
        <v>2</v>
      </c>
      <c r="O91">
        <v>53</v>
      </c>
      <c r="P91">
        <v>55</v>
      </c>
    </row>
    <row r="92" spans="1:16" x14ac:dyDescent="0.3">
      <c r="A92">
        <v>701</v>
      </c>
      <c r="B92" s="1">
        <v>40575</v>
      </c>
      <c r="C92">
        <v>1</v>
      </c>
      <c r="D92">
        <v>0</v>
      </c>
      <c r="E92">
        <v>2</v>
      </c>
      <c r="F92">
        <v>13</v>
      </c>
      <c r="G92" t="b">
        <v>0</v>
      </c>
      <c r="H92">
        <v>2</v>
      </c>
      <c r="I92">
        <v>2</v>
      </c>
      <c r="J92">
        <v>0.2</v>
      </c>
      <c r="K92">
        <v>0.2576</v>
      </c>
      <c r="L92">
        <v>0.86</v>
      </c>
      <c r="M92">
        <v>0</v>
      </c>
      <c r="N92">
        <v>3</v>
      </c>
      <c r="O92">
        <v>49</v>
      </c>
      <c r="P92">
        <v>52</v>
      </c>
    </row>
    <row r="93" spans="1:16" x14ac:dyDescent="0.3">
      <c r="A93">
        <v>702</v>
      </c>
      <c r="B93" s="1">
        <v>40575</v>
      </c>
      <c r="C93">
        <v>1</v>
      </c>
      <c r="D93">
        <v>0</v>
      </c>
      <c r="E93">
        <v>2</v>
      </c>
      <c r="F93">
        <v>14</v>
      </c>
      <c r="G93" t="b">
        <v>0</v>
      </c>
      <c r="H93">
        <v>2</v>
      </c>
      <c r="I93">
        <v>2</v>
      </c>
      <c r="J93">
        <v>0.22</v>
      </c>
      <c r="K93">
        <v>0.2576</v>
      </c>
      <c r="L93">
        <v>0.8</v>
      </c>
      <c r="M93">
        <v>8.9599999999999999E-2</v>
      </c>
      <c r="N93">
        <v>5</v>
      </c>
      <c r="O93">
        <v>49</v>
      </c>
      <c r="P93">
        <v>54</v>
      </c>
    </row>
    <row r="94" spans="1:16" x14ac:dyDescent="0.3">
      <c r="A94">
        <v>703</v>
      </c>
      <c r="B94" s="1">
        <v>40575</v>
      </c>
      <c r="C94">
        <v>1</v>
      </c>
      <c r="D94">
        <v>0</v>
      </c>
      <c r="E94">
        <v>2</v>
      </c>
      <c r="F94">
        <v>15</v>
      </c>
      <c r="G94" t="b">
        <v>0</v>
      </c>
      <c r="H94">
        <v>2</v>
      </c>
      <c r="I94">
        <v>2</v>
      </c>
      <c r="J94">
        <v>0.24</v>
      </c>
      <c r="K94">
        <v>0.28789999999999999</v>
      </c>
      <c r="L94">
        <v>0.75</v>
      </c>
      <c r="M94">
        <v>0</v>
      </c>
      <c r="N94">
        <v>7</v>
      </c>
      <c r="O94">
        <v>45</v>
      </c>
      <c r="P94">
        <v>52</v>
      </c>
    </row>
    <row r="95" spans="1:16" x14ac:dyDescent="0.3">
      <c r="A95">
        <v>704</v>
      </c>
      <c r="B95" s="1">
        <v>40575</v>
      </c>
      <c r="C95">
        <v>1</v>
      </c>
      <c r="D95">
        <v>0</v>
      </c>
      <c r="E95">
        <v>2</v>
      </c>
      <c r="F95">
        <v>16</v>
      </c>
      <c r="G95" t="b">
        <v>0</v>
      </c>
      <c r="H95">
        <v>2</v>
      </c>
      <c r="I95">
        <v>2</v>
      </c>
      <c r="J95">
        <v>0.24</v>
      </c>
      <c r="K95">
        <v>0.2424</v>
      </c>
      <c r="L95">
        <v>0.75</v>
      </c>
      <c r="M95">
        <v>0.1343</v>
      </c>
      <c r="N95">
        <v>3</v>
      </c>
      <c r="O95">
        <v>61</v>
      </c>
      <c r="P95">
        <v>64</v>
      </c>
    </row>
    <row r="96" spans="1:16" x14ac:dyDescent="0.3">
      <c r="A96">
        <v>705</v>
      </c>
      <c r="B96" s="1">
        <v>40575</v>
      </c>
      <c r="C96">
        <v>1</v>
      </c>
      <c r="D96">
        <v>0</v>
      </c>
      <c r="E96">
        <v>2</v>
      </c>
      <c r="F96">
        <v>17</v>
      </c>
      <c r="G96" t="b">
        <v>0</v>
      </c>
      <c r="H96">
        <v>2</v>
      </c>
      <c r="I96">
        <v>2</v>
      </c>
      <c r="J96">
        <v>0.24</v>
      </c>
      <c r="K96">
        <v>0.28789999999999999</v>
      </c>
      <c r="L96">
        <v>0.75</v>
      </c>
      <c r="M96">
        <v>0</v>
      </c>
      <c r="N96">
        <v>4</v>
      </c>
      <c r="O96">
        <v>172</v>
      </c>
      <c r="P96">
        <v>176</v>
      </c>
    </row>
    <row r="97" spans="1:16" x14ac:dyDescent="0.3">
      <c r="A97">
        <v>706</v>
      </c>
      <c r="B97" s="1">
        <v>40575</v>
      </c>
      <c r="C97">
        <v>1</v>
      </c>
      <c r="D97">
        <v>0</v>
      </c>
      <c r="E97">
        <v>2</v>
      </c>
      <c r="F97">
        <v>18</v>
      </c>
      <c r="G97" t="b">
        <v>0</v>
      </c>
      <c r="H97">
        <v>2</v>
      </c>
      <c r="I97">
        <v>2</v>
      </c>
      <c r="J97">
        <v>0.24</v>
      </c>
      <c r="K97">
        <v>0.2576</v>
      </c>
      <c r="L97">
        <v>0.81</v>
      </c>
      <c r="M97">
        <v>0.1045</v>
      </c>
      <c r="N97">
        <v>3</v>
      </c>
      <c r="O97">
        <v>165</v>
      </c>
      <c r="P97">
        <v>168</v>
      </c>
    </row>
    <row r="98" spans="1:16" x14ac:dyDescent="0.3">
      <c r="A98">
        <v>707</v>
      </c>
      <c r="B98" s="1">
        <v>40575</v>
      </c>
      <c r="C98">
        <v>1</v>
      </c>
      <c r="D98">
        <v>0</v>
      </c>
      <c r="E98">
        <v>2</v>
      </c>
      <c r="F98">
        <v>19</v>
      </c>
      <c r="G98" t="b">
        <v>0</v>
      </c>
      <c r="H98">
        <v>2</v>
      </c>
      <c r="I98">
        <v>2</v>
      </c>
      <c r="J98">
        <v>0.24</v>
      </c>
      <c r="K98">
        <v>0.2424</v>
      </c>
      <c r="L98">
        <v>0.81</v>
      </c>
      <c r="M98">
        <v>0.1343</v>
      </c>
      <c r="N98">
        <v>3</v>
      </c>
      <c r="O98">
        <v>105</v>
      </c>
      <c r="P98">
        <v>108</v>
      </c>
    </row>
    <row r="99" spans="1:16" x14ac:dyDescent="0.3">
      <c r="A99">
        <v>708</v>
      </c>
      <c r="B99" s="1">
        <v>40575</v>
      </c>
      <c r="C99">
        <v>1</v>
      </c>
      <c r="D99">
        <v>0</v>
      </c>
      <c r="E99">
        <v>2</v>
      </c>
      <c r="F99">
        <v>20</v>
      </c>
      <c r="G99" t="b">
        <v>0</v>
      </c>
      <c r="H99">
        <v>2</v>
      </c>
      <c r="I99">
        <v>2</v>
      </c>
      <c r="J99">
        <v>0.22</v>
      </c>
      <c r="K99">
        <v>0.2273</v>
      </c>
      <c r="L99">
        <v>0.87</v>
      </c>
      <c r="M99">
        <v>0.1343</v>
      </c>
      <c r="N99">
        <v>5</v>
      </c>
      <c r="O99">
        <v>69</v>
      </c>
      <c r="P99">
        <v>74</v>
      </c>
    </row>
    <row r="100" spans="1:16" x14ac:dyDescent="0.3">
      <c r="A100">
        <v>709</v>
      </c>
      <c r="B100" s="1">
        <v>40575</v>
      </c>
      <c r="C100">
        <v>1</v>
      </c>
      <c r="D100">
        <v>0</v>
      </c>
      <c r="E100">
        <v>2</v>
      </c>
      <c r="F100">
        <v>21</v>
      </c>
      <c r="G100" t="b">
        <v>0</v>
      </c>
      <c r="H100">
        <v>2</v>
      </c>
      <c r="I100">
        <v>2</v>
      </c>
      <c r="J100">
        <v>0.22</v>
      </c>
      <c r="K100">
        <v>0.2273</v>
      </c>
      <c r="L100">
        <v>0.87</v>
      </c>
      <c r="M100">
        <v>0.1343</v>
      </c>
      <c r="N100">
        <v>0</v>
      </c>
      <c r="O100">
        <v>64</v>
      </c>
      <c r="P100">
        <v>64</v>
      </c>
    </row>
    <row r="101" spans="1:16" x14ac:dyDescent="0.3">
      <c r="A101">
        <v>710</v>
      </c>
      <c r="B101" s="1">
        <v>40575</v>
      </c>
      <c r="C101">
        <v>1</v>
      </c>
      <c r="D101">
        <v>0</v>
      </c>
      <c r="E101">
        <v>2</v>
      </c>
      <c r="F101">
        <v>22</v>
      </c>
      <c r="G101" t="b">
        <v>0</v>
      </c>
      <c r="H101">
        <v>2</v>
      </c>
      <c r="I101">
        <v>2</v>
      </c>
      <c r="J101">
        <v>0.22</v>
      </c>
      <c r="K101">
        <v>0.2576</v>
      </c>
      <c r="L101">
        <v>0.87</v>
      </c>
      <c r="M101">
        <v>8.9599999999999999E-2</v>
      </c>
      <c r="N101">
        <v>2</v>
      </c>
      <c r="O101">
        <v>34</v>
      </c>
      <c r="P101">
        <v>36</v>
      </c>
    </row>
    <row r="102" spans="1:16" x14ac:dyDescent="0.3">
      <c r="A102">
        <v>711</v>
      </c>
      <c r="B102" s="1">
        <v>40575</v>
      </c>
      <c r="C102">
        <v>1</v>
      </c>
      <c r="D102">
        <v>0</v>
      </c>
      <c r="E102">
        <v>2</v>
      </c>
      <c r="F102">
        <v>23</v>
      </c>
      <c r="G102" t="b">
        <v>0</v>
      </c>
      <c r="H102">
        <v>2</v>
      </c>
      <c r="I102">
        <v>3</v>
      </c>
      <c r="J102">
        <v>0.2</v>
      </c>
      <c r="K102">
        <v>0.19700000000000001</v>
      </c>
      <c r="L102">
        <v>0.93</v>
      </c>
      <c r="M102">
        <v>0.19400000000000001</v>
      </c>
      <c r="N102">
        <v>1</v>
      </c>
      <c r="O102">
        <v>15</v>
      </c>
      <c r="P102">
        <v>16</v>
      </c>
    </row>
    <row r="103" spans="1:16" x14ac:dyDescent="0.3">
      <c r="A103">
        <v>712</v>
      </c>
      <c r="B103" s="1">
        <v>40576</v>
      </c>
      <c r="C103">
        <v>1</v>
      </c>
      <c r="D103">
        <v>0</v>
      </c>
      <c r="E103">
        <v>2</v>
      </c>
      <c r="F103">
        <v>0</v>
      </c>
      <c r="G103" t="b">
        <v>0</v>
      </c>
      <c r="H103">
        <v>3</v>
      </c>
      <c r="I103">
        <v>3</v>
      </c>
      <c r="J103">
        <v>0.22</v>
      </c>
      <c r="K103">
        <v>0.2424</v>
      </c>
      <c r="L103">
        <v>0.93</v>
      </c>
      <c r="M103">
        <v>0.1045</v>
      </c>
      <c r="N103">
        <v>0</v>
      </c>
      <c r="O103">
        <v>2</v>
      </c>
      <c r="P103">
        <v>2</v>
      </c>
    </row>
    <row r="104" spans="1:16" x14ac:dyDescent="0.3">
      <c r="A104">
        <v>713</v>
      </c>
      <c r="B104" s="1">
        <v>40576</v>
      </c>
      <c r="C104">
        <v>1</v>
      </c>
      <c r="D104">
        <v>0</v>
      </c>
      <c r="E104">
        <v>2</v>
      </c>
      <c r="F104">
        <v>1</v>
      </c>
      <c r="G104" t="b">
        <v>0</v>
      </c>
      <c r="H104">
        <v>3</v>
      </c>
      <c r="I104">
        <v>3</v>
      </c>
      <c r="J104">
        <v>0.22</v>
      </c>
      <c r="K104">
        <v>0.2273</v>
      </c>
      <c r="L104">
        <v>0.93</v>
      </c>
      <c r="M104">
        <v>0.19400000000000001</v>
      </c>
      <c r="N104">
        <v>0</v>
      </c>
      <c r="O104">
        <v>3</v>
      </c>
      <c r="P104">
        <v>3</v>
      </c>
    </row>
    <row r="105" spans="1:16" x14ac:dyDescent="0.3">
      <c r="A105">
        <v>714</v>
      </c>
      <c r="B105" s="1">
        <v>40576</v>
      </c>
      <c r="C105">
        <v>1</v>
      </c>
      <c r="D105">
        <v>0</v>
      </c>
      <c r="E105">
        <v>2</v>
      </c>
      <c r="F105">
        <v>2</v>
      </c>
      <c r="G105" t="b">
        <v>0</v>
      </c>
      <c r="H105">
        <v>3</v>
      </c>
      <c r="I105">
        <v>3</v>
      </c>
      <c r="J105">
        <v>0.22</v>
      </c>
      <c r="K105">
        <v>0.2273</v>
      </c>
      <c r="L105">
        <v>0.93</v>
      </c>
      <c r="M105">
        <v>0.1343</v>
      </c>
      <c r="N105">
        <v>4</v>
      </c>
      <c r="O105">
        <v>0</v>
      </c>
      <c r="P105">
        <v>4</v>
      </c>
    </row>
    <row r="106" spans="1:16" x14ac:dyDescent="0.3">
      <c r="A106">
        <v>715</v>
      </c>
      <c r="B106" s="1">
        <v>40576</v>
      </c>
      <c r="C106">
        <v>1</v>
      </c>
      <c r="D106">
        <v>0</v>
      </c>
      <c r="E106">
        <v>2</v>
      </c>
      <c r="F106">
        <v>3</v>
      </c>
      <c r="G106" t="b">
        <v>0</v>
      </c>
      <c r="H106">
        <v>3</v>
      </c>
      <c r="I106">
        <v>3</v>
      </c>
      <c r="J106">
        <v>0.22</v>
      </c>
      <c r="K106">
        <v>0.2273</v>
      </c>
      <c r="L106">
        <v>0.93</v>
      </c>
      <c r="M106">
        <v>0.1343</v>
      </c>
      <c r="N106">
        <v>0</v>
      </c>
      <c r="O106">
        <v>1</v>
      </c>
      <c r="P106">
        <v>1</v>
      </c>
    </row>
    <row r="107" spans="1:16" x14ac:dyDescent="0.3">
      <c r="A107">
        <v>716</v>
      </c>
      <c r="B107" s="1">
        <v>40576</v>
      </c>
      <c r="C107">
        <v>1</v>
      </c>
      <c r="D107">
        <v>0</v>
      </c>
      <c r="E107">
        <v>2</v>
      </c>
      <c r="F107">
        <v>4</v>
      </c>
      <c r="G107" t="b">
        <v>0</v>
      </c>
      <c r="H107">
        <v>3</v>
      </c>
      <c r="I107">
        <v>3</v>
      </c>
      <c r="J107">
        <v>0.22</v>
      </c>
      <c r="K107">
        <v>0.21210000000000001</v>
      </c>
      <c r="L107">
        <v>0.93</v>
      </c>
      <c r="M107">
        <v>0.28360000000000002</v>
      </c>
      <c r="N107">
        <v>0</v>
      </c>
      <c r="O107">
        <v>1</v>
      </c>
      <c r="P107">
        <v>1</v>
      </c>
    </row>
    <row r="108" spans="1:16" x14ac:dyDescent="0.3">
      <c r="A108">
        <v>717</v>
      </c>
      <c r="B108" s="1">
        <v>40576</v>
      </c>
      <c r="C108">
        <v>1</v>
      </c>
      <c r="D108">
        <v>0</v>
      </c>
      <c r="E108">
        <v>2</v>
      </c>
      <c r="F108">
        <v>5</v>
      </c>
      <c r="G108" t="b">
        <v>0</v>
      </c>
      <c r="H108">
        <v>3</v>
      </c>
      <c r="I108">
        <v>3</v>
      </c>
      <c r="J108">
        <v>0.22</v>
      </c>
      <c r="K108">
        <v>0.2424</v>
      </c>
      <c r="L108">
        <v>0.93</v>
      </c>
      <c r="M108">
        <v>0.1045</v>
      </c>
      <c r="N108">
        <v>0</v>
      </c>
      <c r="O108">
        <v>3</v>
      </c>
      <c r="P108">
        <v>3</v>
      </c>
    </row>
    <row r="109" spans="1:16" x14ac:dyDescent="0.3">
      <c r="A109">
        <v>718</v>
      </c>
      <c r="B109" s="1">
        <v>40576</v>
      </c>
      <c r="C109">
        <v>1</v>
      </c>
      <c r="D109">
        <v>0</v>
      </c>
      <c r="E109">
        <v>2</v>
      </c>
      <c r="F109">
        <v>6</v>
      </c>
      <c r="G109" t="b">
        <v>0</v>
      </c>
      <c r="H109">
        <v>3</v>
      </c>
      <c r="I109">
        <v>3</v>
      </c>
      <c r="J109">
        <v>0.22</v>
      </c>
      <c r="K109">
        <v>0.2424</v>
      </c>
      <c r="L109">
        <v>0.93</v>
      </c>
      <c r="M109">
        <v>0.1045</v>
      </c>
      <c r="N109">
        <v>1</v>
      </c>
      <c r="O109">
        <v>17</v>
      </c>
      <c r="P109">
        <v>18</v>
      </c>
    </row>
    <row r="110" spans="1:16" x14ac:dyDescent="0.3">
      <c r="A110">
        <v>719</v>
      </c>
      <c r="B110" s="1">
        <v>40576</v>
      </c>
      <c r="C110">
        <v>1</v>
      </c>
      <c r="D110">
        <v>0</v>
      </c>
      <c r="E110">
        <v>2</v>
      </c>
      <c r="F110">
        <v>7</v>
      </c>
      <c r="G110" t="b">
        <v>0</v>
      </c>
      <c r="H110">
        <v>3</v>
      </c>
      <c r="I110">
        <v>3</v>
      </c>
      <c r="J110">
        <v>0.22</v>
      </c>
      <c r="K110">
        <v>0.21210000000000001</v>
      </c>
      <c r="L110">
        <v>0.93</v>
      </c>
      <c r="M110">
        <v>0.22389999999999999</v>
      </c>
      <c r="N110">
        <v>1</v>
      </c>
      <c r="O110">
        <v>48</v>
      </c>
      <c r="P110">
        <v>49</v>
      </c>
    </row>
    <row r="111" spans="1:16" x14ac:dyDescent="0.3">
      <c r="A111">
        <v>720</v>
      </c>
      <c r="B111" s="1">
        <v>40576</v>
      </c>
      <c r="C111">
        <v>1</v>
      </c>
      <c r="D111">
        <v>0</v>
      </c>
      <c r="E111">
        <v>2</v>
      </c>
      <c r="F111">
        <v>8</v>
      </c>
      <c r="G111" t="b">
        <v>0</v>
      </c>
      <c r="H111">
        <v>3</v>
      </c>
      <c r="I111">
        <v>3</v>
      </c>
      <c r="J111">
        <v>0.22</v>
      </c>
      <c r="K111">
        <v>0.21210000000000001</v>
      </c>
      <c r="L111">
        <v>0.93</v>
      </c>
      <c r="M111">
        <v>0.22389999999999999</v>
      </c>
      <c r="N111">
        <v>1</v>
      </c>
      <c r="O111">
        <v>154</v>
      </c>
      <c r="P111">
        <v>155</v>
      </c>
    </row>
    <row r="112" spans="1:16" x14ac:dyDescent="0.3">
      <c r="A112">
        <v>721</v>
      </c>
      <c r="B112" s="1">
        <v>40576</v>
      </c>
      <c r="C112">
        <v>1</v>
      </c>
      <c r="D112">
        <v>0</v>
      </c>
      <c r="E112">
        <v>2</v>
      </c>
      <c r="F112">
        <v>9</v>
      </c>
      <c r="G112" t="b">
        <v>0</v>
      </c>
      <c r="H112">
        <v>3</v>
      </c>
      <c r="I112">
        <v>2</v>
      </c>
      <c r="J112">
        <v>0.24</v>
      </c>
      <c r="K112">
        <v>0.2576</v>
      </c>
      <c r="L112">
        <v>0.93</v>
      </c>
      <c r="M112">
        <v>8.9599999999999999E-2</v>
      </c>
      <c r="N112">
        <v>4</v>
      </c>
      <c r="O112">
        <v>119</v>
      </c>
      <c r="P112">
        <v>123</v>
      </c>
    </row>
    <row r="113" spans="1:16" x14ac:dyDescent="0.3">
      <c r="A113">
        <v>722</v>
      </c>
      <c r="B113" s="1">
        <v>40576</v>
      </c>
      <c r="C113">
        <v>1</v>
      </c>
      <c r="D113">
        <v>0</v>
      </c>
      <c r="E113">
        <v>2</v>
      </c>
      <c r="F113">
        <v>10</v>
      </c>
      <c r="G113" t="b">
        <v>0</v>
      </c>
      <c r="H113">
        <v>3</v>
      </c>
      <c r="I113">
        <v>2</v>
      </c>
      <c r="J113">
        <v>0.22</v>
      </c>
      <c r="K113">
        <v>0.2727</v>
      </c>
      <c r="L113">
        <v>1</v>
      </c>
      <c r="M113">
        <v>0</v>
      </c>
      <c r="N113">
        <v>2</v>
      </c>
      <c r="O113">
        <v>59</v>
      </c>
      <c r="P113">
        <v>61</v>
      </c>
    </row>
    <row r="114" spans="1:16" x14ac:dyDescent="0.3">
      <c r="A114">
        <v>723</v>
      </c>
      <c r="B114" s="1">
        <v>40576</v>
      </c>
      <c r="C114">
        <v>1</v>
      </c>
      <c r="D114">
        <v>0</v>
      </c>
      <c r="E114">
        <v>2</v>
      </c>
      <c r="F114">
        <v>11</v>
      </c>
      <c r="G114" t="b">
        <v>0</v>
      </c>
      <c r="H114">
        <v>3</v>
      </c>
      <c r="I114">
        <v>2</v>
      </c>
      <c r="J114">
        <v>0.24</v>
      </c>
      <c r="K114">
        <v>0.2273</v>
      </c>
      <c r="L114">
        <v>0.93</v>
      </c>
      <c r="M114">
        <v>0.19400000000000001</v>
      </c>
      <c r="N114">
        <v>5</v>
      </c>
      <c r="O114">
        <v>47</v>
      </c>
      <c r="P114">
        <v>52</v>
      </c>
    </row>
    <row r="115" spans="1:16" x14ac:dyDescent="0.3">
      <c r="A115">
        <v>724</v>
      </c>
      <c r="B115" s="1">
        <v>40576</v>
      </c>
      <c r="C115">
        <v>1</v>
      </c>
      <c r="D115">
        <v>0</v>
      </c>
      <c r="E115">
        <v>2</v>
      </c>
      <c r="F115">
        <v>12</v>
      </c>
      <c r="G115" t="b">
        <v>0</v>
      </c>
      <c r="H115">
        <v>3</v>
      </c>
      <c r="I115">
        <v>2</v>
      </c>
      <c r="J115">
        <v>0.24</v>
      </c>
      <c r="K115">
        <v>0.2273</v>
      </c>
      <c r="L115">
        <v>0.93</v>
      </c>
      <c r="M115">
        <v>0.22389999999999999</v>
      </c>
      <c r="N115">
        <v>3</v>
      </c>
      <c r="O115">
        <v>61</v>
      </c>
      <c r="P115">
        <v>64</v>
      </c>
    </row>
    <row r="116" spans="1:16" x14ac:dyDescent="0.3">
      <c r="A116">
        <v>725</v>
      </c>
      <c r="B116" s="1">
        <v>40576</v>
      </c>
      <c r="C116">
        <v>1</v>
      </c>
      <c r="D116">
        <v>0</v>
      </c>
      <c r="E116">
        <v>2</v>
      </c>
      <c r="F116">
        <v>13</v>
      </c>
      <c r="G116" t="b">
        <v>0</v>
      </c>
      <c r="H116">
        <v>3</v>
      </c>
      <c r="I116">
        <v>1</v>
      </c>
      <c r="J116">
        <v>0.34</v>
      </c>
      <c r="K116">
        <v>0.33329999999999999</v>
      </c>
      <c r="L116">
        <v>0.93</v>
      </c>
      <c r="M116">
        <v>0.16420000000000001</v>
      </c>
      <c r="N116">
        <v>1</v>
      </c>
      <c r="O116">
        <v>74</v>
      </c>
      <c r="P116">
        <v>75</v>
      </c>
    </row>
    <row r="117" spans="1:16" x14ac:dyDescent="0.3">
      <c r="A117">
        <v>726</v>
      </c>
      <c r="B117" s="1">
        <v>40576</v>
      </c>
      <c r="C117">
        <v>1</v>
      </c>
      <c r="D117">
        <v>0</v>
      </c>
      <c r="E117">
        <v>2</v>
      </c>
      <c r="F117">
        <v>14</v>
      </c>
      <c r="G117" t="b">
        <v>0</v>
      </c>
      <c r="H117">
        <v>3</v>
      </c>
      <c r="I117">
        <v>1</v>
      </c>
      <c r="J117">
        <v>0.38</v>
      </c>
      <c r="K117">
        <v>0.39389999999999997</v>
      </c>
      <c r="L117">
        <v>0.82</v>
      </c>
      <c r="M117">
        <v>0.3881</v>
      </c>
      <c r="N117">
        <v>2</v>
      </c>
      <c r="O117">
        <v>61</v>
      </c>
      <c r="P117">
        <v>63</v>
      </c>
    </row>
    <row r="118" spans="1:16" x14ac:dyDescent="0.3">
      <c r="A118">
        <v>727</v>
      </c>
      <c r="B118" s="1">
        <v>40576</v>
      </c>
      <c r="C118">
        <v>1</v>
      </c>
      <c r="D118">
        <v>0</v>
      </c>
      <c r="E118">
        <v>2</v>
      </c>
      <c r="F118">
        <v>15</v>
      </c>
      <c r="G118" t="b">
        <v>0</v>
      </c>
      <c r="H118">
        <v>3</v>
      </c>
      <c r="I118">
        <v>1</v>
      </c>
      <c r="J118">
        <v>0.38</v>
      </c>
      <c r="K118">
        <v>0.39389999999999997</v>
      </c>
      <c r="L118">
        <v>0.76</v>
      </c>
      <c r="M118">
        <v>0.32840000000000003</v>
      </c>
      <c r="N118">
        <v>10</v>
      </c>
      <c r="O118">
        <v>66</v>
      </c>
      <c r="P118">
        <v>76</v>
      </c>
    </row>
    <row r="119" spans="1:16" x14ac:dyDescent="0.3">
      <c r="A119">
        <v>728</v>
      </c>
      <c r="B119" s="1">
        <v>40576</v>
      </c>
      <c r="C119">
        <v>1</v>
      </c>
      <c r="D119">
        <v>0</v>
      </c>
      <c r="E119">
        <v>2</v>
      </c>
      <c r="F119">
        <v>16</v>
      </c>
      <c r="G119" t="b">
        <v>0</v>
      </c>
      <c r="H119">
        <v>3</v>
      </c>
      <c r="I119">
        <v>1</v>
      </c>
      <c r="J119">
        <v>0.36</v>
      </c>
      <c r="K119">
        <v>0.33329999999999999</v>
      </c>
      <c r="L119">
        <v>0.71</v>
      </c>
      <c r="M119">
        <v>0.29849999999999999</v>
      </c>
      <c r="N119">
        <v>8</v>
      </c>
      <c r="O119">
        <v>95</v>
      </c>
      <c r="P119">
        <v>103</v>
      </c>
    </row>
    <row r="120" spans="1:16" x14ac:dyDescent="0.3">
      <c r="A120">
        <v>729</v>
      </c>
      <c r="B120" s="1">
        <v>40576</v>
      </c>
      <c r="C120">
        <v>1</v>
      </c>
      <c r="D120">
        <v>0</v>
      </c>
      <c r="E120">
        <v>2</v>
      </c>
      <c r="F120">
        <v>17</v>
      </c>
      <c r="G120" t="b">
        <v>0</v>
      </c>
      <c r="H120">
        <v>3</v>
      </c>
      <c r="I120">
        <v>1</v>
      </c>
      <c r="J120">
        <v>0.36</v>
      </c>
      <c r="K120">
        <v>0.31819999999999998</v>
      </c>
      <c r="L120">
        <v>0.53</v>
      </c>
      <c r="M120">
        <v>0.52239999999999998</v>
      </c>
      <c r="N120">
        <v>7</v>
      </c>
      <c r="O120">
        <v>183</v>
      </c>
      <c r="P120">
        <v>190</v>
      </c>
    </row>
    <row r="121" spans="1:16" x14ac:dyDescent="0.3">
      <c r="A121">
        <v>730</v>
      </c>
      <c r="B121" s="1">
        <v>40576</v>
      </c>
      <c r="C121">
        <v>1</v>
      </c>
      <c r="D121">
        <v>0</v>
      </c>
      <c r="E121">
        <v>2</v>
      </c>
      <c r="F121">
        <v>18</v>
      </c>
      <c r="G121" t="b">
        <v>0</v>
      </c>
      <c r="H121">
        <v>3</v>
      </c>
      <c r="I121">
        <v>1</v>
      </c>
      <c r="J121">
        <v>0.34</v>
      </c>
      <c r="K121">
        <v>0.28789999999999999</v>
      </c>
      <c r="L121">
        <v>0.42</v>
      </c>
      <c r="M121">
        <v>0.55220000000000002</v>
      </c>
      <c r="N121">
        <v>7</v>
      </c>
      <c r="O121">
        <v>175</v>
      </c>
      <c r="P121">
        <v>182</v>
      </c>
    </row>
    <row r="122" spans="1:16" x14ac:dyDescent="0.3">
      <c r="A122">
        <v>731</v>
      </c>
      <c r="B122" s="1">
        <v>40576</v>
      </c>
      <c r="C122">
        <v>1</v>
      </c>
      <c r="D122">
        <v>0</v>
      </c>
      <c r="E122">
        <v>2</v>
      </c>
      <c r="F122">
        <v>19</v>
      </c>
      <c r="G122" t="b">
        <v>0</v>
      </c>
      <c r="H122">
        <v>3</v>
      </c>
      <c r="I122">
        <v>1</v>
      </c>
      <c r="J122">
        <v>0.28000000000000003</v>
      </c>
      <c r="K122">
        <v>0.2424</v>
      </c>
      <c r="L122">
        <v>0.45</v>
      </c>
      <c r="M122">
        <v>0.49249999999999999</v>
      </c>
      <c r="N122">
        <v>3</v>
      </c>
      <c r="O122">
        <v>88</v>
      </c>
      <c r="P122">
        <v>91</v>
      </c>
    </row>
    <row r="123" spans="1:16" x14ac:dyDescent="0.3">
      <c r="A123">
        <v>732</v>
      </c>
      <c r="B123" s="1">
        <v>40576</v>
      </c>
      <c r="C123">
        <v>1</v>
      </c>
      <c r="D123">
        <v>0</v>
      </c>
      <c r="E123">
        <v>2</v>
      </c>
      <c r="F123">
        <v>20</v>
      </c>
      <c r="G123" t="b">
        <v>0</v>
      </c>
      <c r="H123">
        <v>3</v>
      </c>
      <c r="I123">
        <v>1</v>
      </c>
      <c r="J123">
        <v>0.24</v>
      </c>
      <c r="K123">
        <v>0.19700000000000001</v>
      </c>
      <c r="L123">
        <v>0.48</v>
      </c>
      <c r="M123">
        <v>0.55220000000000002</v>
      </c>
      <c r="N123">
        <v>4</v>
      </c>
      <c r="O123">
        <v>71</v>
      </c>
      <c r="P123">
        <v>75</v>
      </c>
    </row>
    <row r="124" spans="1:16" x14ac:dyDescent="0.3">
      <c r="A124">
        <v>733</v>
      </c>
      <c r="B124" s="1">
        <v>40576</v>
      </c>
      <c r="C124">
        <v>1</v>
      </c>
      <c r="D124">
        <v>0</v>
      </c>
      <c r="E124">
        <v>2</v>
      </c>
      <c r="F124">
        <v>21</v>
      </c>
      <c r="G124" t="b">
        <v>0</v>
      </c>
      <c r="H124">
        <v>3</v>
      </c>
      <c r="I124">
        <v>1</v>
      </c>
      <c r="J124">
        <v>0.22</v>
      </c>
      <c r="K124">
        <v>0.19700000000000001</v>
      </c>
      <c r="L124">
        <v>0.47</v>
      </c>
      <c r="M124">
        <v>0.32840000000000003</v>
      </c>
      <c r="N124">
        <v>1</v>
      </c>
      <c r="O124">
        <v>62</v>
      </c>
      <c r="P124">
        <v>63</v>
      </c>
    </row>
    <row r="125" spans="1:16" x14ac:dyDescent="0.3">
      <c r="A125">
        <v>734</v>
      </c>
      <c r="B125" s="1">
        <v>40576</v>
      </c>
      <c r="C125">
        <v>1</v>
      </c>
      <c r="D125">
        <v>0</v>
      </c>
      <c r="E125">
        <v>2</v>
      </c>
      <c r="F125">
        <v>22</v>
      </c>
      <c r="G125" t="b">
        <v>0</v>
      </c>
      <c r="H125">
        <v>3</v>
      </c>
      <c r="I125">
        <v>1</v>
      </c>
      <c r="J125">
        <v>0.22</v>
      </c>
      <c r="K125">
        <v>0.21210000000000001</v>
      </c>
      <c r="L125">
        <v>0.44</v>
      </c>
      <c r="M125">
        <v>0.25369999999999998</v>
      </c>
      <c r="N125">
        <v>5</v>
      </c>
      <c r="O125">
        <v>35</v>
      </c>
      <c r="P125">
        <v>40</v>
      </c>
    </row>
    <row r="126" spans="1:16" x14ac:dyDescent="0.3">
      <c r="A126">
        <v>735</v>
      </c>
      <c r="B126" s="1">
        <v>40576</v>
      </c>
      <c r="C126">
        <v>1</v>
      </c>
      <c r="D126">
        <v>0</v>
      </c>
      <c r="E126">
        <v>2</v>
      </c>
      <c r="F126">
        <v>23</v>
      </c>
      <c r="G126" t="b">
        <v>0</v>
      </c>
      <c r="H126">
        <v>3</v>
      </c>
      <c r="I126">
        <v>1</v>
      </c>
      <c r="J126">
        <v>0.2</v>
      </c>
      <c r="K126">
        <v>0.16669999999999999</v>
      </c>
      <c r="L126">
        <v>0.44</v>
      </c>
      <c r="M126">
        <v>0.44779999999999998</v>
      </c>
      <c r="N126">
        <v>3</v>
      </c>
      <c r="O126">
        <v>29</v>
      </c>
      <c r="P126">
        <v>32</v>
      </c>
    </row>
    <row r="127" spans="1:16" x14ac:dyDescent="0.3">
      <c r="A127">
        <v>736</v>
      </c>
      <c r="B127" s="1">
        <v>40577</v>
      </c>
      <c r="C127">
        <v>1</v>
      </c>
      <c r="D127">
        <v>0</v>
      </c>
      <c r="E127">
        <v>2</v>
      </c>
      <c r="F127">
        <v>0</v>
      </c>
      <c r="G127" t="b">
        <v>0</v>
      </c>
      <c r="H127">
        <v>4</v>
      </c>
      <c r="I127">
        <v>1</v>
      </c>
      <c r="J127">
        <v>0.2</v>
      </c>
      <c r="K127">
        <v>0.16669999999999999</v>
      </c>
      <c r="L127">
        <v>0.4</v>
      </c>
      <c r="M127">
        <v>0.44779999999999998</v>
      </c>
      <c r="N127">
        <v>1</v>
      </c>
      <c r="O127">
        <v>11</v>
      </c>
      <c r="P127">
        <v>12</v>
      </c>
    </row>
    <row r="128" spans="1:16" x14ac:dyDescent="0.3">
      <c r="A128">
        <v>737</v>
      </c>
      <c r="B128" s="1">
        <v>40577</v>
      </c>
      <c r="C128">
        <v>1</v>
      </c>
      <c r="D128">
        <v>0</v>
      </c>
      <c r="E128">
        <v>2</v>
      </c>
      <c r="F128">
        <v>1</v>
      </c>
      <c r="G128" t="b">
        <v>0</v>
      </c>
      <c r="H128">
        <v>4</v>
      </c>
      <c r="I128">
        <v>1</v>
      </c>
      <c r="J128">
        <v>0.2</v>
      </c>
      <c r="K128">
        <v>0.1515</v>
      </c>
      <c r="L128">
        <v>0.44</v>
      </c>
      <c r="M128">
        <v>0.52239999999999998</v>
      </c>
      <c r="N128">
        <v>0</v>
      </c>
      <c r="O128">
        <v>5</v>
      </c>
      <c r="P128">
        <v>5</v>
      </c>
    </row>
    <row r="129" spans="1:16" x14ac:dyDescent="0.3">
      <c r="A129">
        <v>738</v>
      </c>
      <c r="B129" s="1">
        <v>40577</v>
      </c>
      <c r="C129">
        <v>1</v>
      </c>
      <c r="D129">
        <v>0</v>
      </c>
      <c r="E129">
        <v>2</v>
      </c>
      <c r="F129">
        <v>2</v>
      </c>
      <c r="G129" t="b">
        <v>0</v>
      </c>
      <c r="H129">
        <v>4</v>
      </c>
      <c r="I129">
        <v>1</v>
      </c>
      <c r="J129">
        <v>0.18</v>
      </c>
      <c r="K129">
        <v>0.16669999999999999</v>
      </c>
      <c r="L129">
        <v>0.43</v>
      </c>
      <c r="M129">
        <v>0.25369999999999998</v>
      </c>
      <c r="N129">
        <v>0</v>
      </c>
      <c r="O129">
        <v>2</v>
      </c>
      <c r="P129">
        <v>2</v>
      </c>
    </row>
    <row r="130" spans="1:16" x14ac:dyDescent="0.3">
      <c r="A130">
        <v>739</v>
      </c>
      <c r="B130" s="1">
        <v>40577</v>
      </c>
      <c r="C130">
        <v>1</v>
      </c>
      <c r="D130">
        <v>0</v>
      </c>
      <c r="E130">
        <v>2</v>
      </c>
      <c r="F130">
        <v>3</v>
      </c>
      <c r="G130" t="b">
        <v>0</v>
      </c>
      <c r="H130">
        <v>4</v>
      </c>
      <c r="I130">
        <v>1</v>
      </c>
      <c r="J130">
        <v>0.18</v>
      </c>
      <c r="K130">
        <v>0.16669999999999999</v>
      </c>
      <c r="L130">
        <v>0.43</v>
      </c>
      <c r="M130">
        <v>0.25369999999999998</v>
      </c>
      <c r="N130">
        <v>0</v>
      </c>
      <c r="O130">
        <v>1</v>
      </c>
      <c r="P130">
        <v>1</v>
      </c>
    </row>
    <row r="131" spans="1:16" x14ac:dyDescent="0.3">
      <c r="A131">
        <v>740</v>
      </c>
      <c r="B131" s="1">
        <v>40577</v>
      </c>
      <c r="C131">
        <v>1</v>
      </c>
      <c r="D131">
        <v>0</v>
      </c>
      <c r="E131">
        <v>2</v>
      </c>
      <c r="F131">
        <v>5</v>
      </c>
      <c r="G131" t="b">
        <v>0</v>
      </c>
      <c r="H131">
        <v>4</v>
      </c>
      <c r="I131">
        <v>1</v>
      </c>
      <c r="J131">
        <v>0.16</v>
      </c>
      <c r="K131">
        <v>0.13639999999999999</v>
      </c>
      <c r="L131">
        <v>0.5</v>
      </c>
      <c r="M131">
        <v>0.29849999999999999</v>
      </c>
      <c r="N131">
        <v>0</v>
      </c>
      <c r="O131">
        <v>2</v>
      </c>
      <c r="P131">
        <v>2</v>
      </c>
    </row>
    <row r="132" spans="1:16" x14ac:dyDescent="0.3">
      <c r="A132">
        <v>741</v>
      </c>
      <c r="B132" s="1">
        <v>40577</v>
      </c>
      <c r="C132">
        <v>1</v>
      </c>
      <c r="D132">
        <v>0</v>
      </c>
      <c r="E132">
        <v>2</v>
      </c>
      <c r="F132">
        <v>6</v>
      </c>
      <c r="G132" t="b">
        <v>0</v>
      </c>
      <c r="H132">
        <v>4</v>
      </c>
      <c r="I132">
        <v>1</v>
      </c>
      <c r="J132">
        <v>0.16</v>
      </c>
      <c r="K132">
        <v>0.13639999999999999</v>
      </c>
      <c r="L132">
        <v>0.43</v>
      </c>
      <c r="M132">
        <v>0.35820000000000002</v>
      </c>
      <c r="N132">
        <v>0</v>
      </c>
      <c r="O132">
        <v>39</v>
      </c>
      <c r="P132">
        <v>39</v>
      </c>
    </row>
    <row r="133" spans="1:16" x14ac:dyDescent="0.3">
      <c r="A133">
        <v>742</v>
      </c>
      <c r="B133" s="1">
        <v>40577</v>
      </c>
      <c r="C133">
        <v>1</v>
      </c>
      <c r="D133">
        <v>0</v>
      </c>
      <c r="E133">
        <v>2</v>
      </c>
      <c r="F133">
        <v>7</v>
      </c>
      <c r="G133" t="b">
        <v>0</v>
      </c>
      <c r="H133">
        <v>4</v>
      </c>
      <c r="I133">
        <v>1</v>
      </c>
      <c r="J133">
        <v>0.14000000000000001</v>
      </c>
      <c r="K133">
        <v>0.1212</v>
      </c>
      <c r="L133">
        <v>0.5</v>
      </c>
      <c r="M133">
        <v>0.32840000000000003</v>
      </c>
      <c r="N133">
        <v>1</v>
      </c>
      <c r="O133">
        <v>86</v>
      </c>
      <c r="P133">
        <v>87</v>
      </c>
    </row>
    <row r="134" spans="1:16" x14ac:dyDescent="0.3">
      <c r="A134">
        <v>743</v>
      </c>
      <c r="B134" s="1">
        <v>40577</v>
      </c>
      <c r="C134">
        <v>1</v>
      </c>
      <c r="D134">
        <v>0</v>
      </c>
      <c r="E134">
        <v>2</v>
      </c>
      <c r="F134">
        <v>8</v>
      </c>
      <c r="G134" t="b">
        <v>0</v>
      </c>
      <c r="H134">
        <v>4</v>
      </c>
      <c r="I134">
        <v>1</v>
      </c>
      <c r="J134">
        <v>0.14000000000000001</v>
      </c>
      <c r="K134">
        <v>0.1212</v>
      </c>
      <c r="L134">
        <v>0.5</v>
      </c>
      <c r="M134">
        <v>0.35820000000000002</v>
      </c>
      <c r="N134">
        <v>4</v>
      </c>
      <c r="O134">
        <v>184</v>
      </c>
      <c r="P134">
        <v>188</v>
      </c>
    </row>
    <row r="135" spans="1:16" x14ac:dyDescent="0.3">
      <c r="A135">
        <v>744</v>
      </c>
      <c r="B135" s="1">
        <v>40577</v>
      </c>
      <c r="C135">
        <v>1</v>
      </c>
      <c r="D135">
        <v>0</v>
      </c>
      <c r="E135">
        <v>2</v>
      </c>
      <c r="F135">
        <v>9</v>
      </c>
      <c r="G135" t="b">
        <v>0</v>
      </c>
      <c r="H135">
        <v>4</v>
      </c>
      <c r="I135">
        <v>1</v>
      </c>
      <c r="J135">
        <v>0.16</v>
      </c>
      <c r="K135">
        <v>0.13639999999999999</v>
      </c>
      <c r="L135">
        <v>0.47</v>
      </c>
      <c r="M135">
        <v>0.29849999999999999</v>
      </c>
      <c r="N135">
        <v>6</v>
      </c>
      <c r="O135">
        <v>127</v>
      </c>
      <c r="P135">
        <v>133</v>
      </c>
    </row>
    <row r="136" spans="1:16" x14ac:dyDescent="0.3">
      <c r="A136">
        <v>745</v>
      </c>
      <c r="B136" s="1">
        <v>40577</v>
      </c>
      <c r="C136">
        <v>1</v>
      </c>
      <c r="D136">
        <v>0</v>
      </c>
      <c r="E136">
        <v>2</v>
      </c>
      <c r="F136">
        <v>10</v>
      </c>
      <c r="G136" t="b">
        <v>0</v>
      </c>
      <c r="H136">
        <v>4</v>
      </c>
      <c r="I136">
        <v>1</v>
      </c>
      <c r="J136">
        <v>0.18</v>
      </c>
      <c r="K136">
        <v>0.1515</v>
      </c>
      <c r="L136">
        <v>0.43</v>
      </c>
      <c r="M136">
        <v>0.32840000000000003</v>
      </c>
      <c r="N136">
        <v>2</v>
      </c>
      <c r="O136">
        <v>50</v>
      </c>
      <c r="P136">
        <v>52</v>
      </c>
    </row>
    <row r="137" spans="1:16" x14ac:dyDescent="0.3">
      <c r="A137">
        <v>746</v>
      </c>
      <c r="B137" s="1">
        <v>40577</v>
      </c>
      <c r="C137">
        <v>1</v>
      </c>
      <c r="D137">
        <v>0</v>
      </c>
      <c r="E137">
        <v>2</v>
      </c>
      <c r="F137">
        <v>11</v>
      </c>
      <c r="G137" t="b">
        <v>0</v>
      </c>
      <c r="H137">
        <v>4</v>
      </c>
      <c r="I137">
        <v>1</v>
      </c>
      <c r="J137">
        <v>0.18</v>
      </c>
      <c r="K137">
        <v>0.13639999999999999</v>
      </c>
      <c r="L137">
        <v>0.43</v>
      </c>
      <c r="M137">
        <v>0.44779999999999998</v>
      </c>
      <c r="N137">
        <v>9</v>
      </c>
      <c r="O137">
        <v>55</v>
      </c>
      <c r="P137">
        <v>64</v>
      </c>
    </row>
    <row r="138" spans="1:16" x14ac:dyDescent="0.3">
      <c r="A138">
        <v>747</v>
      </c>
      <c r="B138" s="1">
        <v>40577</v>
      </c>
      <c r="C138">
        <v>1</v>
      </c>
      <c r="D138">
        <v>0</v>
      </c>
      <c r="E138">
        <v>2</v>
      </c>
      <c r="F138">
        <v>12</v>
      </c>
      <c r="G138" t="b">
        <v>0</v>
      </c>
      <c r="H138">
        <v>4</v>
      </c>
      <c r="I138">
        <v>1</v>
      </c>
      <c r="J138">
        <v>0.2</v>
      </c>
      <c r="K138">
        <v>0.18179999999999999</v>
      </c>
      <c r="L138">
        <v>0.4</v>
      </c>
      <c r="M138">
        <v>0.35820000000000002</v>
      </c>
      <c r="N138">
        <v>2</v>
      </c>
      <c r="O138">
        <v>67</v>
      </c>
      <c r="P138">
        <v>69</v>
      </c>
    </row>
    <row r="139" spans="1:16" x14ac:dyDescent="0.3">
      <c r="A139">
        <v>748</v>
      </c>
      <c r="B139" s="1">
        <v>40577</v>
      </c>
      <c r="C139">
        <v>1</v>
      </c>
      <c r="D139">
        <v>0</v>
      </c>
      <c r="E139">
        <v>2</v>
      </c>
      <c r="F139">
        <v>13</v>
      </c>
      <c r="G139" t="b">
        <v>0</v>
      </c>
      <c r="H139">
        <v>4</v>
      </c>
      <c r="I139">
        <v>1</v>
      </c>
      <c r="J139">
        <v>0.2</v>
      </c>
      <c r="K139">
        <v>0.16669999999999999</v>
      </c>
      <c r="L139">
        <v>0.4</v>
      </c>
      <c r="M139">
        <v>0.41789999999999999</v>
      </c>
      <c r="N139">
        <v>4</v>
      </c>
      <c r="O139">
        <v>47</v>
      </c>
      <c r="P139">
        <v>51</v>
      </c>
    </row>
    <row r="140" spans="1:16" x14ac:dyDescent="0.3">
      <c r="A140">
        <v>749</v>
      </c>
      <c r="B140" s="1">
        <v>40577</v>
      </c>
      <c r="C140">
        <v>1</v>
      </c>
      <c r="D140">
        <v>0</v>
      </c>
      <c r="E140">
        <v>2</v>
      </c>
      <c r="F140">
        <v>14</v>
      </c>
      <c r="G140" t="b">
        <v>0</v>
      </c>
      <c r="H140">
        <v>4</v>
      </c>
      <c r="I140">
        <v>1</v>
      </c>
      <c r="J140">
        <v>0.22</v>
      </c>
      <c r="K140">
        <v>0.19700000000000001</v>
      </c>
      <c r="L140">
        <v>0.37</v>
      </c>
      <c r="M140">
        <v>0.3881</v>
      </c>
      <c r="N140">
        <v>4</v>
      </c>
      <c r="O140">
        <v>43</v>
      </c>
      <c r="P140">
        <v>47</v>
      </c>
    </row>
    <row r="141" spans="1:16" x14ac:dyDescent="0.3">
      <c r="A141">
        <v>750</v>
      </c>
      <c r="B141" s="1">
        <v>40577</v>
      </c>
      <c r="C141">
        <v>1</v>
      </c>
      <c r="D141">
        <v>0</v>
      </c>
      <c r="E141">
        <v>2</v>
      </c>
      <c r="F141">
        <v>15</v>
      </c>
      <c r="G141" t="b">
        <v>0</v>
      </c>
      <c r="H141">
        <v>4</v>
      </c>
      <c r="I141">
        <v>1</v>
      </c>
      <c r="J141">
        <v>0.22</v>
      </c>
      <c r="K141">
        <v>0.19700000000000001</v>
      </c>
      <c r="L141">
        <v>0.37</v>
      </c>
      <c r="M141">
        <v>0.32840000000000003</v>
      </c>
      <c r="N141">
        <v>4</v>
      </c>
      <c r="O141">
        <v>56</v>
      </c>
      <c r="P141">
        <v>60</v>
      </c>
    </row>
    <row r="142" spans="1:16" x14ac:dyDescent="0.3">
      <c r="A142">
        <v>751</v>
      </c>
      <c r="B142" s="1">
        <v>40577</v>
      </c>
      <c r="C142">
        <v>1</v>
      </c>
      <c r="D142">
        <v>0</v>
      </c>
      <c r="E142">
        <v>2</v>
      </c>
      <c r="F142">
        <v>16</v>
      </c>
      <c r="G142" t="b">
        <v>0</v>
      </c>
      <c r="H142">
        <v>4</v>
      </c>
      <c r="I142">
        <v>1</v>
      </c>
      <c r="J142">
        <v>0.22</v>
      </c>
      <c r="K142">
        <v>0.21210000000000001</v>
      </c>
      <c r="L142">
        <v>0.37</v>
      </c>
      <c r="M142">
        <v>0.25369999999999998</v>
      </c>
      <c r="N142">
        <v>5</v>
      </c>
      <c r="O142">
        <v>73</v>
      </c>
      <c r="P142">
        <v>78</v>
      </c>
    </row>
    <row r="143" spans="1:16" x14ac:dyDescent="0.3">
      <c r="A143">
        <v>752</v>
      </c>
      <c r="B143" s="1">
        <v>40577</v>
      </c>
      <c r="C143">
        <v>1</v>
      </c>
      <c r="D143">
        <v>0</v>
      </c>
      <c r="E143">
        <v>2</v>
      </c>
      <c r="F143">
        <v>17</v>
      </c>
      <c r="G143" t="b">
        <v>0</v>
      </c>
      <c r="H143">
        <v>4</v>
      </c>
      <c r="I143">
        <v>1</v>
      </c>
      <c r="J143">
        <v>0.2</v>
      </c>
      <c r="K143">
        <v>0.19700000000000001</v>
      </c>
      <c r="L143">
        <v>0.4</v>
      </c>
      <c r="M143">
        <v>0.19400000000000001</v>
      </c>
      <c r="N143">
        <v>5</v>
      </c>
      <c r="O143">
        <v>170</v>
      </c>
      <c r="P143">
        <v>175</v>
      </c>
    </row>
    <row r="144" spans="1:16" x14ac:dyDescent="0.3">
      <c r="A144">
        <v>753</v>
      </c>
      <c r="B144" s="1">
        <v>40577</v>
      </c>
      <c r="C144">
        <v>1</v>
      </c>
      <c r="D144">
        <v>0</v>
      </c>
      <c r="E144">
        <v>2</v>
      </c>
      <c r="F144">
        <v>18</v>
      </c>
      <c r="G144" t="b">
        <v>0</v>
      </c>
      <c r="H144">
        <v>4</v>
      </c>
      <c r="I144">
        <v>1</v>
      </c>
      <c r="J144">
        <v>0.2</v>
      </c>
      <c r="K144">
        <v>0.21210000000000001</v>
      </c>
      <c r="L144">
        <v>0.4</v>
      </c>
      <c r="M144">
        <v>0.16420000000000001</v>
      </c>
      <c r="N144">
        <v>2</v>
      </c>
      <c r="O144">
        <v>145</v>
      </c>
      <c r="P144">
        <v>147</v>
      </c>
    </row>
    <row r="145" spans="1:16" x14ac:dyDescent="0.3">
      <c r="A145">
        <v>754</v>
      </c>
      <c r="B145" s="1">
        <v>40577</v>
      </c>
      <c r="C145">
        <v>1</v>
      </c>
      <c r="D145">
        <v>0</v>
      </c>
      <c r="E145">
        <v>2</v>
      </c>
      <c r="F145">
        <v>19</v>
      </c>
      <c r="G145" t="b">
        <v>0</v>
      </c>
      <c r="H145">
        <v>4</v>
      </c>
      <c r="I145">
        <v>1</v>
      </c>
      <c r="J145">
        <v>0.2</v>
      </c>
      <c r="K145">
        <v>0.2576</v>
      </c>
      <c r="L145">
        <v>0.4</v>
      </c>
      <c r="M145">
        <v>0</v>
      </c>
      <c r="N145">
        <v>4</v>
      </c>
      <c r="O145">
        <v>92</v>
      </c>
      <c r="P145">
        <v>96</v>
      </c>
    </row>
    <row r="146" spans="1:16" x14ac:dyDescent="0.3">
      <c r="A146">
        <v>755</v>
      </c>
      <c r="B146" s="1">
        <v>40577</v>
      </c>
      <c r="C146">
        <v>1</v>
      </c>
      <c r="D146">
        <v>0</v>
      </c>
      <c r="E146">
        <v>2</v>
      </c>
      <c r="F146">
        <v>20</v>
      </c>
      <c r="G146" t="b">
        <v>0</v>
      </c>
      <c r="H146">
        <v>4</v>
      </c>
      <c r="I146">
        <v>1</v>
      </c>
      <c r="J146">
        <v>0.2</v>
      </c>
      <c r="K146">
        <v>0.2273</v>
      </c>
      <c r="L146">
        <v>0.47</v>
      </c>
      <c r="M146">
        <v>8.9599999999999999E-2</v>
      </c>
      <c r="N146">
        <v>1</v>
      </c>
      <c r="O146">
        <v>108</v>
      </c>
      <c r="P146">
        <v>109</v>
      </c>
    </row>
    <row r="147" spans="1:16" x14ac:dyDescent="0.3">
      <c r="A147">
        <v>756</v>
      </c>
      <c r="B147" s="1">
        <v>40577</v>
      </c>
      <c r="C147">
        <v>1</v>
      </c>
      <c r="D147">
        <v>0</v>
      </c>
      <c r="E147">
        <v>2</v>
      </c>
      <c r="F147">
        <v>21</v>
      </c>
      <c r="G147" t="b">
        <v>0</v>
      </c>
      <c r="H147">
        <v>4</v>
      </c>
      <c r="I147">
        <v>1</v>
      </c>
      <c r="J147">
        <v>0.18</v>
      </c>
      <c r="K147">
        <v>0.21210000000000001</v>
      </c>
      <c r="L147">
        <v>0.55000000000000004</v>
      </c>
      <c r="M147">
        <v>0.1045</v>
      </c>
      <c r="N147">
        <v>1</v>
      </c>
      <c r="O147">
        <v>53</v>
      </c>
      <c r="P147">
        <v>54</v>
      </c>
    </row>
    <row r="148" spans="1:16" x14ac:dyDescent="0.3">
      <c r="A148">
        <v>757</v>
      </c>
      <c r="B148" s="1">
        <v>40577</v>
      </c>
      <c r="C148">
        <v>1</v>
      </c>
      <c r="D148">
        <v>0</v>
      </c>
      <c r="E148">
        <v>2</v>
      </c>
      <c r="F148">
        <v>22</v>
      </c>
      <c r="G148" t="b">
        <v>0</v>
      </c>
      <c r="H148">
        <v>4</v>
      </c>
      <c r="I148">
        <v>1</v>
      </c>
      <c r="J148">
        <v>0.18</v>
      </c>
      <c r="K148">
        <v>0.21210000000000001</v>
      </c>
      <c r="L148">
        <v>0.51</v>
      </c>
      <c r="M148">
        <v>8.9599999999999999E-2</v>
      </c>
      <c r="N148">
        <v>2</v>
      </c>
      <c r="O148">
        <v>39</v>
      </c>
      <c r="P148">
        <v>41</v>
      </c>
    </row>
    <row r="149" spans="1:16" x14ac:dyDescent="0.3">
      <c r="A149">
        <v>758</v>
      </c>
      <c r="B149" s="1">
        <v>40577</v>
      </c>
      <c r="C149">
        <v>1</v>
      </c>
      <c r="D149">
        <v>0</v>
      </c>
      <c r="E149">
        <v>2</v>
      </c>
      <c r="F149">
        <v>23</v>
      </c>
      <c r="G149" t="b">
        <v>0</v>
      </c>
      <c r="H149">
        <v>4</v>
      </c>
      <c r="I149">
        <v>1</v>
      </c>
      <c r="J149">
        <v>0.2</v>
      </c>
      <c r="K149">
        <v>0.2273</v>
      </c>
      <c r="L149">
        <v>0.47</v>
      </c>
      <c r="M149">
        <v>0.1045</v>
      </c>
      <c r="N149">
        <v>4</v>
      </c>
      <c r="O149">
        <v>34</v>
      </c>
      <c r="P149">
        <v>38</v>
      </c>
    </row>
    <row r="150" spans="1:16" x14ac:dyDescent="0.3">
      <c r="A150">
        <v>759</v>
      </c>
      <c r="B150" s="1">
        <v>40578</v>
      </c>
      <c r="C150">
        <v>1</v>
      </c>
      <c r="D150">
        <v>0</v>
      </c>
      <c r="E150">
        <v>2</v>
      </c>
      <c r="F150">
        <v>0</v>
      </c>
      <c r="G150" t="b">
        <v>0</v>
      </c>
      <c r="H150">
        <v>5</v>
      </c>
      <c r="I150">
        <v>2</v>
      </c>
      <c r="J150">
        <v>0.2</v>
      </c>
      <c r="K150">
        <v>0.2576</v>
      </c>
      <c r="L150">
        <v>0.44</v>
      </c>
      <c r="M150">
        <v>0</v>
      </c>
      <c r="N150">
        <v>3</v>
      </c>
      <c r="O150">
        <v>10</v>
      </c>
      <c r="P150">
        <v>13</v>
      </c>
    </row>
    <row r="151" spans="1:16" x14ac:dyDescent="0.3">
      <c r="A151">
        <v>760</v>
      </c>
      <c r="B151" s="1">
        <v>40578</v>
      </c>
      <c r="C151">
        <v>1</v>
      </c>
      <c r="D151">
        <v>0</v>
      </c>
      <c r="E151">
        <v>2</v>
      </c>
      <c r="F151">
        <v>1</v>
      </c>
      <c r="G151" t="b">
        <v>0</v>
      </c>
      <c r="H151">
        <v>5</v>
      </c>
      <c r="I151">
        <v>2</v>
      </c>
      <c r="J151">
        <v>0.16</v>
      </c>
      <c r="K151">
        <v>0.2273</v>
      </c>
      <c r="L151">
        <v>0.59</v>
      </c>
      <c r="M151">
        <v>0</v>
      </c>
      <c r="N151">
        <v>0</v>
      </c>
      <c r="O151">
        <v>7</v>
      </c>
      <c r="P151">
        <v>7</v>
      </c>
    </row>
    <row r="152" spans="1:16" x14ac:dyDescent="0.3">
      <c r="A152">
        <v>761</v>
      </c>
      <c r="B152" s="1">
        <v>40578</v>
      </c>
      <c r="C152">
        <v>1</v>
      </c>
      <c r="D152">
        <v>0</v>
      </c>
      <c r="E152">
        <v>2</v>
      </c>
      <c r="F152">
        <v>2</v>
      </c>
      <c r="G152" t="b">
        <v>0</v>
      </c>
      <c r="H152">
        <v>5</v>
      </c>
      <c r="I152">
        <v>2</v>
      </c>
      <c r="J152">
        <v>0.14000000000000001</v>
      </c>
      <c r="K152">
        <v>0.16669999999999999</v>
      </c>
      <c r="L152">
        <v>0.63</v>
      </c>
      <c r="M152">
        <v>0.1045</v>
      </c>
      <c r="N152">
        <v>0</v>
      </c>
      <c r="O152">
        <v>1</v>
      </c>
      <c r="P152">
        <v>1</v>
      </c>
    </row>
    <row r="153" spans="1:16" x14ac:dyDescent="0.3">
      <c r="A153">
        <v>762</v>
      </c>
      <c r="B153" s="1">
        <v>40578</v>
      </c>
      <c r="C153">
        <v>1</v>
      </c>
      <c r="D153">
        <v>0</v>
      </c>
      <c r="E153">
        <v>2</v>
      </c>
      <c r="F153">
        <v>3</v>
      </c>
      <c r="G153" t="b">
        <v>0</v>
      </c>
      <c r="H153">
        <v>5</v>
      </c>
      <c r="I153">
        <v>2</v>
      </c>
      <c r="J153">
        <v>0.14000000000000001</v>
      </c>
      <c r="K153">
        <v>0.16669999999999999</v>
      </c>
      <c r="L153">
        <v>0.63</v>
      </c>
      <c r="M153">
        <v>0.1045</v>
      </c>
      <c r="N153">
        <v>0</v>
      </c>
      <c r="O153">
        <v>1</v>
      </c>
      <c r="P153">
        <v>1</v>
      </c>
    </row>
    <row r="154" spans="1:16" x14ac:dyDescent="0.3">
      <c r="A154">
        <v>763</v>
      </c>
      <c r="B154" s="1">
        <v>40578</v>
      </c>
      <c r="C154">
        <v>1</v>
      </c>
      <c r="D154">
        <v>0</v>
      </c>
      <c r="E154">
        <v>2</v>
      </c>
      <c r="F154">
        <v>5</v>
      </c>
      <c r="G154" t="b">
        <v>0</v>
      </c>
      <c r="H154">
        <v>5</v>
      </c>
      <c r="I154">
        <v>2</v>
      </c>
      <c r="J154">
        <v>0.14000000000000001</v>
      </c>
      <c r="K154">
        <v>0.1515</v>
      </c>
      <c r="L154">
        <v>0.63</v>
      </c>
      <c r="M154">
        <v>0.1343</v>
      </c>
      <c r="N154">
        <v>0</v>
      </c>
      <c r="O154">
        <v>7</v>
      </c>
      <c r="P154">
        <v>7</v>
      </c>
    </row>
    <row r="155" spans="1:16" x14ac:dyDescent="0.3">
      <c r="A155">
        <v>764</v>
      </c>
      <c r="B155" s="1">
        <v>40578</v>
      </c>
      <c r="C155">
        <v>1</v>
      </c>
      <c r="D155">
        <v>0</v>
      </c>
      <c r="E155">
        <v>2</v>
      </c>
      <c r="F155">
        <v>6</v>
      </c>
      <c r="G155" t="b">
        <v>0</v>
      </c>
      <c r="H155">
        <v>5</v>
      </c>
      <c r="I155">
        <v>2</v>
      </c>
      <c r="J155">
        <v>0.16</v>
      </c>
      <c r="K155">
        <v>0.2273</v>
      </c>
      <c r="L155">
        <v>0.55000000000000004</v>
      </c>
      <c r="M155">
        <v>0</v>
      </c>
      <c r="N155">
        <v>2</v>
      </c>
      <c r="O155">
        <v>26</v>
      </c>
      <c r="P155">
        <v>28</v>
      </c>
    </row>
    <row r="156" spans="1:16" x14ac:dyDescent="0.3">
      <c r="A156">
        <v>765</v>
      </c>
      <c r="B156" s="1">
        <v>40578</v>
      </c>
      <c r="C156">
        <v>1</v>
      </c>
      <c r="D156">
        <v>0</v>
      </c>
      <c r="E156">
        <v>2</v>
      </c>
      <c r="F156">
        <v>7</v>
      </c>
      <c r="G156" t="b">
        <v>0</v>
      </c>
      <c r="H156">
        <v>5</v>
      </c>
      <c r="I156">
        <v>1</v>
      </c>
      <c r="J156">
        <v>0.14000000000000001</v>
      </c>
      <c r="K156">
        <v>0.21210000000000001</v>
      </c>
      <c r="L156">
        <v>0.59</v>
      </c>
      <c r="M156">
        <v>0</v>
      </c>
      <c r="N156">
        <v>0</v>
      </c>
      <c r="O156">
        <v>87</v>
      </c>
      <c r="P156">
        <v>87</v>
      </c>
    </row>
    <row r="157" spans="1:16" x14ac:dyDescent="0.3">
      <c r="A157">
        <v>766</v>
      </c>
      <c r="B157" s="1">
        <v>40578</v>
      </c>
      <c r="C157">
        <v>1</v>
      </c>
      <c r="D157">
        <v>0</v>
      </c>
      <c r="E157">
        <v>2</v>
      </c>
      <c r="F157">
        <v>8</v>
      </c>
      <c r="G157" t="b">
        <v>0</v>
      </c>
      <c r="H157">
        <v>5</v>
      </c>
      <c r="I157">
        <v>1</v>
      </c>
      <c r="J157">
        <v>0.14000000000000001</v>
      </c>
      <c r="K157">
        <v>0.1515</v>
      </c>
      <c r="L157">
        <v>0.74</v>
      </c>
      <c r="M157">
        <v>0.1343</v>
      </c>
      <c r="N157">
        <v>3</v>
      </c>
      <c r="O157">
        <v>217</v>
      </c>
      <c r="P157">
        <v>220</v>
      </c>
    </row>
    <row r="158" spans="1:16" x14ac:dyDescent="0.3">
      <c r="A158">
        <v>767</v>
      </c>
      <c r="B158" s="1">
        <v>40578</v>
      </c>
      <c r="C158">
        <v>1</v>
      </c>
      <c r="D158">
        <v>0</v>
      </c>
      <c r="E158">
        <v>2</v>
      </c>
      <c r="F158">
        <v>9</v>
      </c>
      <c r="G158" t="b">
        <v>0</v>
      </c>
      <c r="H158">
        <v>5</v>
      </c>
      <c r="I158">
        <v>2</v>
      </c>
      <c r="J158">
        <v>0.16</v>
      </c>
      <c r="K158">
        <v>0.18179999999999999</v>
      </c>
      <c r="L158">
        <v>0.8</v>
      </c>
      <c r="M158">
        <v>0.1343</v>
      </c>
      <c r="N158">
        <v>3</v>
      </c>
      <c r="O158">
        <v>124</v>
      </c>
      <c r="P158">
        <v>127</v>
      </c>
    </row>
    <row r="159" spans="1:16" x14ac:dyDescent="0.3">
      <c r="A159">
        <v>768</v>
      </c>
      <c r="B159" s="1">
        <v>40578</v>
      </c>
      <c r="C159">
        <v>1</v>
      </c>
      <c r="D159">
        <v>0</v>
      </c>
      <c r="E159">
        <v>2</v>
      </c>
      <c r="F159">
        <v>10</v>
      </c>
      <c r="G159" t="b">
        <v>0</v>
      </c>
      <c r="H159">
        <v>5</v>
      </c>
      <c r="I159">
        <v>2</v>
      </c>
      <c r="J159">
        <v>0.2</v>
      </c>
      <c r="K159">
        <v>0.21210000000000001</v>
      </c>
      <c r="L159">
        <v>0.51</v>
      </c>
      <c r="M159">
        <v>0.1343</v>
      </c>
      <c r="N159">
        <v>5</v>
      </c>
      <c r="O159">
        <v>46</v>
      </c>
      <c r="P159">
        <v>51</v>
      </c>
    </row>
    <row r="160" spans="1:16" x14ac:dyDescent="0.3">
      <c r="A160">
        <v>769</v>
      </c>
      <c r="B160" s="1">
        <v>40578</v>
      </c>
      <c r="C160">
        <v>1</v>
      </c>
      <c r="D160">
        <v>0</v>
      </c>
      <c r="E160">
        <v>2</v>
      </c>
      <c r="F160">
        <v>11</v>
      </c>
      <c r="G160" t="b">
        <v>0</v>
      </c>
      <c r="H160">
        <v>5</v>
      </c>
      <c r="I160">
        <v>1</v>
      </c>
      <c r="J160">
        <v>0.22</v>
      </c>
      <c r="K160">
        <v>0.2273</v>
      </c>
      <c r="L160">
        <v>0.51</v>
      </c>
      <c r="M160">
        <v>0.16420000000000001</v>
      </c>
      <c r="N160">
        <v>3</v>
      </c>
      <c r="O160">
        <v>61</v>
      </c>
      <c r="P160">
        <v>64</v>
      </c>
    </row>
    <row r="161" spans="1:16" x14ac:dyDescent="0.3">
      <c r="A161">
        <v>770</v>
      </c>
      <c r="B161" s="1">
        <v>40578</v>
      </c>
      <c r="C161">
        <v>1</v>
      </c>
      <c r="D161">
        <v>0</v>
      </c>
      <c r="E161">
        <v>2</v>
      </c>
      <c r="F161">
        <v>12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0.48</v>
      </c>
      <c r="M161">
        <v>0.16420000000000001</v>
      </c>
      <c r="N161">
        <v>8</v>
      </c>
      <c r="O161">
        <v>78</v>
      </c>
      <c r="P161">
        <v>86</v>
      </c>
    </row>
    <row r="162" spans="1:16" x14ac:dyDescent="0.3">
      <c r="A162">
        <v>771</v>
      </c>
      <c r="B162" s="1">
        <v>40578</v>
      </c>
      <c r="C162">
        <v>1</v>
      </c>
      <c r="D162">
        <v>0</v>
      </c>
      <c r="E162">
        <v>2</v>
      </c>
      <c r="F162">
        <v>13</v>
      </c>
      <c r="G162" t="b">
        <v>0</v>
      </c>
      <c r="H162">
        <v>5</v>
      </c>
      <c r="I162">
        <v>2</v>
      </c>
      <c r="J162">
        <v>0.26</v>
      </c>
      <c r="K162">
        <v>0.2576</v>
      </c>
      <c r="L162">
        <v>0.5</v>
      </c>
      <c r="M162">
        <v>0.22389999999999999</v>
      </c>
      <c r="N162">
        <v>9</v>
      </c>
      <c r="O162">
        <v>73</v>
      </c>
      <c r="P162">
        <v>82</v>
      </c>
    </row>
    <row r="163" spans="1:16" x14ac:dyDescent="0.3">
      <c r="A163">
        <v>772</v>
      </c>
      <c r="B163" s="1">
        <v>40578</v>
      </c>
      <c r="C163">
        <v>1</v>
      </c>
      <c r="D163">
        <v>0</v>
      </c>
      <c r="E163">
        <v>2</v>
      </c>
      <c r="F163">
        <v>14</v>
      </c>
      <c r="G163" t="b">
        <v>0</v>
      </c>
      <c r="H163">
        <v>5</v>
      </c>
      <c r="I163">
        <v>2</v>
      </c>
      <c r="J163">
        <v>0.28000000000000003</v>
      </c>
      <c r="K163">
        <v>0.2727</v>
      </c>
      <c r="L163">
        <v>0.45</v>
      </c>
      <c r="M163">
        <v>0.16420000000000001</v>
      </c>
      <c r="N163">
        <v>15</v>
      </c>
      <c r="O163">
        <v>76</v>
      </c>
      <c r="P163">
        <v>91</v>
      </c>
    </row>
    <row r="164" spans="1:16" x14ac:dyDescent="0.3">
      <c r="A164">
        <v>773</v>
      </c>
      <c r="B164" s="1">
        <v>40578</v>
      </c>
      <c r="C164">
        <v>1</v>
      </c>
      <c r="D164">
        <v>0</v>
      </c>
      <c r="E164">
        <v>2</v>
      </c>
      <c r="F164">
        <v>15</v>
      </c>
      <c r="G164" t="b">
        <v>0</v>
      </c>
      <c r="H164">
        <v>5</v>
      </c>
      <c r="I164">
        <v>2</v>
      </c>
      <c r="J164">
        <v>0.28000000000000003</v>
      </c>
      <c r="K164">
        <v>0.2727</v>
      </c>
      <c r="L164">
        <v>0.48</v>
      </c>
      <c r="M164">
        <v>0.25369999999999998</v>
      </c>
      <c r="N164">
        <v>9</v>
      </c>
      <c r="O164">
        <v>81</v>
      </c>
      <c r="P164">
        <v>90</v>
      </c>
    </row>
    <row r="165" spans="1:16" x14ac:dyDescent="0.3">
      <c r="A165">
        <v>774</v>
      </c>
      <c r="B165" s="1">
        <v>40578</v>
      </c>
      <c r="C165">
        <v>1</v>
      </c>
      <c r="D165">
        <v>0</v>
      </c>
      <c r="E165">
        <v>2</v>
      </c>
      <c r="F165">
        <v>16</v>
      </c>
      <c r="G165" t="b">
        <v>0</v>
      </c>
      <c r="H165">
        <v>5</v>
      </c>
      <c r="I165">
        <v>2</v>
      </c>
      <c r="J165">
        <v>0.3</v>
      </c>
      <c r="K165">
        <v>0.28789999999999999</v>
      </c>
      <c r="L165">
        <v>0.42</v>
      </c>
      <c r="M165">
        <v>0.22389999999999999</v>
      </c>
      <c r="N165">
        <v>8</v>
      </c>
      <c r="O165">
        <v>91</v>
      </c>
      <c r="P165">
        <v>99</v>
      </c>
    </row>
    <row r="166" spans="1:16" x14ac:dyDescent="0.3">
      <c r="A166">
        <v>775</v>
      </c>
      <c r="B166" s="1">
        <v>40578</v>
      </c>
      <c r="C166">
        <v>1</v>
      </c>
      <c r="D166">
        <v>0</v>
      </c>
      <c r="E166">
        <v>2</v>
      </c>
      <c r="F166">
        <v>17</v>
      </c>
      <c r="G166" t="b">
        <v>0</v>
      </c>
      <c r="H166">
        <v>5</v>
      </c>
      <c r="I166">
        <v>2</v>
      </c>
      <c r="J166">
        <v>0.26</v>
      </c>
      <c r="K166">
        <v>0.2727</v>
      </c>
      <c r="L166">
        <v>0.56000000000000005</v>
      </c>
      <c r="M166">
        <v>0.1343</v>
      </c>
      <c r="N166">
        <v>10</v>
      </c>
      <c r="O166">
        <v>195</v>
      </c>
      <c r="P166">
        <v>205</v>
      </c>
    </row>
    <row r="167" spans="1:16" x14ac:dyDescent="0.3">
      <c r="A167">
        <v>776</v>
      </c>
      <c r="B167" s="1">
        <v>40578</v>
      </c>
      <c r="C167">
        <v>1</v>
      </c>
      <c r="D167">
        <v>0</v>
      </c>
      <c r="E167">
        <v>2</v>
      </c>
      <c r="F167">
        <v>18</v>
      </c>
      <c r="G167" t="b">
        <v>0</v>
      </c>
      <c r="H167">
        <v>5</v>
      </c>
      <c r="I167">
        <v>2</v>
      </c>
      <c r="J167">
        <v>0.24</v>
      </c>
      <c r="K167">
        <v>0.2576</v>
      </c>
      <c r="L167">
        <v>0.6</v>
      </c>
      <c r="M167">
        <v>0.1045</v>
      </c>
      <c r="N167">
        <v>3</v>
      </c>
      <c r="O167">
        <v>152</v>
      </c>
      <c r="P167">
        <v>155</v>
      </c>
    </row>
    <row r="168" spans="1:16" x14ac:dyDescent="0.3">
      <c r="A168">
        <v>777</v>
      </c>
      <c r="B168" s="1">
        <v>40578</v>
      </c>
      <c r="C168">
        <v>1</v>
      </c>
      <c r="D168">
        <v>0</v>
      </c>
      <c r="E168">
        <v>2</v>
      </c>
      <c r="F168">
        <v>19</v>
      </c>
      <c r="G168" t="b">
        <v>0</v>
      </c>
      <c r="H168">
        <v>5</v>
      </c>
      <c r="I168">
        <v>2</v>
      </c>
      <c r="J168">
        <v>0.24</v>
      </c>
      <c r="K168">
        <v>0.2424</v>
      </c>
      <c r="L168">
        <v>0.65</v>
      </c>
      <c r="M168">
        <v>0.1343</v>
      </c>
      <c r="N168">
        <v>1</v>
      </c>
      <c r="O168">
        <v>102</v>
      </c>
      <c r="P168">
        <v>103</v>
      </c>
    </row>
    <row r="169" spans="1:16" x14ac:dyDescent="0.3">
      <c r="A169">
        <v>778</v>
      </c>
      <c r="B169" s="1">
        <v>40578</v>
      </c>
      <c r="C169">
        <v>1</v>
      </c>
      <c r="D169">
        <v>0</v>
      </c>
      <c r="E169">
        <v>2</v>
      </c>
      <c r="F169">
        <v>20</v>
      </c>
      <c r="G169" t="b">
        <v>0</v>
      </c>
      <c r="H169">
        <v>5</v>
      </c>
      <c r="I169">
        <v>2</v>
      </c>
      <c r="J169">
        <v>0.24</v>
      </c>
      <c r="K169">
        <v>0.2424</v>
      </c>
      <c r="L169">
        <v>0.65</v>
      </c>
      <c r="M169">
        <v>0.16420000000000001</v>
      </c>
      <c r="N169">
        <v>2</v>
      </c>
      <c r="O169">
        <v>69</v>
      </c>
      <c r="P169">
        <v>71</v>
      </c>
    </row>
    <row r="170" spans="1:16" x14ac:dyDescent="0.3">
      <c r="A170">
        <v>779</v>
      </c>
      <c r="B170" s="1">
        <v>40578</v>
      </c>
      <c r="C170">
        <v>1</v>
      </c>
      <c r="D170">
        <v>0</v>
      </c>
      <c r="E170">
        <v>2</v>
      </c>
      <c r="F170">
        <v>21</v>
      </c>
      <c r="G170" t="b">
        <v>0</v>
      </c>
      <c r="H170">
        <v>5</v>
      </c>
      <c r="I170">
        <v>2</v>
      </c>
      <c r="J170">
        <v>0.24</v>
      </c>
      <c r="K170">
        <v>0.2424</v>
      </c>
      <c r="L170">
        <v>0.7</v>
      </c>
      <c r="M170">
        <v>0.16420000000000001</v>
      </c>
      <c r="N170">
        <v>2</v>
      </c>
      <c r="O170">
        <v>41</v>
      </c>
      <c r="P170">
        <v>43</v>
      </c>
    </row>
    <row r="171" spans="1:16" x14ac:dyDescent="0.3">
      <c r="A171">
        <v>780</v>
      </c>
      <c r="B171" s="1">
        <v>40578</v>
      </c>
      <c r="C171">
        <v>1</v>
      </c>
      <c r="D171">
        <v>0</v>
      </c>
      <c r="E171">
        <v>2</v>
      </c>
      <c r="F171">
        <v>22</v>
      </c>
      <c r="G171" t="b">
        <v>0</v>
      </c>
      <c r="H171">
        <v>5</v>
      </c>
      <c r="I171">
        <v>2</v>
      </c>
      <c r="J171">
        <v>0.24</v>
      </c>
      <c r="K171">
        <v>0.2424</v>
      </c>
      <c r="L171">
        <v>0.65</v>
      </c>
      <c r="M171">
        <v>0.16420000000000001</v>
      </c>
      <c r="N171">
        <v>1</v>
      </c>
      <c r="O171">
        <v>45</v>
      </c>
      <c r="P171">
        <v>46</v>
      </c>
    </row>
    <row r="172" spans="1:16" x14ac:dyDescent="0.3">
      <c r="A172">
        <v>781</v>
      </c>
      <c r="B172" s="1">
        <v>40578</v>
      </c>
      <c r="C172">
        <v>1</v>
      </c>
      <c r="D172">
        <v>0</v>
      </c>
      <c r="E172">
        <v>2</v>
      </c>
      <c r="F172">
        <v>23</v>
      </c>
      <c r="G172" t="b">
        <v>0</v>
      </c>
      <c r="H172">
        <v>5</v>
      </c>
      <c r="I172">
        <v>2</v>
      </c>
      <c r="J172">
        <v>0.24</v>
      </c>
      <c r="K172">
        <v>0.2424</v>
      </c>
      <c r="L172">
        <v>0.7</v>
      </c>
      <c r="M172">
        <v>0.1343</v>
      </c>
      <c r="N172">
        <v>1</v>
      </c>
      <c r="O172">
        <v>30</v>
      </c>
      <c r="P172">
        <v>31</v>
      </c>
    </row>
    <row r="173" spans="1:16" x14ac:dyDescent="0.3">
      <c r="A173">
        <v>782</v>
      </c>
      <c r="B173" s="1">
        <v>40579</v>
      </c>
      <c r="C173">
        <v>1</v>
      </c>
      <c r="D173">
        <v>0</v>
      </c>
      <c r="E173">
        <v>2</v>
      </c>
      <c r="F173">
        <v>0</v>
      </c>
      <c r="G173" t="b">
        <v>0</v>
      </c>
      <c r="H173">
        <v>6</v>
      </c>
      <c r="I173">
        <v>2</v>
      </c>
      <c r="J173">
        <v>0.24</v>
      </c>
      <c r="K173">
        <v>0.2424</v>
      </c>
      <c r="L173">
        <v>0.7</v>
      </c>
      <c r="M173">
        <v>0.16420000000000001</v>
      </c>
      <c r="N173">
        <v>3</v>
      </c>
      <c r="O173">
        <v>36</v>
      </c>
      <c r="P173">
        <v>39</v>
      </c>
    </row>
    <row r="174" spans="1:16" x14ac:dyDescent="0.3">
      <c r="A174">
        <v>783</v>
      </c>
      <c r="B174" s="1">
        <v>40579</v>
      </c>
      <c r="C174">
        <v>1</v>
      </c>
      <c r="D174">
        <v>0</v>
      </c>
      <c r="E174">
        <v>2</v>
      </c>
      <c r="F174">
        <v>1</v>
      </c>
      <c r="G174" t="b">
        <v>0</v>
      </c>
      <c r="H174">
        <v>6</v>
      </c>
      <c r="I174">
        <v>2</v>
      </c>
      <c r="J174">
        <v>0.24</v>
      </c>
      <c r="K174">
        <v>0.2424</v>
      </c>
      <c r="L174">
        <v>0.65</v>
      </c>
      <c r="M174">
        <v>0.16420000000000001</v>
      </c>
      <c r="N174">
        <v>1</v>
      </c>
      <c r="O174">
        <v>17</v>
      </c>
      <c r="P174">
        <v>18</v>
      </c>
    </row>
    <row r="175" spans="1:16" x14ac:dyDescent="0.3">
      <c r="A175">
        <v>784</v>
      </c>
      <c r="B175" s="1">
        <v>40579</v>
      </c>
      <c r="C175">
        <v>1</v>
      </c>
      <c r="D175">
        <v>0</v>
      </c>
      <c r="E175">
        <v>2</v>
      </c>
      <c r="F175">
        <v>2</v>
      </c>
      <c r="G175" t="b">
        <v>0</v>
      </c>
      <c r="H175">
        <v>6</v>
      </c>
      <c r="I175">
        <v>2</v>
      </c>
      <c r="J175">
        <v>0.24</v>
      </c>
      <c r="K175">
        <v>0.2424</v>
      </c>
      <c r="L175">
        <v>0.75</v>
      </c>
      <c r="M175">
        <v>0.16420000000000001</v>
      </c>
      <c r="N175">
        <v>5</v>
      </c>
      <c r="O175">
        <v>12</v>
      </c>
      <c r="P175">
        <v>17</v>
      </c>
    </row>
    <row r="176" spans="1:16" x14ac:dyDescent="0.3">
      <c r="A176">
        <v>785</v>
      </c>
      <c r="B176" s="1">
        <v>40579</v>
      </c>
      <c r="C176">
        <v>1</v>
      </c>
      <c r="D176">
        <v>0</v>
      </c>
      <c r="E176">
        <v>2</v>
      </c>
      <c r="F176">
        <v>3</v>
      </c>
      <c r="G176" t="b">
        <v>0</v>
      </c>
      <c r="H176">
        <v>6</v>
      </c>
      <c r="I176">
        <v>2</v>
      </c>
      <c r="J176">
        <v>0.24</v>
      </c>
      <c r="K176">
        <v>0.2424</v>
      </c>
      <c r="L176">
        <v>0.75</v>
      </c>
      <c r="M176">
        <v>0.16420000000000001</v>
      </c>
      <c r="N176">
        <v>1</v>
      </c>
      <c r="O176">
        <v>10</v>
      </c>
      <c r="P176">
        <v>11</v>
      </c>
    </row>
    <row r="177" spans="1:16" x14ac:dyDescent="0.3">
      <c r="A177">
        <v>786</v>
      </c>
      <c r="B177" s="1">
        <v>40579</v>
      </c>
      <c r="C177">
        <v>1</v>
      </c>
      <c r="D177">
        <v>0</v>
      </c>
      <c r="E177">
        <v>2</v>
      </c>
      <c r="F177">
        <v>4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0.93</v>
      </c>
      <c r="M177">
        <v>0.1343</v>
      </c>
      <c r="N177">
        <v>0</v>
      </c>
      <c r="O177">
        <v>8</v>
      </c>
      <c r="P177">
        <v>8</v>
      </c>
    </row>
    <row r="178" spans="1:16" x14ac:dyDescent="0.3">
      <c r="A178">
        <v>787</v>
      </c>
      <c r="B178" s="1">
        <v>40579</v>
      </c>
      <c r="C178">
        <v>1</v>
      </c>
      <c r="D178">
        <v>0</v>
      </c>
      <c r="E178">
        <v>2</v>
      </c>
      <c r="F178">
        <v>5</v>
      </c>
      <c r="G178" t="b">
        <v>0</v>
      </c>
      <c r="H178">
        <v>6</v>
      </c>
      <c r="I178">
        <v>3</v>
      </c>
      <c r="J178">
        <v>0.2</v>
      </c>
      <c r="K178">
        <v>0.2273</v>
      </c>
      <c r="L178">
        <v>1</v>
      </c>
      <c r="M178">
        <v>8.9599999999999999E-2</v>
      </c>
      <c r="N178">
        <v>0</v>
      </c>
      <c r="O178">
        <v>9</v>
      </c>
      <c r="P178">
        <v>9</v>
      </c>
    </row>
    <row r="179" spans="1:16" x14ac:dyDescent="0.3">
      <c r="A179">
        <v>788</v>
      </c>
      <c r="B179" s="1">
        <v>40579</v>
      </c>
      <c r="C179">
        <v>1</v>
      </c>
      <c r="D179">
        <v>0</v>
      </c>
      <c r="E179">
        <v>2</v>
      </c>
      <c r="F179">
        <v>6</v>
      </c>
      <c r="G179" t="b">
        <v>0</v>
      </c>
      <c r="H179">
        <v>6</v>
      </c>
      <c r="I179">
        <v>3</v>
      </c>
      <c r="J179">
        <v>0.2</v>
      </c>
      <c r="K179">
        <v>0.2576</v>
      </c>
      <c r="L179">
        <v>1</v>
      </c>
      <c r="M179">
        <v>0</v>
      </c>
      <c r="N179">
        <v>0</v>
      </c>
      <c r="O179">
        <v>4</v>
      </c>
      <c r="P179">
        <v>4</v>
      </c>
    </row>
    <row r="180" spans="1:16" x14ac:dyDescent="0.3">
      <c r="A180">
        <v>789</v>
      </c>
      <c r="B180" s="1">
        <v>40579</v>
      </c>
      <c r="C180">
        <v>1</v>
      </c>
      <c r="D180">
        <v>0</v>
      </c>
      <c r="E180">
        <v>2</v>
      </c>
      <c r="F180">
        <v>7</v>
      </c>
      <c r="G180" t="b">
        <v>0</v>
      </c>
      <c r="H180">
        <v>6</v>
      </c>
      <c r="I180">
        <v>3</v>
      </c>
      <c r="J180">
        <v>0.22</v>
      </c>
      <c r="K180">
        <v>0.2576</v>
      </c>
      <c r="L180">
        <v>0.93</v>
      </c>
      <c r="M180">
        <v>8.9599999999999999E-2</v>
      </c>
      <c r="N180">
        <v>0</v>
      </c>
      <c r="O180">
        <v>4</v>
      </c>
      <c r="P180">
        <v>4</v>
      </c>
    </row>
    <row r="181" spans="1:16" x14ac:dyDescent="0.3">
      <c r="A181">
        <v>790</v>
      </c>
      <c r="B181" s="1">
        <v>40579</v>
      </c>
      <c r="C181">
        <v>1</v>
      </c>
      <c r="D181">
        <v>0</v>
      </c>
      <c r="E181">
        <v>2</v>
      </c>
      <c r="F181">
        <v>8</v>
      </c>
      <c r="G181" t="b">
        <v>0</v>
      </c>
      <c r="H181">
        <v>6</v>
      </c>
      <c r="I181">
        <v>3</v>
      </c>
      <c r="J181">
        <v>0.2</v>
      </c>
      <c r="K181">
        <v>0.2273</v>
      </c>
      <c r="L181">
        <v>1</v>
      </c>
      <c r="M181">
        <v>8.9599999999999999E-2</v>
      </c>
      <c r="N181">
        <v>0</v>
      </c>
      <c r="O181">
        <v>10</v>
      </c>
      <c r="P181">
        <v>10</v>
      </c>
    </row>
    <row r="182" spans="1:16" x14ac:dyDescent="0.3">
      <c r="A182">
        <v>791</v>
      </c>
      <c r="B182" s="1">
        <v>40579</v>
      </c>
      <c r="C182">
        <v>1</v>
      </c>
      <c r="D182">
        <v>0</v>
      </c>
      <c r="E182">
        <v>2</v>
      </c>
      <c r="F182">
        <v>9</v>
      </c>
      <c r="G182" t="b">
        <v>0</v>
      </c>
      <c r="H182">
        <v>6</v>
      </c>
      <c r="I182">
        <v>3</v>
      </c>
      <c r="J182">
        <v>0.2</v>
      </c>
      <c r="K182">
        <v>0.2273</v>
      </c>
      <c r="L182">
        <v>1</v>
      </c>
      <c r="M182">
        <v>8.9599999999999999E-2</v>
      </c>
      <c r="N182">
        <v>3</v>
      </c>
      <c r="O182">
        <v>17</v>
      </c>
      <c r="P182">
        <v>20</v>
      </c>
    </row>
    <row r="183" spans="1:16" x14ac:dyDescent="0.3">
      <c r="A183">
        <v>792</v>
      </c>
      <c r="B183" s="1">
        <v>40579</v>
      </c>
      <c r="C183">
        <v>1</v>
      </c>
      <c r="D183">
        <v>0</v>
      </c>
      <c r="E183">
        <v>2</v>
      </c>
      <c r="F183">
        <v>10</v>
      </c>
      <c r="G183" t="b">
        <v>0</v>
      </c>
      <c r="H183">
        <v>6</v>
      </c>
      <c r="I183">
        <v>3</v>
      </c>
      <c r="J183">
        <v>0.2</v>
      </c>
      <c r="K183">
        <v>0.21210000000000001</v>
      </c>
      <c r="L183">
        <v>1</v>
      </c>
      <c r="M183">
        <v>0.1343</v>
      </c>
      <c r="N183">
        <v>3</v>
      </c>
      <c r="O183">
        <v>31</v>
      </c>
      <c r="P183">
        <v>34</v>
      </c>
    </row>
    <row r="184" spans="1:16" x14ac:dyDescent="0.3">
      <c r="A184">
        <v>793</v>
      </c>
      <c r="B184" s="1">
        <v>40579</v>
      </c>
      <c r="C184">
        <v>1</v>
      </c>
      <c r="D184">
        <v>0</v>
      </c>
      <c r="E184">
        <v>2</v>
      </c>
      <c r="F184">
        <v>11</v>
      </c>
      <c r="G184" t="b">
        <v>0</v>
      </c>
      <c r="H184">
        <v>6</v>
      </c>
      <c r="I184">
        <v>3</v>
      </c>
      <c r="J184">
        <v>0.22</v>
      </c>
      <c r="K184">
        <v>0.2273</v>
      </c>
      <c r="L184">
        <v>1</v>
      </c>
      <c r="M184">
        <v>0.1343</v>
      </c>
      <c r="N184">
        <v>1</v>
      </c>
      <c r="O184">
        <v>46</v>
      </c>
      <c r="P184">
        <v>47</v>
      </c>
    </row>
    <row r="185" spans="1:16" x14ac:dyDescent="0.3">
      <c r="A185">
        <v>794</v>
      </c>
      <c r="B185" s="1">
        <v>40579</v>
      </c>
      <c r="C185">
        <v>1</v>
      </c>
      <c r="D185">
        <v>0</v>
      </c>
      <c r="E185">
        <v>2</v>
      </c>
      <c r="F185">
        <v>12</v>
      </c>
      <c r="G185" t="b">
        <v>0</v>
      </c>
      <c r="H185">
        <v>6</v>
      </c>
      <c r="I185">
        <v>3</v>
      </c>
      <c r="J185">
        <v>0.22</v>
      </c>
      <c r="K185">
        <v>0.2273</v>
      </c>
      <c r="L185">
        <v>1</v>
      </c>
      <c r="M185">
        <v>0.16420000000000001</v>
      </c>
      <c r="N185">
        <v>10</v>
      </c>
      <c r="O185">
        <v>42</v>
      </c>
      <c r="P185">
        <v>52</v>
      </c>
    </row>
    <row r="186" spans="1:16" x14ac:dyDescent="0.3">
      <c r="A186">
        <v>795</v>
      </c>
      <c r="B186" s="1">
        <v>40579</v>
      </c>
      <c r="C186">
        <v>1</v>
      </c>
      <c r="D186">
        <v>0</v>
      </c>
      <c r="E186">
        <v>2</v>
      </c>
      <c r="F186">
        <v>13</v>
      </c>
      <c r="G186" t="b">
        <v>0</v>
      </c>
      <c r="H186">
        <v>6</v>
      </c>
      <c r="I186">
        <v>3</v>
      </c>
      <c r="J186">
        <v>0.22</v>
      </c>
      <c r="K186">
        <v>0.2273</v>
      </c>
      <c r="L186">
        <v>1</v>
      </c>
      <c r="M186">
        <v>0.16420000000000001</v>
      </c>
      <c r="N186">
        <v>10</v>
      </c>
      <c r="O186">
        <v>62</v>
      </c>
      <c r="P186">
        <v>72</v>
      </c>
    </row>
    <row r="187" spans="1:16" x14ac:dyDescent="0.3">
      <c r="A187">
        <v>796</v>
      </c>
      <c r="B187" s="1">
        <v>40579</v>
      </c>
      <c r="C187">
        <v>1</v>
      </c>
      <c r="D187">
        <v>0</v>
      </c>
      <c r="E187">
        <v>2</v>
      </c>
      <c r="F187">
        <v>14</v>
      </c>
      <c r="G187" t="b">
        <v>0</v>
      </c>
      <c r="H187">
        <v>6</v>
      </c>
      <c r="I187">
        <v>3</v>
      </c>
      <c r="J187">
        <v>0.22</v>
      </c>
      <c r="K187">
        <v>0.2727</v>
      </c>
      <c r="L187">
        <v>1</v>
      </c>
      <c r="M187">
        <v>0</v>
      </c>
      <c r="N187">
        <v>5</v>
      </c>
      <c r="O187">
        <v>50</v>
      </c>
      <c r="P187">
        <v>55</v>
      </c>
    </row>
    <row r="188" spans="1:16" x14ac:dyDescent="0.3">
      <c r="A188">
        <v>797</v>
      </c>
      <c r="B188" s="1">
        <v>40579</v>
      </c>
      <c r="C188">
        <v>1</v>
      </c>
      <c r="D188">
        <v>0</v>
      </c>
      <c r="E188">
        <v>2</v>
      </c>
      <c r="F188">
        <v>15</v>
      </c>
      <c r="G188" t="b">
        <v>0</v>
      </c>
      <c r="H188">
        <v>6</v>
      </c>
      <c r="I188">
        <v>3</v>
      </c>
      <c r="J188">
        <v>0.22</v>
      </c>
      <c r="K188">
        <v>0.2727</v>
      </c>
      <c r="L188">
        <v>1</v>
      </c>
      <c r="M188">
        <v>0</v>
      </c>
      <c r="N188">
        <v>11</v>
      </c>
      <c r="O188">
        <v>49</v>
      </c>
      <c r="P188">
        <v>60</v>
      </c>
    </row>
    <row r="189" spans="1:16" x14ac:dyDescent="0.3">
      <c r="A189">
        <v>798</v>
      </c>
      <c r="B189" s="1">
        <v>40579</v>
      </c>
      <c r="C189">
        <v>1</v>
      </c>
      <c r="D189">
        <v>0</v>
      </c>
      <c r="E189">
        <v>2</v>
      </c>
      <c r="F189">
        <v>16</v>
      </c>
      <c r="G189" t="b">
        <v>0</v>
      </c>
      <c r="H189">
        <v>6</v>
      </c>
      <c r="I189">
        <v>3</v>
      </c>
      <c r="J189">
        <v>0.22</v>
      </c>
      <c r="K189">
        <v>0.2273</v>
      </c>
      <c r="L189">
        <v>1</v>
      </c>
      <c r="M189">
        <v>0.1343</v>
      </c>
      <c r="N189">
        <v>8</v>
      </c>
      <c r="O189">
        <v>63</v>
      </c>
      <c r="P189">
        <v>71</v>
      </c>
    </row>
    <row r="190" spans="1:16" x14ac:dyDescent="0.3">
      <c r="A190">
        <v>799</v>
      </c>
      <c r="B190" s="1">
        <v>40579</v>
      </c>
      <c r="C190">
        <v>1</v>
      </c>
      <c r="D190">
        <v>0</v>
      </c>
      <c r="E190">
        <v>2</v>
      </c>
      <c r="F190">
        <v>17</v>
      </c>
      <c r="G190" t="b">
        <v>0</v>
      </c>
      <c r="H190">
        <v>6</v>
      </c>
      <c r="I190">
        <v>2</v>
      </c>
      <c r="J190">
        <v>0.24</v>
      </c>
      <c r="K190">
        <v>0.21210000000000001</v>
      </c>
      <c r="L190">
        <v>1</v>
      </c>
      <c r="M190">
        <v>0.28360000000000002</v>
      </c>
      <c r="N190">
        <v>14</v>
      </c>
      <c r="O190">
        <v>64</v>
      </c>
      <c r="P190">
        <v>78</v>
      </c>
    </row>
    <row r="191" spans="1:16" x14ac:dyDescent="0.3">
      <c r="A191">
        <v>800</v>
      </c>
      <c r="B191" s="1">
        <v>40579</v>
      </c>
      <c r="C191">
        <v>1</v>
      </c>
      <c r="D191">
        <v>0</v>
      </c>
      <c r="E191">
        <v>2</v>
      </c>
      <c r="F191">
        <v>18</v>
      </c>
      <c r="G191" t="b">
        <v>0</v>
      </c>
      <c r="H191">
        <v>6</v>
      </c>
      <c r="I191">
        <v>2</v>
      </c>
      <c r="J191">
        <v>0.28000000000000003</v>
      </c>
      <c r="K191">
        <v>0.2424</v>
      </c>
      <c r="L191">
        <v>0.93</v>
      </c>
      <c r="M191">
        <v>0.44779999999999998</v>
      </c>
      <c r="N191">
        <v>2</v>
      </c>
      <c r="O191">
        <v>81</v>
      </c>
      <c r="P191">
        <v>83</v>
      </c>
    </row>
    <row r="192" spans="1:16" x14ac:dyDescent="0.3">
      <c r="A192">
        <v>801</v>
      </c>
      <c r="B192" s="1">
        <v>40579</v>
      </c>
      <c r="C192">
        <v>1</v>
      </c>
      <c r="D192">
        <v>0</v>
      </c>
      <c r="E192">
        <v>2</v>
      </c>
      <c r="F192">
        <v>19</v>
      </c>
      <c r="G192" t="b">
        <v>0</v>
      </c>
      <c r="H192">
        <v>6</v>
      </c>
      <c r="I192">
        <v>2</v>
      </c>
      <c r="J192">
        <v>0.28000000000000003</v>
      </c>
      <c r="K192">
        <v>0.2424</v>
      </c>
      <c r="L192">
        <v>0.93</v>
      </c>
      <c r="M192">
        <v>0.44779999999999998</v>
      </c>
      <c r="N192">
        <v>6</v>
      </c>
      <c r="O192">
        <v>78</v>
      </c>
      <c r="P192">
        <v>84</v>
      </c>
    </row>
    <row r="193" spans="1:16" x14ac:dyDescent="0.3">
      <c r="A193">
        <v>802</v>
      </c>
      <c r="B193" s="1">
        <v>40579</v>
      </c>
      <c r="C193">
        <v>1</v>
      </c>
      <c r="D193">
        <v>0</v>
      </c>
      <c r="E193">
        <v>2</v>
      </c>
      <c r="F193">
        <v>20</v>
      </c>
      <c r="G193" t="b">
        <v>0</v>
      </c>
      <c r="H193">
        <v>6</v>
      </c>
      <c r="I193">
        <v>1</v>
      </c>
      <c r="J193">
        <v>0.3</v>
      </c>
      <c r="K193">
        <v>0.28789999999999999</v>
      </c>
      <c r="L193">
        <v>0.87</v>
      </c>
      <c r="M193">
        <v>0.25369999999999998</v>
      </c>
      <c r="N193">
        <v>5</v>
      </c>
      <c r="O193">
        <v>64</v>
      </c>
      <c r="P193">
        <v>69</v>
      </c>
    </row>
    <row r="194" spans="1:16" x14ac:dyDescent="0.3">
      <c r="A194">
        <v>803</v>
      </c>
      <c r="B194" s="1">
        <v>40579</v>
      </c>
      <c r="C194">
        <v>1</v>
      </c>
      <c r="D194">
        <v>0</v>
      </c>
      <c r="E194">
        <v>2</v>
      </c>
      <c r="F194">
        <v>21</v>
      </c>
      <c r="G194" t="b">
        <v>0</v>
      </c>
      <c r="H194">
        <v>6</v>
      </c>
      <c r="I194">
        <v>1</v>
      </c>
      <c r="J194">
        <v>0.26</v>
      </c>
      <c r="K194">
        <v>0.2576</v>
      </c>
      <c r="L194">
        <v>1</v>
      </c>
      <c r="M194">
        <v>0.19400000000000001</v>
      </c>
      <c r="N194">
        <v>3</v>
      </c>
      <c r="O194">
        <v>53</v>
      </c>
      <c r="P194">
        <v>56</v>
      </c>
    </row>
    <row r="195" spans="1:16" x14ac:dyDescent="0.3">
      <c r="A195">
        <v>804</v>
      </c>
      <c r="B195" s="1">
        <v>40579</v>
      </c>
      <c r="C195">
        <v>1</v>
      </c>
      <c r="D195">
        <v>0</v>
      </c>
      <c r="E195">
        <v>2</v>
      </c>
      <c r="F195">
        <v>22</v>
      </c>
      <c r="G195" t="b">
        <v>0</v>
      </c>
      <c r="H195">
        <v>6</v>
      </c>
      <c r="I195">
        <v>1</v>
      </c>
      <c r="J195">
        <v>0.26</v>
      </c>
      <c r="K195">
        <v>0.2727</v>
      </c>
      <c r="L195">
        <v>0.93</v>
      </c>
      <c r="M195">
        <v>0.1343</v>
      </c>
      <c r="N195">
        <v>2</v>
      </c>
      <c r="O195">
        <v>43</v>
      </c>
      <c r="P195">
        <v>45</v>
      </c>
    </row>
    <row r="196" spans="1:16" x14ac:dyDescent="0.3">
      <c r="A196">
        <v>805</v>
      </c>
      <c r="B196" s="1">
        <v>40579</v>
      </c>
      <c r="C196">
        <v>1</v>
      </c>
      <c r="D196">
        <v>0</v>
      </c>
      <c r="E196">
        <v>2</v>
      </c>
      <c r="F196">
        <v>23</v>
      </c>
      <c r="G196" t="b">
        <v>0</v>
      </c>
      <c r="H196">
        <v>6</v>
      </c>
      <c r="I196">
        <v>1</v>
      </c>
      <c r="J196">
        <v>0.26</v>
      </c>
      <c r="K196">
        <v>0.2576</v>
      </c>
      <c r="L196">
        <v>0.93</v>
      </c>
      <c r="M196">
        <v>0.22389999999999999</v>
      </c>
      <c r="N196">
        <v>7</v>
      </c>
      <c r="O196">
        <v>52</v>
      </c>
      <c r="P196">
        <v>59</v>
      </c>
    </row>
    <row r="197" spans="1:16" x14ac:dyDescent="0.3">
      <c r="A197">
        <v>806</v>
      </c>
      <c r="B197" s="1">
        <v>40580</v>
      </c>
      <c r="C197">
        <v>1</v>
      </c>
      <c r="D197">
        <v>0</v>
      </c>
      <c r="E197">
        <v>2</v>
      </c>
      <c r="F197">
        <v>0</v>
      </c>
      <c r="G197" t="b">
        <v>0</v>
      </c>
      <c r="H197">
        <v>0</v>
      </c>
      <c r="I197">
        <v>1</v>
      </c>
      <c r="J197">
        <v>0.26</v>
      </c>
      <c r="K197">
        <v>0.2576</v>
      </c>
      <c r="L197">
        <v>0.7</v>
      </c>
      <c r="M197">
        <v>0.19400000000000001</v>
      </c>
      <c r="N197">
        <v>2</v>
      </c>
      <c r="O197">
        <v>37</v>
      </c>
      <c r="P197">
        <v>39</v>
      </c>
    </row>
    <row r="198" spans="1:16" x14ac:dyDescent="0.3">
      <c r="A198">
        <v>807</v>
      </c>
      <c r="B198" s="1">
        <v>40580</v>
      </c>
      <c r="C198">
        <v>1</v>
      </c>
      <c r="D198">
        <v>0</v>
      </c>
      <c r="E198">
        <v>2</v>
      </c>
      <c r="F198">
        <v>1</v>
      </c>
      <c r="G198" t="b">
        <v>0</v>
      </c>
      <c r="H198">
        <v>0</v>
      </c>
      <c r="I198">
        <v>1</v>
      </c>
      <c r="J198">
        <v>0.26</v>
      </c>
      <c r="K198">
        <v>0.2273</v>
      </c>
      <c r="L198">
        <v>0.65</v>
      </c>
      <c r="M198">
        <v>0.41789999999999999</v>
      </c>
      <c r="N198">
        <v>4</v>
      </c>
      <c r="O198">
        <v>40</v>
      </c>
      <c r="P198">
        <v>44</v>
      </c>
    </row>
    <row r="199" spans="1:16" x14ac:dyDescent="0.3">
      <c r="A199">
        <v>808</v>
      </c>
      <c r="B199" s="1">
        <v>40580</v>
      </c>
      <c r="C199">
        <v>1</v>
      </c>
      <c r="D199">
        <v>0</v>
      </c>
      <c r="E199">
        <v>2</v>
      </c>
      <c r="F199">
        <v>2</v>
      </c>
      <c r="G199" t="b">
        <v>0</v>
      </c>
      <c r="H199">
        <v>0</v>
      </c>
      <c r="I199">
        <v>1</v>
      </c>
      <c r="J199">
        <v>0.26</v>
      </c>
      <c r="K199">
        <v>0.2273</v>
      </c>
      <c r="L199">
        <v>0.6</v>
      </c>
      <c r="M199">
        <v>0.32840000000000003</v>
      </c>
      <c r="N199">
        <v>0</v>
      </c>
      <c r="O199">
        <v>20</v>
      </c>
      <c r="P199">
        <v>20</v>
      </c>
    </row>
    <row r="200" spans="1:16" x14ac:dyDescent="0.3">
      <c r="A200">
        <v>809</v>
      </c>
      <c r="B200" s="1">
        <v>40580</v>
      </c>
      <c r="C200">
        <v>1</v>
      </c>
      <c r="D200">
        <v>0</v>
      </c>
      <c r="E200">
        <v>2</v>
      </c>
      <c r="F200">
        <v>3</v>
      </c>
      <c r="G200" t="b">
        <v>0</v>
      </c>
      <c r="H200">
        <v>0</v>
      </c>
      <c r="I200">
        <v>1</v>
      </c>
      <c r="J200">
        <v>0.26</v>
      </c>
      <c r="K200">
        <v>0.28789999999999999</v>
      </c>
      <c r="L200">
        <v>0.6</v>
      </c>
      <c r="M200">
        <v>8.9599999999999999E-2</v>
      </c>
      <c r="N200">
        <v>3</v>
      </c>
      <c r="O200">
        <v>10</v>
      </c>
      <c r="P200">
        <v>13</v>
      </c>
    </row>
    <row r="201" spans="1:16" x14ac:dyDescent="0.3">
      <c r="A201">
        <v>810</v>
      </c>
      <c r="B201" s="1">
        <v>40580</v>
      </c>
      <c r="C201">
        <v>1</v>
      </c>
      <c r="D201">
        <v>0</v>
      </c>
      <c r="E201">
        <v>2</v>
      </c>
      <c r="F201">
        <v>4</v>
      </c>
      <c r="G201" t="b">
        <v>0</v>
      </c>
      <c r="H201">
        <v>0</v>
      </c>
      <c r="I201">
        <v>1</v>
      </c>
      <c r="J201">
        <v>0.26</v>
      </c>
      <c r="K201">
        <v>0.2273</v>
      </c>
      <c r="L201">
        <v>0.6</v>
      </c>
      <c r="M201">
        <v>0.35820000000000002</v>
      </c>
      <c r="N201">
        <v>0</v>
      </c>
      <c r="O201">
        <v>2</v>
      </c>
      <c r="P201">
        <v>2</v>
      </c>
    </row>
    <row r="202" spans="1:16" x14ac:dyDescent="0.3">
      <c r="A202">
        <v>811</v>
      </c>
      <c r="B202" s="1">
        <v>40580</v>
      </c>
      <c r="C202">
        <v>1</v>
      </c>
      <c r="D202">
        <v>0</v>
      </c>
      <c r="E202">
        <v>2</v>
      </c>
      <c r="F202">
        <v>5</v>
      </c>
      <c r="G202" t="b">
        <v>0</v>
      </c>
      <c r="H202">
        <v>0</v>
      </c>
      <c r="I202">
        <v>1</v>
      </c>
      <c r="J202">
        <v>0.26</v>
      </c>
      <c r="K202">
        <v>0.2576</v>
      </c>
      <c r="L202">
        <v>0.6</v>
      </c>
      <c r="M202">
        <v>0.22389999999999999</v>
      </c>
      <c r="N202">
        <v>0</v>
      </c>
      <c r="O202">
        <v>1</v>
      </c>
      <c r="P202">
        <v>1</v>
      </c>
    </row>
    <row r="203" spans="1:16" x14ac:dyDescent="0.3">
      <c r="A203">
        <v>812</v>
      </c>
      <c r="B203" s="1">
        <v>40580</v>
      </c>
      <c r="C203">
        <v>1</v>
      </c>
      <c r="D203">
        <v>0</v>
      </c>
      <c r="E203">
        <v>2</v>
      </c>
      <c r="F203">
        <v>6</v>
      </c>
      <c r="G203" t="b">
        <v>0</v>
      </c>
      <c r="H203">
        <v>0</v>
      </c>
      <c r="I203">
        <v>1</v>
      </c>
      <c r="J203">
        <v>0.26</v>
      </c>
      <c r="K203">
        <v>0.2576</v>
      </c>
      <c r="L203">
        <v>0.6</v>
      </c>
      <c r="M203">
        <v>0.22389999999999999</v>
      </c>
      <c r="N203">
        <v>0</v>
      </c>
      <c r="O203">
        <v>1</v>
      </c>
      <c r="P203">
        <v>1</v>
      </c>
    </row>
    <row r="204" spans="1:16" x14ac:dyDescent="0.3">
      <c r="A204">
        <v>813</v>
      </c>
      <c r="B204" s="1">
        <v>40580</v>
      </c>
      <c r="C204">
        <v>1</v>
      </c>
      <c r="D204">
        <v>0</v>
      </c>
      <c r="E204">
        <v>2</v>
      </c>
      <c r="F204">
        <v>7</v>
      </c>
      <c r="G204" t="b">
        <v>0</v>
      </c>
      <c r="H204">
        <v>0</v>
      </c>
      <c r="I204">
        <v>1</v>
      </c>
      <c r="J204">
        <v>0.24</v>
      </c>
      <c r="K204">
        <v>0.2424</v>
      </c>
      <c r="L204">
        <v>0.65</v>
      </c>
      <c r="M204">
        <v>0.16420000000000001</v>
      </c>
      <c r="N204">
        <v>0</v>
      </c>
      <c r="O204">
        <v>8</v>
      </c>
      <c r="P204">
        <v>8</v>
      </c>
    </row>
    <row r="205" spans="1:16" x14ac:dyDescent="0.3">
      <c r="A205">
        <v>814</v>
      </c>
      <c r="B205" s="1">
        <v>40580</v>
      </c>
      <c r="C205">
        <v>1</v>
      </c>
      <c r="D205">
        <v>0</v>
      </c>
      <c r="E205">
        <v>2</v>
      </c>
      <c r="F205">
        <v>8</v>
      </c>
      <c r="G205" t="b">
        <v>0</v>
      </c>
      <c r="H205">
        <v>0</v>
      </c>
      <c r="I205">
        <v>1</v>
      </c>
      <c r="J205">
        <v>0.24</v>
      </c>
      <c r="K205">
        <v>0.2576</v>
      </c>
      <c r="L205">
        <v>0.65</v>
      </c>
      <c r="M205">
        <v>0.1045</v>
      </c>
      <c r="N205">
        <v>2</v>
      </c>
      <c r="O205">
        <v>21</v>
      </c>
      <c r="P205">
        <v>23</v>
      </c>
    </row>
    <row r="206" spans="1:16" x14ac:dyDescent="0.3">
      <c r="A206">
        <v>815</v>
      </c>
      <c r="B206" s="1">
        <v>40580</v>
      </c>
      <c r="C206">
        <v>1</v>
      </c>
      <c r="D206">
        <v>0</v>
      </c>
      <c r="E206">
        <v>2</v>
      </c>
      <c r="F206">
        <v>9</v>
      </c>
      <c r="G206" t="b">
        <v>0</v>
      </c>
      <c r="H206">
        <v>0</v>
      </c>
      <c r="I206">
        <v>1</v>
      </c>
      <c r="J206">
        <v>0.28000000000000003</v>
      </c>
      <c r="K206">
        <v>0.28789999999999999</v>
      </c>
      <c r="L206">
        <v>0.56000000000000005</v>
      </c>
      <c r="M206">
        <v>0.1045</v>
      </c>
      <c r="N206">
        <v>7</v>
      </c>
      <c r="O206">
        <v>38</v>
      </c>
      <c r="P206">
        <v>45</v>
      </c>
    </row>
    <row r="207" spans="1:16" x14ac:dyDescent="0.3">
      <c r="A207">
        <v>816</v>
      </c>
      <c r="B207" s="1">
        <v>40580</v>
      </c>
      <c r="C207">
        <v>1</v>
      </c>
      <c r="D207">
        <v>0</v>
      </c>
      <c r="E207">
        <v>2</v>
      </c>
      <c r="F207">
        <v>10</v>
      </c>
      <c r="G207" t="b">
        <v>0</v>
      </c>
      <c r="H207">
        <v>0</v>
      </c>
      <c r="I207">
        <v>1</v>
      </c>
      <c r="J207">
        <v>0.3</v>
      </c>
      <c r="K207">
        <v>0.28789999999999999</v>
      </c>
      <c r="L207">
        <v>0.52</v>
      </c>
      <c r="M207">
        <v>0.25369999999999998</v>
      </c>
      <c r="N207">
        <v>15</v>
      </c>
      <c r="O207">
        <v>74</v>
      </c>
      <c r="P207">
        <v>89</v>
      </c>
    </row>
    <row r="208" spans="1:16" x14ac:dyDescent="0.3">
      <c r="A208">
        <v>817</v>
      </c>
      <c r="B208" s="1">
        <v>40580</v>
      </c>
      <c r="C208">
        <v>1</v>
      </c>
      <c r="D208">
        <v>0</v>
      </c>
      <c r="E208">
        <v>2</v>
      </c>
      <c r="F208">
        <v>11</v>
      </c>
      <c r="G208" t="b">
        <v>0</v>
      </c>
      <c r="H208">
        <v>0</v>
      </c>
      <c r="I208">
        <v>1</v>
      </c>
      <c r="J208">
        <v>0.32</v>
      </c>
      <c r="K208">
        <v>0.30299999999999999</v>
      </c>
      <c r="L208">
        <v>0.49</v>
      </c>
      <c r="M208">
        <v>0.25369999999999998</v>
      </c>
      <c r="N208">
        <v>28</v>
      </c>
      <c r="O208">
        <v>89</v>
      </c>
      <c r="P208">
        <v>117</v>
      </c>
    </row>
    <row r="209" spans="1:16" x14ac:dyDescent="0.3">
      <c r="A209">
        <v>818</v>
      </c>
      <c r="B209" s="1">
        <v>40580</v>
      </c>
      <c r="C209">
        <v>1</v>
      </c>
      <c r="D209">
        <v>0</v>
      </c>
      <c r="E209">
        <v>2</v>
      </c>
      <c r="F209">
        <v>12</v>
      </c>
      <c r="G209" t="b">
        <v>0</v>
      </c>
      <c r="H209">
        <v>0</v>
      </c>
      <c r="I209">
        <v>1</v>
      </c>
      <c r="J209">
        <v>0.34</v>
      </c>
      <c r="K209">
        <v>0.33329999999999999</v>
      </c>
      <c r="L209">
        <v>0.46</v>
      </c>
      <c r="M209">
        <v>0</v>
      </c>
      <c r="N209">
        <v>48</v>
      </c>
      <c r="O209">
        <v>126</v>
      </c>
      <c r="P209">
        <v>174</v>
      </c>
    </row>
    <row r="210" spans="1:16" x14ac:dyDescent="0.3">
      <c r="A210">
        <v>819</v>
      </c>
      <c r="B210" s="1">
        <v>40580</v>
      </c>
      <c r="C210">
        <v>1</v>
      </c>
      <c r="D210">
        <v>0</v>
      </c>
      <c r="E210">
        <v>2</v>
      </c>
      <c r="F210">
        <v>13</v>
      </c>
      <c r="G210" t="b">
        <v>0</v>
      </c>
      <c r="H210">
        <v>0</v>
      </c>
      <c r="I210">
        <v>1</v>
      </c>
      <c r="J210">
        <v>0.34</v>
      </c>
      <c r="K210">
        <v>0.36359999999999998</v>
      </c>
      <c r="L210">
        <v>0.46</v>
      </c>
      <c r="M210">
        <v>0</v>
      </c>
      <c r="N210">
        <v>47</v>
      </c>
      <c r="O210">
        <v>135</v>
      </c>
      <c r="P210">
        <v>182</v>
      </c>
    </row>
    <row r="211" spans="1:16" x14ac:dyDescent="0.3">
      <c r="A211">
        <v>820</v>
      </c>
      <c r="B211" s="1">
        <v>40580</v>
      </c>
      <c r="C211">
        <v>1</v>
      </c>
      <c r="D211">
        <v>0</v>
      </c>
      <c r="E211">
        <v>2</v>
      </c>
      <c r="F211">
        <v>14</v>
      </c>
      <c r="G211" t="b">
        <v>0</v>
      </c>
      <c r="H211">
        <v>0</v>
      </c>
      <c r="I211">
        <v>1</v>
      </c>
      <c r="J211">
        <v>0.34</v>
      </c>
      <c r="K211">
        <v>0.34849999999999998</v>
      </c>
      <c r="L211">
        <v>0.46</v>
      </c>
      <c r="M211">
        <v>8.9599999999999999E-2</v>
      </c>
      <c r="N211">
        <v>47</v>
      </c>
      <c r="O211">
        <v>114</v>
      </c>
      <c r="P211">
        <v>161</v>
      </c>
    </row>
    <row r="212" spans="1:16" x14ac:dyDescent="0.3">
      <c r="A212">
        <v>821</v>
      </c>
      <c r="B212" s="1">
        <v>40580</v>
      </c>
      <c r="C212">
        <v>1</v>
      </c>
      <c r="D212">
        <v>0</v>
      </c>
      <c r="E212">
        <v>2</v>
      </c>
      <c r="F212">
        <v>15</v>
      </c>
      <c r="G212" t="b">
        <v>0</v>
      </c>
      <c r="H212">
        <v>0</v>
      </c>
      <c r="I212">
        <v>1</v>
      </c>
      <c r="J212">
        <v>0.34</v>
      </c>
      <c r="K212">
        <v>0.34849999999999998</v>
      </c>
      <c r="L212">
        <v>0.46</v>
      </c>
      <c r="M212">
        <v>8.9599999999999999E-2</v>
      </c>
      <c r="N212">
        <v>52</v>
      </c>
      <c r="O212">
        <v>130</v>
      </c>
      <c r="P212">
        <v>182</v>
      </c>
    </row>
    <row r="213" spans="1:16" x14ac:dyDescent="0.3">
      <c r="A213">
        <v>822</v>
      </c>
      <c r="B213" s="1">
        <v>40580</v>
      </c>
      <c r="C213">
        <v>1</v>
      </c>
      <c r="D213">
        <v>0</v>
      </c>
      <c r="E213">
        <v>2</v>
      </c>
      <c r="F213">
        <v>16</v>
      </c>
      <c r="G213" t="b">
        <v>0</v>
      </c>
      <c r="H213">
        <v>0</v>
      </c>
      <c r="I213">
        <v>1</v>
      </c>
      <c r="J213">
        <v>0.34</v>
      </c>
      <c r="K213">
        <v>0.34849999999999998</v>
      </c>
      <c r="L213">
        <v>0.49</v>
      </c>
      <c r="M213">
        <v>0.1045</v>
      </c>
      <c r="N213">
        <v>42</v>
      </c>
      <c r="O213">
        <v>115</v>
      </c>
      <c r="P213">
        <v>157</v>
      </c>
    </row>
    <row r="214" spans="1:16" x14ac:dyDescent="0.3">
      <c r="A214">
        <v>823</v>
      </c>
      <c r="B214" s="1">
        <v>40580</v>
      </c>
      <c r="C214">
        <v>1</v>
      </c>
      <c r="D214">
        <v>0</v>
      </c>
      <c r="E214">
        <v>2</v>
      </c>
      <c r="F214">
        <v>17</v>
      </c>
      <c r="G214" t="b">
        <v>0</v>
      </c>
      <c r="H214">
        <v>0</v>
      </c>
      <c r="I214">
        <v>1</v>
      </c>
      <c r="J214">
        <v>0.34</v>
      </c>
      <c r="K214">
        <v>0.36359999999999998</v>
      </c>
      <c r="L214">
        <v>0.46</v>
      </c>
      <c r="M214">
        <v>0</v>
      </c>
      <c r="N214">
        <v>24</v>
      </c>
      <c r="O214">
        <v>97</v>
      </c>
      <c r="P214">
        <v>121</v>
      </c>
    </row>
    <row r="215" spans="1:16" x14ac:dyDescent="0.3">
      <c r="A215">
        <v>824</v>
      </c>
      <c r="B215" s="1">
        <v>40580</v>
      </c>
      <c r="C215">
        <v>1</v>
      </c>
      <c r="D215">
        <v>0</v>
      </c>
      <c r="E215">
        <v>2</v>
      </c>
      <c r="F215">
        <v>18</v>
      </c>
      <c r="G215" t="b">
        <v>0</v>
      </c>
      <c r="H215">
        <v>0</v>
      </c>
      <c r="I215">
        <v>1</v>
      </c>
      <c r="J215">
        <v>0.3</v>
      </c>
      <c r="K215">
        <v>0.30299999999999999</v>
      </c>
      <c r="L215">
        <v>0.56000000000000005</v>
      </c>
      <c r="M215">
        <v>0.16420000000000001</v>
      </c>
      <c r="N215">
        <v>13</v>
      </c>
      <c r="O215">
        <v>65</v>
      </c>
      <c r="P215">
        <v>78</v>
      </c>
    </row>
    <row r="216" spans="1:16" x14ac:dyDescent="0.3">
      <c r="A216">
        <v>825</v>
      </c>
      <c r="B216" s="1">
        <v>40580</v>
      </c>
      <c r="C216">
        <v>1</v>
      </c>
      <c r="D216">
        <v>0</v>
      </c>
      <c r="E216">
        <v>2</v>
      </c>
      <c r="F216">
        <v>19</v>
      </c>
      <c r="G216" t="b">
        <v>0</v>
      </c>
      <c r="H216">
        <v>0</v>
      </c>
      <c r="I216">
        <v>1</v>
      </c>
      <c r="J216">
        <v>0.28000000000000003</v>
      </c>
      <c r="K216">
        <v>0.28789999999999999</v>
      </c>
      <c r="L216">
        <v>0.61</v>
      </c>
      <c r="M216">
        <v>0.1343</v>
      </c>
      <c r="N216">
        <v>1</v>
      </c>
      <c r="O216">
        <v>20</v>
      </c>
      <c r="P216">
        <v>21</v>
      </c>
    </row>
    <row r="217" spans="1:16" x14ac:dyDescent="0.3">
      <c r="A217">
        <v>826</v>
      </c>
      <c r="B217" s="1">
        <v>40580</v>
      </c>
      <c r="C217">
        <v>1</v>
      </c>
      <c r="D217">
        <v>0</v>
      </c>
      <c r="E217">
        <v>2</v>
      </c>
      <c r="F217">
        <v>20</v>
      </c>
      <c r="G217" t="b">
        <v>0</v>
      </c>
      <c r="H217">
        <v>0</v>
      </c>
      <c r="I217">
        <v>1</v>
      </c>
      <c r="J217">
        <v>0.28000000000000003</v>
      </c>
      <c r="K217">
        <v>0.28789999999999999</v>
      </c>
      <c r="L217">
        <v>0.61</v>
      </c>
      <c r="M217">
        <v>0.1045</v>
      </c>
      <c r="N217">
        <v>5</v>
      </c>
      <c r="O217">
        <v>21</v>
      </c>
      <c r="P217">
        <v>26</v>
      </c>
    </row>
    <row r="218" spans="1:16" x14ac:dyDescent="0.3">
      <c r="A218">
        <v>827</v>
      </c>
      <c r="B218" s="1">
        <v>40580</v>
      </c>
      <c r="C218">
        <v>1</v>
      </c>
      <c r="D218">
        <v>0</v>
      </c>
      <c r="E218">
        <v>2</v>
      </c>
      <c r="F218">
        <v>21</v>
      </c>
      <c r="G218" t="b">
        <v>0</v>
      </c>
      <c r="H218">
        <v>0</v>
      </c>
      <c r="I218">
        <v>1</v>
      </c>
      <c r="J218">
        <v>0.26</v>
      </c>
      <c r="K218">
        <v>0.30299999999999999</v>
      </c>
      <c r="L218">
        <v>0.6</v>
      </c>
      <c r="M218">
        <v>0</v>
      </c>
      <c r="N218">
        <v>5</v>
      </c>
      <c r="O218">
        <v>22</v>
      </c>
      <c r="P218">
        <v>27</v>
      </c>
    </row>
    <row r="219" spans="1:16" x14ac:dyDescent="0.3">
      <c r="A219">
        <v>828</v>
      </c>
      <c r="B219" s="1">
        <v>40580</v>
      </c>
      <c r="C219">
        <v>1</v>
      </c>
      <c r="D219">
        <v>0</v>
      </c>
      <c r="E219">
        <v>2</v>
      </c>
      <c r="F219">
        <v>22</v>
      </c>
      <c r="G219" t="b">
        <v>0</v>
      </c>
      <c r="H219">
        <v>0</v>
      </c>
      <c r="I219">
        <v>1</v>
      </c>
      <c r="J219">
        <v>0.26</v>
      </c>
      <c r="K219">
        <v>0.30299999999999999</v>
      </c>
      <c r="L219">
        <v>0.6</v>
      </c>
      <c r="M219">
        <v>0</v>
      </c>
      <c r="N219">
        <v>5</v>
      </c>
      <c r="O219">
        <v>57</v>
      </c>
      <c r="P219">
        <v>62</v>
      </c>
    </row>
    <row r="220" spans="1:16" x14ac:dyDescent="0.3">
      <c r="A220">
        <v>829</v>
      </c>
      <c r="B220" s="1">
        <v>40580</v>
      </c>
      <c r="C220">
        <v>1</v>
      </c>
      <c r="D220">
        <v>0</v>
      </c>
      <c r="E220">
        <v>2</v>
      </c>
      <c r="F220">
        <v>23</v>
      </c>
      <c r="G220" t="b">
        <v>0</v>
      </c>
      <c r="H220">
        <v>0</v>
      </c>
      <c r="I220">
        <v>1</v>
      </c>
      <c r="J220">
        <v>0.24</v>
      </c>
      <c r="K220">
        <v>0.28789999999999999</v>
      </c>
      <c r="L220">
        <v>0.65</v>
      </c>
      <c r="M220">
        <v>0</v>
      </c>
      <c r="N220">
        <v>4</v>
      </c>
      <c r="O220">
        <v>26</v>
      </c>
      <c r="P220">
        <v>30</v>
      </c>
    </row>
    <row r="221" spans="1:16" x14ac:dyDescent="0.3">
      <c r="A221">
        <v>830</v>
      </c>
      <c r="B221" s="1">
        <v>40581</v>
      </c>
      <c r="C221">
        <v>1</v>
      </c>
      <c r="D221">
        <v>0</v>
      </c>
      <c r="E221">
        <v>2</v>
      </c>
      <c r="F221">
        <v>0</v>
      </c>
      <c r="G221" t="b">
        <v>0</v>
      </c>
      <c r="H221">
        <v>1</v>
      </c>
      <c r="I221">
        <v>1</v>
      </c>
      <c r="J221">
        <v>0.24</v>
      </c>
      <c r="K221">
        <v>0.28789999999999999</v>
      </c>
      <c r="L221">
        <v>0.65</v>
      </c>
      <c r="M221">
        <v>0</v>
      </c>
      <c r="N221">
        <v>1</v>
      </c>
      <c r="O221">
        <v>14</v>
      </c>
      <c r="P221">
        <v>15</v>
      </c>
    </row>
    <row r="222" spans="1:16" x14ac:dyDescent="0.3">
      <c r="A222">
        <v>831</v>
      </c>
      <c r="B222" s="1">
        <v>40581</v>
      </c>
      <c r="C222">
        <v>1</v>
      </c>
      <c r="D222">
        <v>0</v>
      </c>
      <c r="E222">
        <v>2</v>
      </c>
      <c r="F222">
        <v>1</v>
      </c>
      <c r="G222" t="b">
        <v>0</v>
      </c>
      <c r="H222">
        <v>1</v>
      </c>
      <c r="I222">
        <v>1</v>
      </c>
      <c r="J222">
        <v>0.22</v>
      </c>
      <c r="K222">
        <v>0.2727</v>
      </c>
      <c r="L222">
        <v>0.75</v>
      </c>
      <c r="M222">
        <v>0</v>
      </c>
      <c r="N222">
        <v>1</v>
      </c>
      <c r="O222">
        <v>4</v>
      </c>
      <c r="P222">
        <v>5</v>
      </c>
    </row>
    <row r="223" spans="1:16" x14ac:dyDescent="0.3">
      <c r="A223">
        <v>832</v>
      </c>
      <c r="B223" s="1">
        <v>40581</v>
      </c>
      <c r="C223">
        <v>1</v>
      </c>
      <c r="D223">
        <v>0</v>
      </c>
      <c r="E223">
        <v>2</v>
      </c>
      <c r="F223">
        <v>2</v>
      </c>
      <c r="G223" t="b">
        <v>0</v>
      </c>
      <c r="H223">
        <v>1</v>
      </c>
      <c r="I223">
        <v>1</v>
      </c>
      <c r="J223">
        <v>0.2</v>
      </c>
      <c r="K223">
        <v>0.2576</v>
      </c>
      <c r="L223">
        <v>0.8</v>
      </c>
      <c r="M223">
        <v>0</v>
      </c>
      <c r="N223">
        <v>0</v>
      </c>
      <c r="O223">
        <v>3</v>
      </c>
      <c r="P223">
        <v>3</v>
      </c>
    </row>
    <row r="224" spans="1:16" x14ac:dyDescent="0.3">
      <c r="A224">
        <v>833</v>
      </c>
      <c r="B224" s="1">
        <v>40581</v>
      </c>
      <c r="C224">
        <v>1</v>
      </c>
      <c r="D224">
        <v>0</v>
      </c>
      <c r="E224">
        <v>2</v>
      </c>
      <c r="F224">
        <v>3</v>
      </c>
      <c r="G224" t="b">
        <v>0</v>
      </c>
      <c r="H224">
        <v>1</v>
      </c>
      <c r="I224">
        <v>1</v>
      </c>
      <c r="J224">
        <v>0.2</v>
      </c>
      <c r="K224">
        <v>0.2576</v>
      </c>
      <c r="L224">
        <v>0.86</v>
      </c>
      <c r="M224">
        <v>0</v>
      </c>
      <c r="N224">
        <v>0</v>
      </c>
      <c r="O224">
        <v>1</v>
      </c>
      <c r="P224">
        <v>1</v>
      </c>
    </row>
    <row r="225" spans="1:16" x14ac:dyDescent="0.3">
      <c r="A225">
        <v>834</v>
      </c>
      <c r="B225" s="1">
        <v>40581</v>
      </c>
      <c r="C225">
        <v>1</v>
      </c>
      <c r="D225">
        <v>0</v>
      </c>
      <c r="E225">
        <v>2</v>
      </c>
      <c r="F225">
        <v>4</v>
      </c>
      <c r="G225" t="b">
        <v>0</v>
      </c>
      <c r="H225">
        <v>1</v>
      </c>
      <c r="I225">
        <v>1</v>
      </c>
      <c r="J225">
        <v>0.2</v>
      </c>
      <c r="K225">
        <v>0.2576</v>
      </c>
      <c r="L225">
        <v>0.86</v>
      </c>
      <c r="M225">
        <v>0</v>
      </c>
      <c r="N225">
        <v>1</v>
      </c>
      <c r="O225">
        <v>1</v>
      </c>
      <c r="P225">
        <v>2</v>
      </c>
    </row>
    <row r="226" spans="1:16" x14ac:dyDescent="0.3">
      <c r="A226">
        <v>835</v>
      </c>
      <c r="B226" s="1">
        <v>40581</v>
      </c>
      <c r="C226">
        <v>1</v>
      </c>
      <c r="D226">
        <v>0</v>
      </c>
      <c r="E226">
        <v>2</v>
      </c>
      <c r="F226">
        <v>5</v>
      </c>
      <c r="G226" t="b">
        <v>0</v>
      </c>
      <c r="H226">
        <v>1</v>
      </c>
      <c r="I226">
        <v>1</v>
      </c>
      <c r="J226">
        <v>0.2</v>
      </c>
      <c r="K226">
        <v>0.2576</v>
      </c>
      <c r="L226">
        <v>0.86</v>
      </c>
      <c r="M226">
        <v>0</v>
      </c>
      <c r="N226">
        <v>1</v>
      </c>
      <c r="O226">
        <v>9</v>
      </c>
      <c r="P226">
        <v>10</v>
      </c>
    </row>
    <row r="227" spans="1:16" x14ac:dyDescent="0.3">
      <c r="A227">
        <v>836</v>
      </c>
      <c r="B227" s="1">
        <v>40581</v>
      </c>
      <c r="C227">
        <v>1</v>
      </c>
      <c r="D227">
        <v>0</v>
      </c>
      <c r="E227">
        <v>2</v>
      </c>
      <c r="F227">
        <v>6</v>
      </c>
      <c r="G227" t="b">
        <v>0</v>
      </c>
      <c r="H227">
        <v>1</v>
      </c>
      <c r="I227">
        <v>1</v>
      </c>
      <c r="J227">
        <v>0.18</v>
      </c>
      <c r="K227">
        <v>0.2424</v>
      </c>
      <c r="L227">
        <v>0.93</v>
      </c>
      <c r="M227">
        <v>0</v>
      </c>
      <c r="N227">
        <v>1</v>
      </c>
      <c r="O227">
        <v>29</v>
      </c>
      <c r="P227">
        <v>30</v>
      </c>
    </row>
    <row r="228" spans="1:16" x14ac:dyDescent="0.3">
      <c r="A228">
        <v>837</v>
      </c>
      <c r="B228" s="1">
        <v>40581</v>
      </c>
      <c r="C228">
        <v>1</v>
      </c>
      <c r="D228">
        <v>0</v>
      </c>
      <c r="E228">
        <v>2</v>
      </c>
      <c r="F228">
        <v>7</v>
      </c>
      <c r="G228" t="b">
        <v>0</v>
      </c>
      <c r="H228">
        <v>1</v>
      </c>
      <c r="I228">
        <v>1</v>
      </c>
      <c r="J228">
        <v>0.18</v>
      </c>
      <c r="K228">
        <v>0.2424</v>
      </c>
      <c r="L228">
        <v>0.86</v>
      </c>
      <c r="M228">
        <v>0</v>
      </c>
      <c r="N228">
        <v>6</v>
      </c>
      <c r="O228">
        <v>89</v>
      </c>
      <c r="P228">
        <v>95</v>
      </c>
    </row>
    <row r="229" spans="1:16" x14ac:dyDescent="0.3">
      <c r="A229">
        <v>838</v>
      </c>
      <c r="B229" s="1">
        <v>40581</v>
      </c>
      <c r="C229">
        <v>1</v>
      </c>
      <c r="D229">
        <v>0</v>
      </c>
      <c r="E229">
        <v>2</v>
      </c>
      <c r="F229">
        <v>8</v>
      </c>
      <c r="G229" t="b">
        <v>0</v>
      </c>
      <c r="H229">
        <v>1</v>
      </c>
      <c r="I229">
        <v>2</v>
      </c>
      <c r="J229">
        <v>0.16</v>
      </c>
      <c r="K229">
        <v>0.2273</v>
      </c>
      <c r="L229">
        <v>1</v>
      </c>
      <c r="M229">
        <v>0</v>
      </c>
      <c r="N229">
        <v>7</v>
      </c>
      <c r="O229">
        <v>223</v>
      </c>
      <c r="P229">
        <v>230</v>
      </c>
    </row>
    <row r="230" spans="1:16" x14ac:dyDescent="0.3">
      <c r="A230">
        <v>839</v>
      </c>
      <c r="B230" s="1">
        <v>40581</v>
      </c>
      <c r="C230">
        <v>1</v>
      </c>
      <c r="D230">
        <v>0</v>
      </c>
      <c r="E230">
        <v>2</v>
      </c>
      <c r="F230">
        <v>9</v>
      </c>
      <c r="G230" t="b">
        <v>0</v>
      </c>
      <c r="H230">
        <v>1</v>
      </c>
      <c r="I230">
        <v>1</v>
      </c>
      <c r="J230">
        <v>0.22</v>
      </c>
      <c r="K230">
        <v>0.2727</v>
      </c>
      <c r="L230">
        <v>0.8</v>
      </c>
      <c r="M230">
        <v>0</v>
      </c>
      <c r="N230">
        <v>3</v>
      </c>
      <c r="O230">
        <v>115</v>
      </c>
      <c r="P230">
        <v>118</v>
      </c>
    </row>
    <row r="231" spans="1:16" x14ac:dyDescent="0.3">
      <c r="A231">
        <v>840</v>
      </c>
      <c r="B231" s="1">
        <v>40581</v>
      </c>
      <c r="C231">
        <v>1</v>
      </c>
      <c r="D231">
        <v>0</v>
      </c>
      <c r="E231">
        <v>2</v>
      </c>
      <c r="F231">
        <v>10</v>
      </c>
      <c r="G231" t="b">
        <v>0</v>
      </c>
      <c r="H231">
        <v>1</v>
      </c>
      <c r="I231">
        <v>1</v>
      </c>
      <c r="J231">
        <v>0.24</v>
      </c>
      <c r="K231">
        <v>0.2576</v>
      </c>
      <c r="L231">
        <v>0.75</v>
      </c>
      <c r="M231">
        <v>0.1045</v>
      </c>
      <c r="N231">
        <v>6</v>
      </c>
      <c r="O231">
        <v>49</v>
      </c>
      <c r="P231">
        <v>55</v>
      </c>
    </row>
    <row r="232" spans="1:16" x14ac:dyDescent="0.3">
      <c r="A232">
        <v>841</v>
      </c>
      <c r="B232" s="1">
        <v>40581</v>
      </c>
      <c r="C232">
        <v>1</v>
      </c>
      <c r="D232">
        <v>0</v>
      </c>
      <c r="E232">
        <v>2</v>
      </c>
      <c r="F232">
        <v>11</v>
      </c>
      <c r="G232" t="b">
        <v>0</v>
      </c>
      <c r="H232">
        <v>1</v>
      </c>
      <c r="I232">
        <v>1</v>
      </c>
      <c r="J232">
        <v>0.3</v>
      </c>
      <c r="K232">
        <v>0.31819999999999998</v>
      </c>
      <c r="L232">
        <v>0.65</v>
      </c>
      <c r="M232">
        <v>8.9599999999999999E-2</v>
      </c>
      <c r="N232">
        <v>11</v>
      </c>
      <c r="O232">
        <v>36</v>
      </c>
      <c r="P232">
        <v>47</v>
      </c>
    </row>
    <row r="233" spans="1:16" x14ac:dyDescent="0.3">
      <c r="A233">
        <v>842</v>
      </c>
      <c r="B233" s="1">
        <v>40581</v>
      </c>
      <c r="C233">
        <v>1</v>
      </c>
      <c r="D233">
        <v>0</v>
      </c>
      <c r="E233">
        <v>2</v>
      </c>
      <c r="F233">
        <v>12</v>
      </c>
      <c r="G233" t="b">
        <v>0</v>
      </c>
      <c r="H233">
        <v>1</v>
      </c>
      <c r="I233">
        <v>2</v>
      </c>
      <c r="J233">
        <v>0.32</v>
      </c>
      <c r="K233">
        <v>0.34849999999999998</v>
      </c>
      <c r="L233">
        <v>0.62</v>
      </c>
      <c r="M233">
        <v>0</v>
      </c>
      <c r="N233">
        <v>7</v>
      </c>
      <c r="O233">
        <v>59</v>
      </c>
      <c r="P233">
        <v>66</v>
      </c>
    </row>
    <row r="234" spans="1:16" x14ac:dyDescent="0.3">
      <c r="A234">
        <v>843</v>
      </c>
      <c r="B234" s="1">
        <v>40581</v>
      </c>
      <c r="C234">
        <v>1</v>
      </c>
      <c r="D234">
        <v>0</v>
      </c>
      <c r="E234">
        <v>2</v>
      </c>
      <c r="F234">
        <v>13</v>
      </c>
      <c r="G234" t="b">
        <v>0</v>
      </c>
      <c r="H234">
        <v>1</v>
      </c>
      <c r="I234">
        <v>2</v>
      </c>
      <c r="J234">
        <v>0.36</v>
      </c>
      <c r="K234">
        <v>0.36359999999999998</v>
      </c>
      <c r="L234">
        <v>0.56999999999999995</v>
      </c>
      <c r="M234">
        <v>8.9599999999999999E-2</v>
      </c>
      <c r="N234">
        <v>10</v>
      </c>
      <c r="O234">
        <v>54</v>
      </c>
      <c r="P234">
        <v>64</v>
      </c>
    </row>
    <row r="235" spans="1:16" x14ac:dyDescent="0.3">
      <c r="A235">
        <v>844</v>
      </c>
      <c r="B235" s="1">
        <v>40581</v>
      </c>
      <c r="C235">
        <v>1</v>
      </c>
      <c r="D235">
        <v>0</v>
      </c>
      <c r="E235">
        <v>2</v>
      </c>
      <c r="F235">
        <v>14</v>
      </c>
      <c r="G235" t="b">
        <v>0</v>
      </c>
      <c r="H235">
        <v>1</v>
      </c>
      <c r="I235">
        <v>2</v>
      </c>
      <c r="J235">
        <v>0.36</v>
      </c>
      <c r="K235">
        <v>0.36359999999999998</v>
      </c>
      <c r="L235">
        <v>0.56999999999999995</v>
      </c>
      <c r="M235">
        <v>8.9599999999999999E-2</v>
      </c>
      <c r="N235">
        <v>8</v>
      </c>
      <c r="O235">
        <v>52</v>
      </c>
      <c r="P235">
        <v>60</v>
      </c>
    </row>
    <row r="236" spans="1:16" x14ac:dyDescent="0.3">
      <c r="A236">
        <v>845</v>
      </c>
      <c r="B236" s="1">
        <v>40581</v>
      </c>
      <c r="C236">
        <v>1</v>
      </c>
      <c r="D236">
        <v>0</v>
      </c>
      <c r="E236">
        <v>2</v>
      </c>
      <c r="F236">
        <v>15</v>
      </c>
      <c r="G236" t="b">
        <v>0</v>
      </c>
      <c r="H236">
        <v>1</v>
      </c>
      <c r="I236">
        <v>2</v>
      </c>
      <c r="J236">
        <v>0.38</v>
      </c>
      <c r="K236">
        <v>0.39389999999999997</v>
      </c>
      <c r="L236">
        <v>0.54</v>
      </c>
      <c r="M236">
        <v>8.9599999999999999E-2</v>
      </c>
      <c r="N236">
        <v>4</v>
      </c>
      <c r="O236">
        <v>46</v>
      </c>
      <c r="P236">
        <v>50</v>
      </c>
    </row>
    <row r="237" spans="1:16" x14ac:dyDescent="0.3">
      <c r="A237">
        <v>846</v>
      </c>
      <c r="B237" s="1">
        <v>40581</v>
      </c>
      <c r="C237">
        <v>1</v>
      </c>
      <c r="D237">
        <v>0</v>
      </c>
      <c r="E237">
        <v>2</v>
      </c>
      <c r="F237">
        <v>16</v>
      </c>
      <c r="G237" t="b">
        <v>0</v>
      </c>
      <c r="H237">
        <v>1</v>
      </c>
      <c r="I237">
        <v>2</v>
      </c>
      <c r="J237">
        <v>0.36</v>
      </c>
      <c r="K237">
        <v>0.34849999999999998</v>
      </c>
      <c r="L237">
        <v>0.56999999999999995</v>
      </c>
      <c r="M237">
        <v>0.1343</v>
      </c>
      <c r="N237">
        <v>16</v>
      </c>
      <c r="O237">
        <v>98</v>
      </c>
      <c r="P237">
        <v>114</v>
      </c>
    </row>
    <row r="238" spans="1:16" x14ac:dyDescent="0.3">
      <c r="A238">
        <v>847</v>
      </c>
      <c r="B238" s="1">
        <v>40581</v>
      </c>
      <c r="C238">
        <v>1</v>
      </c>
      <c r="D238">
        <v>0</v>
      </c>
      <c r="E238">
        <v>2</v>
      </c>
      <c r="F238">
        <v>17</v>
      </c>
      <c r="G238" t="b">
        <v>0</v>
      </c>
      <c r="H238">
        <v>1</v>
      </c>
      <c r="I238">
        <v>2</v>
      </c>
      <c r="J238">
        <v>0.32</v>
      </c>
      <c r="K238">
        <v>0.31819999999999998</v>
      </c>
      <c r="L238">
        <v>0.7</v>
      </c>
      <c r="M238">
        <v>0.16420000000000001</v>
      </c>
      <c r="N238">
        <v>9</v>
      </c>
      <c r="O238">
        <v>207</v>
      </c>
      <c r="P238">
        <v>216</v>
      </c>
    </row>
    <row r="239" spans="1:16" x14ac:dyDescent="0.3">
      <c r="A239">
        <v>848</v>
      </c>
      <c r="B239" s="1">
        <v>40581</v>
      </c>
      <c r="C239">
        <v>1</v>
      </c>
      <c r="D239">
        <v>0</v>
      </c>
      <c r="E239">
        <v>2</v>
      </c>
      <c r="F239">
        <v>18</v>
      </c>
      <c r="G239" t="b">
        <v>0</v>
      </c>
      <c r="H239">
        <v>1</v>
      </c>
      <c r="I239">
        <v>2</v>
      </c>
      <c r="J239">
        <v>0.34</v>
      </c>
      <c r="K239">
        <v>0.33329999999999999</v>
      </c>
      <c r="L239">
        <v>0.66</v>
      </c>
      <c r="M239">
        <v>0.1343</v>
      </c>
      <c r="N239">
        <v>5</v>
      </c>
      <c r="O239">
        <v>170</v>
      </c>
      <c r="P239">
        <v>175</v>
      </c>
    </row>
    <row r="240" spans="1:16" x14ac:dyDescent="0.3">
      <c r="A240">
        <v>849</v>
      </c>
      <c r="B240" s="1">
        <v>40581</v>
      </c>
      <c r="C240">
        <v>1</v>
      </c>
      <c r="D240">
        <v>0</v>
      </c>
      <c r="E240">
        <v>2</v>
      </c>
      <c r="F240">
        <v>19</v>
      </c>
      <c r="G240" t="b">
        <v>0</v>
      </c>
      <c r="H240">
        <v>1</v>
      </c>
      <c r="I240">
        <v>2</v>
      </c>
      <c r="J240">
        <v>0.32</v>
      </c>
      <c r="K240">
        <v>0.34849999999999998</v>
      </c>
      <c r="L240">
        <v>0.7</v>
      </c>
      <c r="M240">
        <v>0</v>
      </c>
      <c r="N240">
        <v>5</v>
      </c>
      <c r="O240">
        <v>123</v>
      </c>
      <c r="P240">
        <v>128</v>
      </c>
    </row>
    <row r="241" spans="1:16" x14ac:dyDescent="0.3">
      <c r="A241">
        <v>850</v>
      </c>
      <c r="B241" s="1">
        <v>40581</v>
      </c>
      <c r="C241">
        <v>1</v>
      </c>
      <c r="D241">
        <v>0</v>
      </c>
      <c r="E241">
        <v>2</v>
      </c>
      <c r="F241">
        <v>20</v>
      </c>
      <c r="G241" t="b">
        <v>0</v>
      </c>
      <c r="H241">
        <v>1</v>
      </c>
      <c r="I241">
        <v>2</v>
      </c>
      <c r="J241">
        <v>0.32</v>
      </c>
      <c r="K241">
        <v>0.33329999999999999</v>
      </c>
      <c r="L241">
        <v>0.7</v>
      </c>
      <c r="M241">
        <v>0.1045</v>
      </c>
      <c r="N241">
        <v>6</v>
      </c>
      <c r="O241">
        <v>82</v>
      </c>
      <c r="P241">
        <v>88</v>
      </c>
    </row>
    <row r="242" spans="1:16" x14ac:dyDescent="0.3">
      <c r="A242">
        <v>851</v>
      </c>
      <c r="B242" s="1">
        <v>40581</v>
      </c>
      <c r="C242">
        <v>1</v>
      </c>
      <c r="D242">
        <v>0</v>
      </c>
      <c r="E242">
        <v>2</v>
      </c>
      <c r="F242">
        <v>21</v>
      </c>
      <c r="G242" t="b">
        <v>0</v>
      </c>
      <c r="H242">
        <v>1</v>
      </c>
      <c r="I242">
        <v>1</v>
      </c>
      <c r="J242">
        <v>0.32</v>
      </c>
      <c r="K242">
        <v>0.34849999999999998</v>
      </c>
      <c r="L242">
        <v>0.7</v>
      </c>
      <c r="M242">
        <v>0</v>
      </c>
      <c r="N242">
        <v>3</v>
      </c>
      <c r="O242">
        <v>75</v>
      </c>
      <c r="P242">
        <v>78</v>
      </c>
    </row>
    <row r="243" spans="1:16" x14ac:dyDescent="0.3">
      <c r="A243">
        <v>852</v>
      </c>
      <c r="B243" s="1">
        <v>40581</v>
      </c>
      <c r="C243">
        <v>1</v>
      </c>
      <c r="D243">
        <v>0</v>
      </c>
      <c r="E243">
        <v>2</v>
      </c>
      <c r="F243">
        <v>22</v>
      </c>
      <c r="G243" t="b">
        <v>0</v>
      </c>
      <c r="H243">
        <v>1</v>
      </c>
      <c r="I243">
        <v>1</v>
      </c>
      <c r="J243">
        <v>0.28000000000000003</v>
      </c>
      <c r="K243">
        <v>0.30299999999999999</v>
      </c>
      <c r="L243">
        <v>0.81</v>
      </c>
      <c r="M243">
        <v>8.9599999999999999E-2</v>
      </c>
      <c r="N243">
        <v>3</v>
      </c>
      <c r="O243">
        <v>34</v>
      </c>
      <c r="P243">
        <v>37</v>
      </c>
    </row>
    <row r="244" spans="1:16" x14ac:dyDescent="0.3">
      <c r="A244">
        <v>853</v>
      </c>
      <c r="B244" s="1">
        <v>40581</v>
      </c>
      <c r="C244">
        <v>1</v>
      </c>
      <c r="D244">
        <v>0</v>
      </c>
      <c r="E244">
        <v>2</v>
      </c>
      <c r="F244">
        <v>23</v>
      </c>
      <c r="G244" t="b">
        <v>0</v>
      </c>
      <c r="H244">
        <v>1</v>
      </c>
      <c r="I244">
        <v>2</v>
      </c>
      <c r="J244">
        <v>0.3</v>
      </c>
      <c r="K244">
        <v>0.33329999999999999</v>
      </c>
      <c r="L244">
        <v>0.81</v>
      </c>
      <c r="M244">
        <v>0</v>
      </c>
      <c r="N244">
        <v>6</v>
      </c>
      <c r="O244">
        <v>19</v>
      </c>
      <c r="P244">
        <v>25</v>
      </c>
    </row>
    <row r="245" spans="1:16" x14ac:dyDescent="0.3">
      <c r="A245">
        <v>854</v>
      </c>
      <c r="B245" s="1">
        <v>40582</v>
      </c>
      <c r="C245">
        <v>1</v>
      </c>
      <c r="D245">
        <v>0</v>
      </c>
      <c r="E245">
        <v>2</v>
      </c>
      <c r="F245">
        <v>0</v>
      </c>
      <c r="G245" t="b">
        <v>0</v>
      </c>
      <c r="H245">
        <v>2</v>
      </c>
      <c r="I245">
        <v>2</v>
      </c>
      <c r="J245">
        <v>0.28000000000000003</v>
      </c>
      <c r="K245">
        <v>0.31819999999999998</v>
      </c>
      <c r="L245">
        <v>0.87</v>
      </c>
      <c r="M245">
        <v>0</v>
      </c>
      <c r="N245">
        <v>4</v>
      </c>
      <c r="O245">
        <v>6</v>
      </c>
      <c r="P245">
        <v>10</v>
      </c>
    </row>
    <row r="246" spans="1:16" x14ac:dyDescent="0.3">
      <c r="A246">
        <v>855</v>
      </c>
      <c r="B246" s="1">
        <v>40582</v>
      </c>
      <c r="C246">
        <v>1</v>
      </c>
      <c r="D246">
        <v>0</v>
      </c>
      <c r="E246">
        <v>2</v>
      </c>
      <c r="F246">
        <v>1</v>
      </c>
      <c r="G246" t="b">
        <v>0</v>
      </c>
      <c r="H246">
        <v>2</v>
      </c>
      <c r="I246">
        <v>2</v>
      </c>
      <c r="J246">
        <v>0.28000000000000003</v>
      </c>
      <c r="K246">
        <v>0.31819999999999998</v>
      </c>
      <c r="L246">
        <v>0.87</v>
      </c>
      <c r="M246">
        <v>0</v>
      </c>
      <c r="N246">
        <v>0</v>
      </c>
      <c r="O246">
        <v>4</v>
      </c>
      <c r="P246">
        <v>4</v>
      </c>
    </row>
    <row r="247" spans="1:16" x14ac:dyDescent="0.3">
      <c r="A247">
        <v>856</v>
      </c>
      <c r="B247" s="1">
        <v>40582</v>
      </c>
      <c r="C247">
        <v>1</v>
      </c>
      <c r="D247">
        <v>0</v>
      </c>
      <c r="E247">
        <v>2</v>
      </c>
      <c r="F247">
        <v>2</v>
      </c>
      <c r="G247" t="b">
        <v>0</v>
      </c>
      <c r="H247">
        <v>2</v>
      </c>
      <c r="I247">
        <v>2</v>
      </c>
      <c r="J247">
        <v>0.26</v>
      </c>
      <c r="K247">
        <v>0.2727</v>
      </c>
      <c r="L247">
        <v>0.93</v>
      </c>
      <c r="M247">
        <v>0.1045</v>
      </c>
      <c r="N247">
        <v>1</v>
      </c>
      <c r="O247">
        <v>1</v>
      </c>
      <c r="P247">
        <v>2</v>
      </c>
    </row>
    <row r="248" spans="1:16" x14ac:dyDescent="0.3">
      <c r="A248">
        <v>857</v>
      </c>
      <c r="B248" s="1">
        <v>40582</v>
      </c>
      <c r="C248">
        <v>1</v>
      </c>
      <c r="D248">
        <v>0</v>
      </c>
      <c r="E248">
        <v>2</v>
      </c>
      <c r="F248">
        <v>3</v>
      </c>
      <c r="G248" t="b">
        <v>0</v>
      </c>
      <c r="H248">
        <v>2</v>
      </c>
      <c r="I248">
        <v>3</v>
      </c>
      <c r="J248">
        <v>0.28000000000000003</v>
      </c>
      <c r="K248">
        <v>0.2727</v>
      </c>
      <c r="L248">
        <v>0.93</v>
      </c>
      <c r="M248">
        <v>0.16420000000000001</v>
      </c>
      <c r="N248">
        <v>0</v>
      </c>
      <c r="O248">
        <v>1</v>
      </c>
      <c r="P248">
        <v>1</v>
      </c>
    </row>
    <row r="249" spans="1:16" x14ac:dyDescent="0.3">
      <c r="A249">
        <v>858</v>
      </c>
      <c r="B249" s="1">
        <v>40582</v>
      </c>
      <c r="C249">
        <v>1</v>
      </c>
      <c r="D249">
        <v>0</v>
      </c>
      <c r="E249">
        <v>2</v>
      </c>
      <c r="F249">
        <v>4</v>
      </c>
      <c r="G249" t="b">
        <v>0</v>
      </c>
      <c r="H249">
        <v>2</v>
      </c>
      <c r="I249">
        <v>1</v>
      </c>
      <c r="J249">
        <v>0.26</v>
      </c>
      <c r="K249">
        <v>0.2576</v>
      </c>
      <c r="L249">
        <v>0.93</v>
      </c>
      <c r="M249">
        <v>0.16420000000000001</v>
      </c>
      <c r="N249">
        <v>0</v>
      </c>
      <c r="O249">
        <v>3</v>
      </c>
      <c r="P249">
        <v>3</v>
      </c>
    </row>
    <row r="250" spans="1:16" x14ac:dyDescent="0.3">
      <c r="A250">
        <v>859</v>
      </c>
      <c r="B250" s="1">
        <v>40582</v>
      </c>
      <c r="C250">
        <v>1</v>
      </c>
      <c r="D250">
        <v>0</v>
      </c>
      <c r="E250">
        <v>2</v>
      </c>
      <c r="F250">
        <v>5</v>
      </c>
      <c r="G250" t="b">
        <v>0</v>
      </c>
      <c r="H250">
        <v>2</v>
      </c>
      <c r="I250">
        <v>1</v>
      </c>
      <c r="J250">
        <v>0.26</v>
      </c>
      <c r="K250">
        <v>0.2273</v>
      </c>
      <c r="L250">
        <v>0.81</v>
      </c>
      <c r="M250">
        <v>0.32840000000000003</v>
      </c>
      <c r="N250">
        <v>0</v>
      </c>
      <c r="O250">
        <v>2</v>
      </c>
      <c r="P250">
        <v>2</v>
      </c>
    </row>
    <row r="251" spans="1:16" x14ac:dyDescent="0.3">
      <c r="A251">
        <v>860</v>
      </c>
      <c r="B251" s="1">
        <v>40582</v>
      </c>
      <c r="C251">
        <v>1</v>
      </c>
      <c r="D251">
        <v>0</v>
      </c>
      <c r="E251">
        <v>2</v>
      </c>
      <c r="F251">
        <v>6</v>
      </c>
      <c r="G251" t="b">
        <v>0</v>
      </c>
      <c r="H251">
        <v>2</v>
      </c>
      <c r="I251">
        <v>1</v>
      </c>
      <c r="J251">
        <v>0.26</v>
      </c>
      <c r="K251">
        <v>0.2273</v>
      </c>
      <c r="L251">
        <v>0.7</v>
      </c>
      <c r="M251">
        <v>0.32840000000000003</v>
      </c>
      <c r="N251">
        <v>0</v>
      </c>
      <c r="O251">
        <v>39</v>
      </c>
      <c r="P251">
        <v>39</v>
      </c>
    </row>
    <row r="252" spans="1:16" x14ac:dyDescent="0.3">
      <c r="A252">
        <v>861</v>
      </c>
      <c r="B252" s="1">
        <v>40582</v>
      </c>
      <c r="C252">
        <v>1</v>
      </c>
      <c r="D252">
        <v>0</v>
      </c>
      <c r="E252">
        <v>2</v>
      </c>
      <c r="F252">
        <v>7</v>
      </c>
      <c r="G252" t="b">
        <v>0</v>
      </c>
      <c r="H252">
        <v>2</v>
      </c>
      <c r="I252">
        <v>1</v>
      </c>
      <c r="J252">
        <v>0.24</v>
      </c>
      <c r="K252">
        <v>0.19700000000000001</v>
      </c>
      <c r="L252">
        <v>0.65</v>
      </c>
      <c r="M252">
        <v>0.41789999999999999</v>
      </c>
      <c r="N252">
        <v>3</v>
      </c>
      <c r="O252">
        <v>97</v>
      </c>
      <c r="P252">
        <v>100</v>
      </c>
    </row>
    <row r="253" spans="1:16" x14ac:dyDescent="0.3">
      <c r="A253">
        <v>862</v>
      </c>
      <c r="B253" s="1">
        <v>40582</v>
      </c>
      <c r="C253">
        <v>1</v>
      </c>
      <c r="D253">
        <v>0</v>
      </c>
      <c r="E253">
        <v>2</v>
      </c>
      <c r="F253">
        <v>8</v>
      </c>
      <c r="G253" t="b">
        <v>0</v>
      </c>
      <c r="H253">
        <v>2</v>
      </c>
      <c r="I253">
        <v>1</v>
      </c>
      <c r="J253">
        <v>0.24</v>
      </c>
      <c r="K253">
        <v>0.19700000000000001</v>
      </c>
      <c r="L253">
        <v>0.56000000000000005</v>
      </c>
      <c r="M253">
        <v>0.49249999999999999</v>
      </c>
      <c r="N253">
        <v>7</v>
      </c>
      <c r="O253">
        <v>236</v>
      </c>
      <c r="P253">
        <v>243</v>
      </c>
    </row>
    <row r="254" spans="1:16" x14ac:dyDescent="0.3">
      <c r="A254">
        <v>863</v>
      </c>
      <c r="B254" s="1">
        <v>40582</v>
      </c>
      <c r="C254">
        <v>1</v>
      </c>
      <c r="D254">
        <v>0</v>
      </c>
      <c r="E254">
        <v>2</v>
      </c>
      <c r="F254">
        <v>9</v>
      </c>
      <c r="G254" t="b">
        <v>0</v>
      </c>
      <c r="H254">
        <v>2</v>
      </c>
      <c r="I254">
        <v>1</v>
      </c>
      <c r="J254">
        <v>0.24</v>
      </c>
      <c r="K254">
        <v>0.19700000000000001</v>
      </c>
      <c r="L254">
        <v>0.52</v>
      </c>
      <c r="M254">
        <v>0.49249999999999999</v>
      </c>
      <c r="N254">
        <v>7</v>
      </c>
      <c r="O254">
        <v>128</v>
      </c>
      <c r="P254">
        <v>135</v>
      </c>
    </row>
    <row r="255" spans="1:16" x14ac:dyDescent="0.3">
      <c r="A255">
        <v>864</v>
      </c>
      <c r="B255" s="1">
        <v>40582</v>
      </c>
      <c r="C255">
        <v>1</v>
      </c>
      <c r="D255">
        <v>0</v>
      </c>
      <c r="E255">
        <v>2</v>
      </c>
      <c r="F255">
        <v>10</v>
      </c>
      <c r="G255" t="b">
        <v>0</v>
      </c>
      <c r="H255">
        <v>2</v>
      </c>
      <c r="I255">
        <v>1</v>
      </c>
      <c r="J255">
        <v>0.22</v>
      </c>
      <c r="K255">
        <v>0.18179999999999999</v>
      </c>
      <c r="L255">
        <v>0.47</v>
      </c>
      <c r="M255">
        <v>0.55220000000000002</v>
      </c>
      <c r="N255">
        <v>4</v>
      </c>
      <c r="O255">
        <v>44</v>
      </c>
      <c r="P255">
        <v>48</v>
      </c>
    </row>
    <row r="256" spans="1:16" x14ac:dyDescent="0.3">
      <c r="A256">
        <v>865</v>
      </c>
      <c r="B256" s="1">
        <v>40582</v>
      </c>
      <c r="C256">
        <v>1</v>
      </c>
      <c r="D256">
        <v>0</v>
      </c>
      <c r="E256">
        <v>2</v>
      </c>
      <c r="F256">
        <v>11</v>
      </c>
      <c r="G256" t="b">
        <v>0</v>
      </c>
      <c r="H256">
        <v>2</v>
      </c>
      <c r="I256">
        <v>1</v>
      </c>
      <c r="J256">
        <v>0.22</v>
      </c>
      <c r="K256">
        <v>0.18179999999999999</v>
      </c>
      <c r="L256">
        <v>0.47</v>
      </c>
      <c r="M256">
        <v>0.4627</v>
      </c>
      <c r="N256">
        <v>1</v>
      </c>
      <c r="O256">
        <v>49</v>
      </c>
      <c r="P256">
        <v>50</v>
      </c>
    </row>
    <row r="257" spans="1:16" x14ac:dyDescent="0.3">
      <c r="A257">
        <v>866</v>
      </c>
      <c r="B257" s="1">
        <v>40582</v>
      </c>
      <c r="C257">
        <v>1</v>
      </c>
      <c r="D257">
        <v>0</v>
      </c>
      <c r="E257">
        <v>2</v>
      </c>
      <c r="F257">
        <v>12</v>
      </c>
      <c r="G257" t="b">
        <v>0</v>
      </c>
      <c r="H257">
        <v>2</v>
      </c>
      <c r="I257">
        <v>1</v>
      </c>
      <c r="J257">
        <v>0.24</v>
      </c>
      <c r="K257">
        <v>0.19700000000000001</v>
      </c>
      <c r="L257">
        <v>0.38</v>
      </c>
      <c r="M257">
        <v>0.49249999999999999</v>
      </c>
      <c r="N257">
        <v>2</v>
      </c>
      <c r="O257">
        <v>63</v>
      </c>
      <c r="P257">
        <v>65</v>
      </c>
    </row>
    <row r="258" spans="1:16" x14ac:dyDescent="0.3">
      <c r="A258">
        <v>867</v>
      </c>
      <c r="B258" s="1">
        <v>40582</v>
      </c>
      <c r="C258">
        <v>1</v>
      </c>
      <c r="D258">
        <v>0</v>
      </c>
      <c r="E258">
        <v>2</v>
      </c>
      <c r="F258">
        <v>13</v>
      </c>
      <c r="G258" t="b">
        <v>0</v>
      </c>
      <c r="H258">
        <v>2</v>
      </c>
      <c r="I258">
        <v>2</v>
      </c>
      <c r="J258">
        <v>0.24</v>
      </c>
      <c r="K258">
        <v>0.19700000000000001</v>
      </c>
      <c r="L258">
        <v>0.32</v>
      </c>
      <c r="M258">
        <v>0.44779999999999998</v>
      </c>
      <c r="N258">
        <v>2</v>
      </c>
      <c r="O258">
        <v>48</v>
      </c>
      <c r="P258">
        <v>50</v>
      </c>
    </row>
    <row r="259" spans="1:16" x14ac:dyDescent="0.3">
      <c r="A259">
        <v>868</v>
      </c>
      <c r="B259" s="1">
        <v>40582</v>
      </c>
      <c r="C259">
        <v>1</v>
      </c>
      <c r="D259">
        <v>0</v>
      </c>
      <c r="E259">
        <v>2</v>
      </c>
      <c r="F259">
        <v>14</v>
      </c>
      <c r="G259" t="b">
        <v>0</v>
      </c>
      <c r="H259">
        <v>2</v>
      </c>
      <c r="I259">
        <v>1</v>
      </c>
      <c r="J259">
        <v>0.22</v>
      </c>
      <c r="K259">
        <v>0.19700000000000001</v>
      </c>
      <c r="L259">
        <v>0.37</v>
      </c>
      <c r="M259">
        <v>0.41789999999999999</v>
      </c>
      <c r="N259">
        <v>3</v>
      </c>
      <c r="O259">
        <v>61</v>
      </c>
      <c r="P259">
        <v>64</v>
      </c>
    </row>
    <row r="260" spans="1:16" x14ac:dyDescent="0.3">
      <c r="A260">
        <v>869</v>
      </c>
      <c r="B260" s="1">
        <v>40582</v>
      </c>
      <c r="C260">
        <v>1</v>
      </c>
      <c r="D260">
        <v>0</v>
      </c>
      <c r="E260">
        <v>2</v>
      </c>
      <c r="F260">
        <v>15</v>
      </c>
      <c r="G260" t="b">
        <v>0</v>
      </c>
      <c r="H260">
        <v>2</v>
      </c>
      <c r="I260">
        <v>1</v>
      </c>
      <c r="J260">
        <v>0.22</v>
      </c>
      <c r="K260">
        <v>0.19700000000000001</v>
      </c>
      <c r="L260">
        <v>0.35</v>
      </c>
      <c r="M260">
        <v>0.3881</v>
      </c>
      <c r="N260">
        <v>6</v>
      </c>
      <c r="O260">
        <v>45</v>
      </c>
      <c r="P260">
        <v>51</v>
      </c>
    </row>
    <row r="261" spans="1:16" x14ac:dyDescent="0.3">
      <c r="A261">
        <v>870</v>
      </c>
      <c r="B261" s="1">
        <v>40582</v>
      </c>
      <c r="C261">
        <v>1</v>
      </c>
      <c r="D261">
        <v>0</v>
      </c>
      <c r="E261">
        <v>2</v>
      </c>
      <c r="F261">
        <v>16</v>
      </c>
      <c r="G261" t="b">
        <v>0</v>
      </c>
      <c r="H261">
        <v>2</v>
      </c>
      <c r="I261">
        <v>1</v>
      </c>
      <c r="J261">
        <v>0.22</v>
      </c>
      <c r="K261">
        <v>0.18179999999999999</v>
      </c>
      <c r="L261">
        <v>0.35</v>
      </c>
      <c r="M261">
        <v>0.52239999999999998</v>
      </c>
      <c r="N261">
        <v>4</v>
      </c>
      <c r="O261">
        <v>79</v>
      </c>
      <c r="P261">
        <v>83</v>
      </c>
    </row>
    <row r="262" spans="1:16" x14ac:dyDescent="0.3">
      <c r="A262">
        <v>871</v>
      </c>
      <c r="B262" s="1">
        <v>40582</v>
      </c>
      <c r="C262">
        <v>1</v>
      </c>
      <c r="D262">
        <v>0</v>
      </c>
      <c r="E262">
        <v>2</v>
      </c>
      <c r="F262">
        <v>17</v>
      </c>
      <c r="G262" t="b">
        <v>0</v>
      </c>
      <c r="H262">
        <v>2</v>
      </c>
      <c r="I262">
        <v>1</v>
      </c>
      <c r="J262">
        <v>0.22</v>
      </c>
      <c r="K262">
        <v>0.18179999999999999</v>
      </c>
      <c r="L262">
        <v>0.32</v>
      </c>
      <c r="M262">
        <v>0.58209999999999995</v>
      </c>
      <c r="N262">
        <v>4</v>
      </c>
      <c r="O262">
        <v>172</v>
      </c>
      <c r="P262">
        <v>176</v>
      </c>
    </row>
    <row r="263" spans="1:16" x14ac:dyDescent="0.3">
      <c r="A263">
        <v>872</v>
      </c>
      <c r="B263" s="1">
        <v>40582</v>
      </c>
      <c r="C263">
        <v>1</v>
      </c>
      <c r="D263">
        <v>0</v>
      </c>
      <c r="E263">
        <v>2</v>
      </c>
      <c r="F263">
        <v>18</v>
      </c>
      <c r="G263" t="b">
        <v>0</v>
      </c>
      <c r="H263">
        <v>2</v>
      </c>
      <c r="I263">
        <v>1</v>
      </c>
      <c r="J263">
        <v>0.2</v>
      </c>
      <c r="K263">
        <v>0.18179999999999999</v>
      </c>
      <c r="L263">
        <v>0.32</v>
      </c>
      <c r="M263">
        <v>0.3881</v>
      </c>
      <c r="N263">
        <v>1</v>
      </c>
      <c r="O263">
        <v>151</v>
      </c>
      <c r="P263">
        <v>152</v>
      </c>
    </row>
    <row r="264" spans="1:16" x14ac:dyDescent="0.3">
      <c r="A264">
        <v>873</v>
      </c>
      <c r="B264" s="1">
        <v>40582</v>
      </c>
      <c r="C264">
        <v>1</v>
      </c>
      <c r="D264">
        <v>0</v>
      </c>
      <c r="E264">
        <v>2</v>
      </c>
      <c r="F264">
        <v>19</v>
      </c>
      <c r="G264" t="b">
        <v>0</v>
      </c>
      <c r="H264">
        <v>2</v>
      </c>
      <c r="I264">
        <v>1</v>
      </c>
      <c r="J264">
        <v>0.16</v>
      </c>
      <c r="K264">
        <v>0.1212</v>
      </c>
      <c r="L264">
        <v>0.4</v>
      </c>
      <c r="M264">
        <v>0.4627</v>
      </c>
      <c r="N264">
        <v>1</v>
      </c>
      <c r="O264">
        <v>100</v>
      </c>
      <c r="P264">
        <v>101</v>
      </c>
    </row>
    <row r="265" spans="1:16" x14ac:dyDescent="0.3">
      <c r="A265">
        <v>874</v>
      </c>
      <c r="B265" s="1">
        <v>40582</v>
      </c>
      <c r="C265">
        <v>1</v>
      </c>
      <c r="D265">
        <v>0</v>
      </c>
      <c r="E265">
        <v>2</v>
      </c>
      <c r="F265">
        <v>20</v>
      </c>
      <c r="G265" t="b">
        <v>0</v>
      </c>
      <c r="H265">
        <v>2</v>
      </c>
      <c r="I265">
        <v>1</v>
      </c>
      <c r="J265">
        <v>0.16</v>
      </c>
      <c r="K265">
        <v>0.13639999999999999</v>
      </c>
      <c r="L265">
        <v>0.4</v>
      </c>
      <c r="M265">
        <v>0.32840000000000003</v>
      </c>
      <c r="N265">
        <v>3</v>
      </c>
      <c r="O265">
        <v>53</v>
      </c>
      <c r="P265">
        <v>56</v>
      </c>
    </row>
    <row r="266" spans="1:16" x14ac:dyDescent="0.3">
      <c r="A266">
        <v>875</v>
      </c>
      <c r="B266" s="1">
        <v>40582</v>
      </c>
      <c r="C266">
        <v>1</v>
      </c>
      <c r="D266">
        <v>0</v>
      </c>
      <c r="E266">
        <v>2</v>
      </c>
      <c r="F266">
        <v>21</v>
      </c>
      <c r="G266" t="b">
        <v>0</v>
      </c>
      <c r="H266">
        <v>2</v>
      </c>
      <c r="I266">
        <v>1</v>
      </c>
      <c r="J266">
        <v>0.14000000000000001</v>
      </c>
      <c r="K266">
        <v>0.1061</v>
      </c>
      <c r="L266">
        <v>0.33</v>
      </c>
      <c r="M266">
        <v>0.4627</v>
      </c>
      <c r="N266">
        <v>8</v>
      </c>
      <c r="O266">
        <v>46</v>
      </c>
      <c r="P266">
        <v>54</v>
      </c>
    </row>
    <row r="267" spans="1:16" x14ac:dyDescent="0.3">
      <c r="A267">
        <v>876</v>
      </c>
      <c r="B267" s="1">
        <v>40582</v>
      </c>
      <c r="C267">
        <v>1</v>
      </c>
      <c r="D267">
        <v>0</v>
      </c>
      <c r="E267">
        <v>2</v>
      </c>
      <c r="F267">
        <v>22</v>
      </c>
      <c r="G267" t="b">
        <v>0</v>
      </c>
      <c r="H267">
        <v>2</v>
      </c>
      <c r="I267">
        <v>1</v>
      </c>
      <c r="J267">
        <v>0.12</v>
      </c>
      <c r="K267">
        <v>0.1061</v>
      </c>
      <c r="L267">
        <v>0.33</v>
      </c>
      <c r="M267">
        <v>0.35820000000000002</v>
      </c>
      <c r="N267">
        <v>0</v>
      </c>
      <c r="O267">
        <v>29</v>
      </c>
      <c r="P267">
        <v>29</v>
      </c>
    </row>
    <row r="268" spans="1:16" x14ac:dyDescent="0.3">
      <c r="A268">
        <v>877</v>
      </c>
      <c r="B268" s="1">
        <v>40582</v>
      </c>
      <c r="C268">
        <v>1</v>
      </c>
      <c r="D268">
        <v>0</v>
      </c>
      <c r="E268">
        <v>2</v>
      </c>
      <c r="F268">
        <v>23</v>
      </c>
      <c r="G268" t="b">
        <v>0</v>
      </c>
      <c r="H268">
        <v>2</v>
      </c>
      <c r="I268">
        <v>1</v>
      </c>
      <c r="J268">
        <v>0.12</v>
      </c>
      <c r="K268">
        <v>0.1061</v>
      </c>
      <c r="L268">
        <v>0.33</v>
      </c>
      <c r="M268">
        <v>0.32840000000000003</v>
      </c>
      <c r="N268">
        <v>3</v>
      </c>
      <c r="O268">
        <v>9</v>
      </c>
      <c r="P268">
        <v>12</v>
      </c>
    </row>
    <row r="269" spans="1:16" x14ac:dyDescent="0.3">
      <c r="A269">
        <v>878</v>
      </c>
      <c r="B269" s="1">
        <v>40583</v>
      </c>
      <c r="C269">
        <v>1</v>
      </c>
      <c r="D269">
        <v>0</v>
      </c>
      <c r="E269">
        <v>2</v>
      </c>
      <c r="F269">
        <v>0</v>
      </c>
      <c r="G269" t="b">
        <v>0</v>
      </c>
      <c r="H269">
        <v>3</v>
      </c>
      <c r="I269">
        <v>1</v>
      </c>
      <c r="J269">
        <v>0.1</v>
      </c>
      <c r="K269">
        <v>7.5800000000000006E-2</v>
      </c>
      <c r="L269">
        <v>0.36</v>
      </c>
      <c r="M269">
        <v>0.35820000000000002</v>
      </c>
      <c r="N269">
        <v>0</v>
      </c>
      <c r="O269">
        <v>17</v>
      </c>
      <c r="P269">
        <v>17</v>
      </c>
    </row>
    <row r="270" spans="1:16" x14ac:dyDescent="0.3">
      <c r="A270">
        <v>879</v>
      </c>
      <c r="B270" s="1">
        <v>40583</v>
      </c>
      <c r="C270">
        <v>1</v>
      </c>
      <c r="D270">
        <v>0</v>
      </c>
      <c r="E270">
        <v>2</v>
      </c>
      <c r="F270">
        <v>1</v>
      </c>
      <c r="G270" t="b">
        <v>0</v>
      </c>
      <c r="H270">
        <v>3</v>
      </c>
      <c r="I270">
        <v>1</v>
      </c>
      <c r="J270">
        <v>0.1</v>
      </c>
      <c r="K270">
        <v>0.1061</v>
      </c>
      <c r="L270">
        <v>0.36</v>
      </c>
      <c r="M270">
        <v>0.22389999999999999</v>
      </c>
      <c r="N270">
        <v>0</v>
      </c>
      <c r="O270">
        <v>7</v>
      </c>
      <c r="P270">
        <v>7</v>
      </c>
    </row>
    <row r="271" spans="1:16" x14ac:dyDescent="0.3">
      <c r="A271">
        <v>880</v>
      </c>
      <c r="B271" s="1">
        <v>40583</v>
      </c>
      <c r="C271">
        <v>1</v>
      </c>
      <c r="D271">
        <v>0</v>
      </c>
      <c r="E271">
        <v>2</v>
      </c>
      <c r="F271">
        <v>2</v>
      </c>
      <c r="G271" t="b">
        <v>0</v>
      </c>
      <c r="H271">
        <v>3</v>
      </c>
      <c r="I271">
        <v>1</v>
      </c>
      <c r="J271">
        <v>0.08</v>
      </c>
      <c r="K271">
        <v>7.5800000000000006E-2</v>
      </c>
      <c r="L271">
        <v>0.38</v>
      </c>
      <c r="M271">
        <v>0.28360000000000002</v>
      </c>
      <c r="N271">
        <v>1</v>
      </c>
      <c r="O271">
        <v>2</v>
      </c>
      <c r="P271">
        <v>3</v>
      </c>
    </row>
    <row r="272" spans="1:16" x14ac:dyDescent="0.3">
      <c r="A272">
        <v>881</v>
      </c>
      <c r="B272" s="1">
        <v>40583</v>
      </c>
      <c r="C272">
        <v>1</v>
      </c>
      <c r="D272">
        <v>0</v>
      </c>
      <c r="E272">
        <v>2</v>
      </c>
      <c r="F272">
        <v>3</v>
      </c>
      <c r="G272" t="b">
        <v>0</v>
      </c>
      <c r="H272">
        <v>3</v>
      </c>
      <c r="I272">
        <v>1</v>
      </c>
      <c r="J272">
        <v>0.06</v>
      </c>
      <c r="K272">
        <v>7.5800000000000006E-2</v>
      </c>
      <c r="L272">
        <v>0.45</v>
      </c>
      <c r="M272">
        <v>0.1343</v>
      </c>
      <c r="N272">
        <v>0</v>
      </c>
      <c r="O272">
        <v>2</v>
      </c>
      <c r="P272">
        <v>2</v>
      </c>
    </row>
    <row r="273" spans="1:16" x14ac:dyDescent="0.3">
      <c r="A273">
        <v>882</v>
      </c>
      <c r="B273" s="1">
        <v>40583</v>
      </c>
      <c r="C273">
        <v>1</v>
      </c>
      <c r="D273">
        <v>0</v>
      </c>
      <c r="E273">
        <v>2</v>
      </c>
      <c r="F273">
        <v>5</v>
      </c>
      <c r="G273" t="b">
        <v>0</v>
      </c>
      <c r="H273">
        <v>3</v>
      </c>
      <c r="I273">
        <v>1</v>
      </c>
      <c r="J273">
        <v>0.06</v>
      </c>
      <c r="K273">
        <v>0.1061</v>
      </c>
      <c r="L273">
        <v>0.45</v>
      </c>
      <c r="M273">
        <v>0.1045</v>
      </c>
      <c r="N273">
        <v>0</v>
      </c>
      <c r="O273">
        <v>7</v>
      </c>
      <c r="P273">
        <v>7</v>
      </c>
    </row>
    <row r="274" spans="1:16" x14ac:dyDescent="0.3">
      <c r="A274">
        <v>883</v>
      </c>
      <c r="B274" s="1">
        <v>40583</v>
      </c>
      <c r="C274">
        <v>1</v>
      </c>
      <c r="D274">
        <v>0</v>
      </c>
      <c r="E274">
        <v>2</v>
      </c>
      <c r="F274">
        <v>6</v>
      </c>
      <c r="G274" t="b">
        <v>0</v>
      </c>
      <c r="H274">
        <v>3</v>
      </c>
      <c r="I274">
        <v>1</v>
      </c>
      <c r="J274">
        <v>0.06</v>
      </c>
      <c r="K274">
        <v>0.1515</v>
      </c>
      <c r="L274">
        <v>0.45</v>
      </c>
      <c r="M274">
        <v>0</v>
      </c>
      <c r="N274">
        <v>0</v>
      </c>
      <c r="O274">
        <v>43</v>
      </c>
      <c r="P274">
        <v>43</v>
      </c>
    </row>
    <row r="275" spans="1:16" x14ac:dyDescent="0.3">
      <c r="A275">
        <v>884</v>
      </c>
      <c r="B275" s="1">
        <v>40583</v>
      </c>
      <c r="C275">
        <v>1</v>
      </c>
      <c r="D275">
        <v>0</v>
      </c>
      <c r="E275">
        <v>2</v>
      </c>
      <c r="F275">
        <v>7</v>
      </c>
      <c r="G275" t="b">
        <v>0</v>
      </c>
      <c r="H275">
        <v>3</v>
      </c>
      <c r="I275">
        <v>1</v>
      </c>
      <c r="J275">
        <v>0.06</v>
      </c>
      <c r="K275">
        <v>0.1061</v>
      </c>
      <c r="L275">
        <v>0.49</v>
      </c>
      <c r="M275">
        <v>0.1045</v>
      </c>
      <c r="N275">
        <v>4</v>
      </c>
      <c r="O275">
        <v>95</v>
      </c>
      <c r="P275">
        <v>99</v>
      </c>
    </row>
    <row r="276" spans="1:16" x14ac:dyDescent="0.3">
      <c r="A276">
        <v>885</v>
      </c>
      <c r="B276" s="1">
        <v>40583</v>
      </c>
      <c r="C276">
        <v>1</v>
      </c>
      <c r="D276">
        <v>0</v>
      </c>
      <c r="E276">
        <v>2</v>
      </c>
      <c r="F276">
        <v>8</v>
      </c>
      <c r="G276" t="b">
        <v>0</v>
      </c>
      <c r="H276">
        <v>3</v>
      </c>
      <c r="I276">
        <v>1</v>
      </c>
      <c r="J276">
        <v>0.1</v>
      </c>
      <c r="K276">
        <v>0.13639999999999999</v>
      </c>
      <c r="L276">
        <v>0.42</v>
      </c>
      <c r="M276">
        <v>0</v>
      </c>
      <c r="N276">
        <v>1</v>
      </c>
      <c r="O276">
        <v>198</v>
      </c>
      <c r="P276">
        <v>199</v>
      </c>
    </row>
    <row r="277" spans="1:16" x14ac:dyDescent="0.3">
      <c r="A277">
        <v>886</v>
      </c>
      <c r="B277" s="1">
        <v>40583</v>
      </c>
      <c r="C277">
        <v>1</v>
      </c>
      <c r="D277">
        <v>0</v>
      </c>
      <c r="E277">
        <v>2</v>
      </c>
      <c r="F277">
        <v>9</v>
      </c>
      <c r="G277" t="b">
        <v>0</v>
      </c>
      <c r="H277">
        <v>3</v>
      </c>
      <c r="I277">
        <v>1</v>
      </c>
      <c r="J277">
        <v>0.12</v>
      </c>
      <c r="K277">
        <v>0.13639999999999999</v>
      </c>
      <c r="L277">
        <v>0.39</v>
      </c>
      <c r="M277">
        <v>0.16420000000000001</v>
      </c>
      <c r="N277">
        <v>4</v>
      </c>
      <c r="O277">
        <v>119</v>
      </c>
      <c r="P277">
        <v>123</v>
      </c>
    </row>
    <row r="278" spans="1:16" x14ac:dyDescent="0.3">
      <c r="A278">
        <v>887</v>
      </c>
      <c r="B278" s="1">
        <v>40583</v>
      </c>
      <c r="C278">
        <v>1</v>
      </c>
      <c r="D278">
        <v>0</v>
      </c>
      <c r="E278">
        <v>2</v>
      </c>
      <c r="F278">
        <v>10</v>
      </c>
      <c r="G278" t="b">
        <v>0</v>
      </c>
      <c r="H278">
        <v>3</v>
      </c>
      <c r="I278">
        <v>1</v>
      </c>
      <c r="J278">
        <v>0.14000000000000001</v>
      </c>
      <c r="K278">
        <v>0.18179999999999999</v>
      </c>
      <c r="L278">
        <v>0.36</v>
      </c>
      <c r="M278">
        <v>0</v>
      </c>
      <c r="N278">
        <v>8</v>
      </c>
      <c r="O278">
        <v>51</v>
      </c>
      <c r="P278">
        <v>59</v>
      </c>
    </row>
    <row r="279" spans="1:16" x14ac:dyDescent="0.3">
      <c r="A279">
        <v>888</v>
      </c>
      <c r="B279" s="1">
        <v>40583</v>
      </c>
      <c r="C279">
        <v>1</v>
      </c>
      <c r="D279">
        <v>0</v>
      </c>
      <c r="E279">
        <v>2</v>
      </c>
      <c r="F279">
        <v>11</v>
      </c>
      <c r="G279" t="b">
        <v>0</v>
      </c>
      <c r="H279">
        <v>3</v>
      </c>
      <c r="I279">
        <v>2</v>
      </c>
      <c r="J279">
        <v>0.14000000000000001</v>
      </c>
      <c r="K279">
        <v>0.1515</v>
      </c>
      <c r="L279">
        <v>0.43</v>
      </c>
      <c r="M279">
        <v>0.16420000000000001</v>
      </c>
      <c r="N279">
        <v>1</v>
      </c>
      <c r="O279">
        <v>40</v>
      </c>
      <c r="P279">
        <v>41</v>
      </c>
    </row>
    <row r="280" spans="1:16" x14ac:dyDescent="0.3">
      <c r="A280">
        <v>889</v>
      </c>
      <c r="B280" s="1">
        <v>40583</v>
      </c>
      <c r="C280">
        <v>1</v>
      </c>
      <c r="D280">
        <v>0</v>
      </c>
      <c r="E280">
        <v>2</v>
      </c>
      <c r="F280">
        <v>12</v>
      </c>
      <c r="G280" t="b">
        <v>0</v>
      </c>
      <c r="H280">
        <v>3</v>
      </c>
      <c r="I280">
        <v>2</v>
      </c>
      <c r="J280">
        <v>0.18</v>
      </c>
      <c r="K280">
        <v>0.18179999999999999</v>
      </c>
      <c r="L280">
        <v>0.4</v>
      </c>
      <c r="M280">
        <v>0.22389999999999999</v>
      </c>
      <c r="N280">
        <v>4</v>
      </c>
      <c r="O280">
        <v>57</v>
      </c>
      <c r="P280">
        <v>61</v>
      </c>
    </row>
    <row r="281" spans="1:16" x14ac:dyDescent="0.3">
      <c r="A281">
        <v>890</v>
      </c>
      <c r="B281" s="1">
        <v>40583</v>
      </c>
      <c r="C281">
        <v>1</v>
      </c>
      <c r="D281">
        <v>0</v>
      </c>
      <c r="E281">
        <v>2</v>
      </c>
      <c r="F281">
        <v>13</v>
      </c>
      <c r="G281" t="b">
        <v>0</v>
      </c>
      <c r="H281">
        <v>3</v>
      </c>
      <c r="I281">
        <v>1</v>
      </c>
      <c r="J281">
        <v>0.18</v>
      </c>
      <c r="K281">
        <v>0.16669999999999999</v>
      </c>
      <c r="L281">
        <v>0.4</v>
      </c>
      <c r="M281">
        <v>0.25369999999999998</v>
      </c>
      <c r="N281">
        <v>2</v>
      </c>
      <c r="O281">
        <v>67</v>
      </c>
      <c r="P281">
        <v>69</v>
      </c>
    </row>
    <row r="282" spans="1:16" x14ac:dyDescent="0.3">
      <c r="A282">
        <v>891</v>
      </c>
      <c r="B282" s="1">
        <v>40583</v>
      </c>
      <c r="C282">
        <v>1</v>
      </c>
      <c r="D282">
        <v>0</v>
      </c>
      <c r="E282">
        <v>2</v>
      </c>
      <c r="F282">
        <v>14</v>
      </c>
      <c r="G282" t="b">
        <v>0</v>
      </c>
      <c r="H282">
        <v>3</v>
      </c>
      <c r="I282">
        <v>1</v>
      </c>
      <c r="J282">
        <v>0.2</v>
      </c>
      <c r="K282">
        <v>0.18179999999999999</v>
      </c>
      <c r="L282">
        <v>0.34</v>
      </c>
      <c r="M282">
        <v>0.29849999999999999</v>
      </c>
      <c r="N282">
        <v>2</v>
      </c>
      <c r="O282">
        <v>56</v>
      </c>
      <c r="P282">
        <v>58</v>
      </c>
    </row>
    <row r="283" spans="1:16" x14ac:dyDescent="0.3">
      <c r="A283">
        <v>892</v>
      </c>
      <c r="B283" s="1">
        <v>40583</v>
      </c>
      <c r="C283">
        <v>1</v>
      </c>
      <c r="D283">
        <v>0</v>
      </c>
      <c r="E283">
        <v>2</v>
      </c>
      <c r="F283">
        <v>15</v>
      </c>
      <c r="G283" t="b">
        <v>0</v>
      </c>
      <c r="H283">
        <v>3</v>
      </c>
      <c r="I283">
        <v>2</v>
      </c>
      <c r="J283">
        <v>0.2</v>
      </c>
      <c r="K283">
        <v>0.18179999999999999</v>
      </c>
      <c r="L283">
        <v>0.34</v>
      </c>
      <c r="M283">
        <v>0.28360000000000002</v>
      </c>
      <c r="N283">
        <v>3</v>
      </c>
      <c r="O283">
        <v>61</v>
      </c>
      <c r="P283">
        <v>64</v>
      </c>
    </row>
    <row r="284" spans="1:16" x14ac:dyDescent="0.3">
      <c r="A284">
        <v>893</v>
      </c>
      <c r="B284" s="1">
        <v>40583</v>
      </c>
      <c r="C284">
        <v>1</v>
      </c>
      <c r="D284">
        <v>0</v>
      </c>
      <c r="E284">
        <v>2</v>
      </c>
      <c r="F284">
        <v>16</v>
      </c>
      <c r="G284" t="b">
        <v>0</v>
      </c>
      <c r="H284">
        <v>3</v>
      </c>
      <c r="I284">
        <v>2</v>
      </c>
      <c r="J284">
        <v>0.2</v>
      </c>
      <c r="K284">
        <v>0.19700000000000001</v>
      </c>
      <c r="L284">
        <v>0.37</v>
      </c>
      <c r="M284">
        <v>0.25369999999999998</v>
      </c>
      <c r="N284">
        <v>7</v>
      </c>
      <c r="O284">
        <v>72</v>
      </c>
      <c r="P284">
        <v>79</v>
      </c>
    </row>
    <row r="285" spans="1:16" x14ac:dyDescent="0.3">
      <c r="A285">
        <v>894</v>
      </c>
      <c r="B285" s="1">
        <v>40583</v>
      </c>
      <c r="C285">
        <v>1</v>
      </c>
      <c r="D285">
        <v>0</v>
      </c>
      <c r="E285">
        <v>2</v>
      </c>
      <c r="F285">
        <v>17</v>
      </c>
      <c r="G285" t="b">
        <v>0</v>
      </c>
      <c r="H285">
        <v>3</v>
      </c>
      <c r="I285">
        <v>2</v>
      </c>
      <c r="J285">
        <v>0.2</v>
      </c>
      <c r="K285">
        <v>0.19700000000000001</v>
      </c>
      <c r="L285">
        <v>0.34</v>
      </c>
      <c r="M285">
        <v>0.25369999999999998</v>
      </c>
      <c r="N285">
        <v>9</v>
      </c>
      <c r="O285">
        <v>157</v>
      </c>
      <c r="P285">
        <v>166</v>
      </c>
    </row>
    <row r="286" spans="1:16" x14ac:dyDescent="0.3">
      <c r="A286">
        <v>895</v>
      </c>
      <c r="B286" s="1">
        <v>40583</v>
      </c>
      <c r="C286">
        <v>1</v>
      </c>
      <c r="D286">
        <v>0</v>
      </c>
      <c r="E286">
        <v>2</v>
      </c>
      <c r="F286">
        <v>18</v>
      </c>
      <c r="G286" t="b">
        <v>0</v>
      </c>
      <c r="H286">
        <v>3</v>
      </c>
      <c r="I286">
        <v>2</v>
      </c>
      <c r="J286">
        <v>0.18</v>
      </c>
      <c r="K286">
        <v>0.16669999999999999</v>
      </c>
      <c r="L286">
        <v>0.47</v>
      </c>
      <c r="M286">
        <v>0.29849999999999999</v>
      </c>
      <c r="N286">
        <v>2</v>
      </c>
      <c r="O286">
        <v>168</v>
      </c>
      <c r="P286">
        <v>170</v>
      </c>
    </row>
    <row r="287" spans="1:16" x14ac:dyDescent="0.3">
      <c r="A287">
        <v>896</v>
      </c>
      <c r="B287" s="1">
        <v>40583</v>
      </c>
      <c r="C287">
        <v>1</v>
      </c>
      <c r="D287">
        <v>0</v>
      </c>
      <c r="E287">
        <v>2</v>
      </c>
      <c r="F287">
        <v>19</v>
      </c>
      <c r="G287" t="b">
        <v>0</v>
      </c>
      <c r="H287">
        <v>3</v>
      </c>
      <c r="I287">
        <v>3</v>
      </c>
      <c r="J287">
        <v>0.14000000000000001</v>
      </c>
      <c r="K287">
        <v>0.1212</v>
      </c>
      <c r="L287">
        <v>0.86</v>
      </c>
      <c r="M287">
        <v>0.25369999999999998</v>
      </c>
      <c r="N287">
        <v>1</v>
      </c>
      <c r="O287">
        <v>87</v>
      </c>
      <c r="P287">
        <v>88</v>
      </c>
    </row>
    <row r="288" spans="1:16" x14ac:dyDescent="0.3">
      <c r="A288">
        <v>897</v>
      </c>
      <c r="B288" s="1">
        <v>40583</v>
      </c>
      <c r="C288">
        <v>1</v>
      </c>
      <c r="D288">
        <v>0</v>
      </c>
      <c r="E288">
        <v>2</v>
      </c>
      <c r="F288">
        <v>20</v>
      </c>
      <c r="G288" t="b">
        <v>0</v>
      </c>
      <c r="H288">
        <v>3</v>
      </c>
      <c r="I288">
        <v>3</v>
      </c>
      <c r="J288">
        <v>0.14000000000000001</v>
      </c>
      <c r="K288">
        <v>0.1515</v>
      </c>
      <c r="L288">
        <v>0.86</v>
      </c>
      <c r="M288">
        <v>0.16420000000000001</v>
      </c>
      <c r="N288">
        <v>0</v>
      </c>
      <c r="O288">
        <v>84</v>
      </c>
      <c r="P288">
        <v>84</v>
      </c>
    </row>
    <row r="289" spans="1:16" x14ac:dyDescent="0.3">
      <c r="A289">
        <v>898</v>
      </c>
      <c r="B289" s="1">
        <v>40583</v>
      </c>
      <c r="C289">
        <v>1</v>
      </c>
      <c r="D289">
        <v>0</v>
      </c>
      <c r="E289">
        <v>2</v>
      </c>
      <c r="F289">
        <v>21</v>
      </c>
      <c r="G289" t="b">
        <v>0</v>
      </c>
      <c r="H289">
        <v>3</v>
      </c>
      <c r="I289">
        <v>2</v>
      </c>
      <c r="J289">
        <v>0.14000000000000001</v>
      </c>
      <c r="K289">
        <v>0.1515</v>
      </c>
      <c r="L289">
        <v>0.86</v>
      </c>
      <c r="M289">
        <v>0.16420000000000001</v>
      </c>
      <c r="N289">
        <v>0</v>
      </c>
      <c r="O289">
        <v>83</v>
      </c>
      <c r="P289">
        <v>83</v>
      </c>
    </row>
    <row r="290" spans="1:16" x14ac:dyDescent="0.3">
      <c r="A290">
        <v>899</v>
      </c>
      <c r="B290" s="1">
        <v>40583</v>
      </c>
      <c r="C290">
        <v>1</v>
      </c>
      <c r="D290">
        <v>0</v>
      </c>
      <c r="E290">
        <v>2</v>
      </c>
      <c r="F290">
        <v>22</v>
      </c>
      <c r="G290" t="b">
        <v>0</v>
      </c>
      <c r="H290">
        <v>3</v>
      </c>
      <c r="I290">
        <v>3</v>
      </c>
      <c r="J290">
        <v>0.16</v>
      </c>
      <c r="K290">
        <v>0.16669999999999999</v>
      </c>
      <c r="L290">
        <v>0.8</v>
      </c>
      <c r="M290">
        <v>0.16420000000000001</v>
      </c>
      <c r="N290">
        <v>4</v>
      </c>
      <c r="O290">
        <v>42</v>
      </c>
      <c r="P290">
        <v>46</v>
      </c>
    </row>
    <row r="291" spans="1:16" x14ac:dyDescent="0.3">
      <c r="A291">
        <v>900</v>
      </c>
      <c r="B291" s="1">
        <v>40583</v>
      </c>
      <c r="C291">
        <v>1</v>
      </c>
      <c r="D291">
        <v>0</v>
      </c>
      <c r="E291">
        <v>2</v>
      </c>
      <c r="F291">
        <v>23</v>
      </c>
      <c r="G291" t="b">
        <v>0</v>
      </c>
      <c r="H291">
        <v>3</v>
      </c>
      <c r="I291">
        <v>3</v>
      </c>
      <c r="J291">
        <v>0.16</v>
      </c>
      <c r="K291">
        <v>0.1515</v>
      </c>
      <c r="L291">
        <v>0.8</v>
      </c>
      <c r="M291">
        <v>0.19400000000000001</v>
      </c>
      <c r="N291">
        <v>0</v>
      </c>
      <c r="O291">
        <v>37</v>
      </c>
      <c r="P291">
        <v>37</v>
      </c>
    </row>
    <row r="292" spans="1:16" x14ac:dyDescent="0.3">
      <c r="A292">
        <v>901</v>
      </c>
      <c r="B292" s="1">
        <v>40584</v>
      </c>
      <c r="C292">
        <v>1</v>
      </c>
      <c r="D292">
        <v>0</v>
      </c>
      <c r="E292">
        <v>2</v>
      </c>
      <c r="F292">
        <v>0</v>
      </c>
      <c r="G292" t="b">
        <v>0</v>
      </c>
      <c r="H292">
        <v>4</v>
      </c>
      <c r="I292">
        <v>3</v>
      </c>
      <c r="J292">
        <v>0.14000000000000001</v>
      </c>
      <c r="K292">
        <v>0.13639999999999999</v>
      </c>
      <c r="L292">
        <v>0.86</v>
      </c>
      <c r="M292">
        <v>0.19400000000000001</v>
      </c>
      <c r="N292">
        <v>0</v>
      </c>
      <c r="O292">
        <v>16</v>
      </c>
      <c r="P292">
        <v>16</v>
      </c>
    </row>
    <row r="293" spans="1:16" x14ac:dyDescent="0.3">
      <c r="A293">
        <v>902</v>
      </c>
      <c r="B293" s="1">
        <v>40584</v>
      </c>
      <c r="C293">
        <v>1</v>
      </c>
      <c r="D293">
        <v>0</v>
      </c>
      <c r="E293">
        <v>2</v>
      </c>
      <c r="F293">
        <v>1</v>
      </c>
      <c r="G293" t="b">
        <v>0</v>
      </c>
      <c r="H293">
        <v>4</v>
      </c>
      <c r="I293">
        <v>3</v>
      </c>
      <c r="J293">
        <v>0.14000000000000001</v>
      </c>
      <c r="K293">
        <v>0.1515</v>
      </c>
      <c r="L293">
        <v>0.8</v>
      </c>
      <c r="M293">
        <v>0.1343</v>
      </c>
      <c r="N293">
        <v>0</v>
      </c>
      <c r="O293">
        <v>7</v>
      </c>
      <c r="P293">
        <v>7</v>
      </c>
    </row>
    <row r="294" spans="1:16" x14ac:dyDescent="0.3">
      <c r="A294">
        <v>903</v>
      </c>
      <c r="B294" s="1">
        <v>40584</v>
      </c>
      <c r="C294">
        <v>1</v>
      </c>
      <c r="D294">
        <v>0</v>
      </c>
      <c r="E294">
        <v>2</v>
      </c>
      <c r="F294">
        <v>2</v>
      </c>
      <c r="G294" t="b">
        <v>0</v>
      </c>
      <c r="H294">
        <v>4</v>
      </c>
      <c r="I294">
        <v>3</v>
      </c>
      <c r="J294">
        <v>0.14000000000000001</v>
      </c>
      <c r="K294">
        <v>0.1515</v>
      </c>
      <c r="L294">
        <v>0.8</v>
      </c>
      <c r="M294">
        <v>0.1343</v>
      </c>
      <c r="N294">
        <v>0</v>
      </c>
      <c r="O294">
        <v>3</v>
      </c>
      <c r="P294">
        <v>3</v>
      </c>
    </row>
    <row r="295" spans="1:16" x14ac:dyDescent="0.3">
      <c r="A295">
        <v>904</v>
      </c>
      <c r="B295" s="1">
        <v>40584</v>
      </c>
      <c r="C295">
        <v>1</v>
      </c>
      <c r="D295">
        <v>0</v>
      </c>
      <c r="E295">
        <v>2</v>
      </c>
      <c r="F295">
        <v>4</v>
      </c>
      <c r="G295" t="b">
        <v>0</v>
      </c>
      <c r="H295">
        <v>4</v>
      </c>
      <c r="I295">
        <v>2</v>
      </c>
      <c r="J295">
        <v>0.14000000000000001</v>
      </c>
      <c r="K295">
        <v>0.13639999999999999</v>
      </c>
      <c r="L295">
        <v>0.59</v>
      </c>
      <c r="M295">
        <v>0.22389999999999999</v>
      </c>
      <c r="N295">
        <v>0</v>
      </c>
      <c r="O295">
        <v>1</v>
      </c>
      <c r="P295">
        <v>1</v>
      </c>
    </row>
    <row r="296" spans="1:16" x14ac:dyDescent="0.3">
      <c r="A296">
        <v>905</v>
      </c>
      <c r="B296" s="1">
        <v>40584</v>
      </c>
      <c r="C296">
        <v>1</v>
      </c>
      <c r="D296">
        <v>0</v>
      </c>
      <c r="E296">
        <v>2</v>
      </c>
      <c r="F296">
        <v>5</v>
      </c>
      <c r="G296" t="b">
        <v>0</v>
      </c>
      <c r="H296">
        <v>4</v>
      </c>
      <c r="I296">
        <v>2</v>
      </c>
      <c r="J296">
        <v>0.12</v>
      </c>
      <c r="K296">
        <v>0.1212</v>
      </c>
      <c r="L296">
        <v>0.5</v>
      </c>
      <c r="M296">
        <v>0.22389999999999999</v>
      </c>
      <c r="N296">
        <v>0</v>
      </c>
      <c r="O296">
        <v>6</v>
      </c>
      <c r="P296">
        <v>6</v>
      </c>
    </row>
    <row r="297" spans="1:16" x14ac:dyDescent="0.3">
      <c r="A297">
        <v>906</v>
      </c>
      <c r="B297" s="1">
        <v>40584</v>
      </c>
      <c r="C297">
        <v>1</v>
      </c>
      <c r="D297">
        <v>0</v>
      </c>
      <c r="E297">
        <v>2</v>
      </c>
      <c r="F297">
        <v>6</v>
      </c>
      <c r="G297" t="b">
        <v>0</v>
      </c>
      <c r="H297">
        <v>4</v>
      </c>
      <c r="I297">
        <v>2</v>
      </c>
      <c r="J297">
        <v>0.12</v>
      </c>
      <c r="K297">
        <v>0.1212</v>
      </c>
      <c r="L297">
        <v>0.54</v>
      </c>
      <c r="M297">
        <v>0.28360000000000002</v>
      </c>
      <c r="N297">
        <v>0</v>
      </c>
      <c r="O297">
        <v>26</v>
      </c>
      <c r="P297">
        <v>26</v>
      </c>
    </row>
    <row r="298" spans="1:16" x14ac:dyDescent="0.3">
      <c r="A298">
        <v>907</v>
      </c>
      <c r="B298" s="1">
        <v>40584</v>
      </c>
      <c r="C298">
        <v>1</v>
      </c>
      <c r="D298">
        <v>0</v>
      </c>
      <c r="E298">
        <v>2</v>
      </c>
      <c r="F298">
        <v>7</v>
      </c>
      <c r="G298" t="b">
        <v>0</v>
      </c>
      <c r="H298">
        <v>4</v>
      </c>
      <c r="I298">
        <v>1</v>
      </c>
      <c r="J298">
        <v>0.1</v>
      </c>
      <c r="K298">
        <v>7.5800000000000006E-2</v>
      </c>
      <c r="L298">
        <v>0.5</v>
      </c>
      <c r="M298">
        <v>0.41789999999999999</v>
      </c>
      <c r="N298">
        <v>0</v>
      </c>
      <c r="O298">
        <v>99</v>
      </c>
      <c r="P298">
        <v>99</v>
      </c>
    </row>
    <row r="299" spans="1:16" x14ac:dyDescent="0.3">
      <c r="A299">
        <v>908</v>
      </c>
      <c r="B299" s="1">
        <v>40584</v>
      </c>
      <c r="C299">
        <v>1</v>
      </c>
      <c r="D299">
        <v>0</v>
      </c>
      <c r="E299">
        <v>2</v>
      </c>
      <c r="F299">
        <v>8</v>
      </c>
      <c r="G299" t="b">
        <v>0</v>
      </c>
      <c r="H299">
        <v>4</v>
      </c>
      <c r="I299">
        <v>1</v>
      </c>
      <c r="J299">
        <v>0.1</v>
      </c>
      <c r="K299">
        <v>7.5800000000000006E-2</v>
      </c>
      <c r="L299">
        <v>0.49</v>
      </c>
      <c r="M299">
        <v>0.32840000000000003</v>
      </c>
      <c r="N299">
        <v>5</v>
      </c>
      <c r="O299">
        <v>173</v>
      </c>
      <c r="P299">
        <v>178</v>
      </c>
    </row>
    <row r="300" spans="1:16" x14ac:dyDescent="0.3">
      <c r="A300">
        <v>909</v>
      </c>
      <c r="B300" s="1">
        <v>40584</v>
      </c>
      <c r="C300">
        <v>1</v>
      </c>
      <c r="D300">
        <v>0</v>
      </c>
      <c r="E300">
        <v>2</v>
      </c>
      <c r="F300">
        <v>9</v>
      </c>
      <c r="G300" t="b">
        <v>0</v>
      </c>
      <c r="H300">
        <v>4</v>
      </c>
      <c r="I300">
        <v>1</v>
      </c>
      <c r="J300">
        <v>0.12</v>
      </c>
      <c r="K300">
        <v>0.1061</v>
      </c>
      <c r="L300">
        <v>0.42</v>
      </c>
      <c r="M300">
        <v>0.35820000000000002</v>
      </c>
      <c r="N300">
        <v>1</v>
      </c>
      <c r="O300">
        <v>121</v>
      </c>
      <c r="P300">
        <v>122</v>
      </c>
    </row>
    <row r="301" spans="1:16" x14ac:dyDescent="0.3">
      <c r="A301">
        <v>910</v>
      </c>
      <c r="B301" s="1">
        <v>40584</v>
      </c>
      <c r="C301">
        <v>1</v>
      </c>
      <c r="D301">
        <v>0</v>
      </c>
      <c r="E301">
        <v>2</v>
      </c>
      <c r="F301">
        <v>10</v>
      </c>
      <c r="G301" t="b">
        <v>0</v>
      </c>
      <c r="H301">
        <v>4</v>
      </c>
      <c r="I301">
        <v>1</v>
      </c>
      <c r="J301">
        <v>0.12</v>
      </c>
      <c r="K301">
        <v>0.1061</v>
      </c>
      <c r="L301">
        <v>0.42</v>
      </c>
      <c r="M301">
        <v>0.29849999999999999</v>
      </c>
      <c r="N301">
        <v>1</v>
      </c>
      <c r="O301">
        <v>34</v>
      </c>
      <c r="P301">
        <v>35</v>
      </c>
    </row>
    <row r="302" spans="1:16" x14ac:dyDescent="0.3">
      <c r="A302">
        <v>911</v>
      </c>
      <c r="B302" s="1">
        <v>40584</v>
      </c>
      <c r="C302">
        <v>1</v>
      </c>
      <c r="D302">
        <v>0</v>
      </c>
      <c r="E302">
        <v>2</v>
      </c>
      <c r="F302">
        <v>11</v>
      </c>
      <c r="G302" t="b">
        <v>0</v>
      </c>
      <c r="H302">
        <v>4</v>
      </c>
      <c r="I302">
        <v>1</v>
      </c>
      <c r="J302">
        <v>0.14000000000000001</v>
      </c>
      <c r="K302">
        <v>0.1212</v>
      </c>
      <c r="L302">
        <v>0.39</v>
      </c>
      <c r="M302">
        <v>0.35820000000000002</v>
      </c>
      <c r="N302">
        <v>1</v>
      </c>
      <c r="O302">
        <v>44</v>
      </c>
      <c r="P302">
        <v>45</v>
      </c>
    </row>
    <row r="303" spans="1:16" x14ac:dyDescent="0.3">
      <c r="A303">
        <v>912</v>
      </c>
      <c r="B303" s="1">
        <v>40584</v>
      </c>
      <c r="C303">
        <v>1</v>
      </c>
      <c r="D303">
        <v>0</v>
      </c>
      <c r="E303">
        <v>2</v>
      </c>
      <c r="F303">
        <v>12</v>
      </c>
      <c r="G303" t="b">
        <v>0</v>
      </c>
      <c r="H303">
        <v>4</v>
      </c>
      <c r="I303">
        <v>1</v>
      </c>
      <c r="J303">
        <v>0.16</v>
      </c>
      <c r="K303">
        <v>0.13639999999999999</v>
      </c>
      <c r="L303">
        <v>0.34</v>
      </c>
      <c r="M303">
        <v>0.3881</v>
      </c>
      <c r="N303">
        <v>4</v>
      </c>
      <c r="O303">
        <v>65</v>
      </c>
      <c r="P303">
        <v>69</v>
      </c>
    </row>
    <row r="304" spans="1:16" x14ac:dyDescent="0.3">
      <c r="A304">
        <v>913</v>
      </c>
      <c r="B304" s="1">
        <v>40584</v>
      </c>
      <c r="C304">
        <v>1</v>
      </c>
      <c r="D304">
        <v>0</v>
      </c>
      <c r="E304">
        <v>2</v>
      </c>
      <c r="F304">
        <v>13</v>
      </c>
      <c r="G304" t="b">
        <v>0</v>
      </c>
      <c r="H304">
        <v>4</v>
      </c>
      <c r="I304">
        <v>1</v>
      </c>
      <c r="J304">
        <v>0.18</v>
      </c>
      <c r="K304">
        <v>0.16669999999999999</v>
      </c>
      <c r="L304">
        <v>0.28999999999999998</v>
      </c>
      <c r="M304">
        <v>0.29849999999999999</v>
      </c>
      <c r="N304">
        <v>3</v>
      </c>
      <c r="O304">
        <v>59</v>
      </c>
      <c r="P304">
        <v>62</v>
      </c>
    </row>
    <row r="305" spans="1:16" x14ac:dyDescent="0.3">
      <c r="A305">
        <v>914</v>
      </c>
      <c r="B305" s="1">
        <v>40584</v>
      </c>
      <c r="C305">
        <v>1</v>
      </c>
      <c r="D305">
        <v>0</v>
      </c>
      <c r="E305">
        <v>2</v>
      </c>
      <c r="F305">
        <v>14</v>
      </c>
      <c r="G305" t="b">
        <v>0</v>
      </c>
      <c r="H305">
        <v>4</v>
      </c>
      <c r="I305">
        <v>1</v>
      </c>
      <c r="J305">
        <v>0.2</v>
      </c>
      <c r="K305">
        <v>0.18179999999999999</v>
      </c>
      <c r="L305">
        <v>0.27</v>
      </c>
      <c r="M305">
        <v>0.28360000000000002</v>
      </c>
      <c r="N305">
        <v>6</v>
      </c>
      <c r="O305">
        <v>42</v>
      </c>
      <c r="P305">
        <v>48</v>
      </c>
    </row>
    <row r="306" spans="1:16" x14ac:dyDescent="0.3">
      <c r="A306">
        <v>915</v>
      </c>
      <c r="B306" s="1">
        <v>40584</v>
      </c>
      <c r="C306">
        <v>1</v>
      </c>
      <c r="D306">
        <v>0</v>
      </c>
      <c r="E306">
        <v>2</v>
      </c>
      <c r="F306">
        <v>15</v>
      </c>
      <c r="G306" t="b">
        <v>0</v>
      </c>
      <c r="H306">
        <v>4</v>
      </c>
      <c r="I306">
        <v>1</v>
      </c>
      <c r="J306">
        <v>0.2</v>
      </c>
      <c r="K306">
        <v>0.19700000000000001</v>
      </c>
      <c r="L306">
        <v>0.25</v>
      </c>
      <c r="M306">
        <v>0.25369999999999998</v>
      </c>
      <c r="N306">
        <v>0</v>
      </c>
      <c r="O306">
        <v>50</v>
      </c>
      <c r="P306">
        <v>50</v>
      </c>
    </row>
    <row r="307" spans="1:16" x14ac:dyDescent="0.3">
      <c r="A307">
        <v>916</v>
      </c>
      <c r="B307" s="1">
        <v>40584</v>
      </c>
      <c r="C307">
        <v>1</v>
      </c>
      <c r="D307">
        <v>0</v>
      </c>
      <c r="E307">
        <v>2</v>
      </c>
      <c r="F307">
        <v>16</v>
      </c>
      <c r="G307" t="b">
        <v>0</v>
      </c>
      <c r="H307">
        <v>4</v>
      </c>
      <c r="I307">
        <v>1</v>
      </c>
      <c r="J307">
        <v>0.2</v>
      </c>
      <c r="K307">
        <v>0.18179999999999999</v>
      </c>
      <c r="L307">
        <v>0.27</v>
      </c>
      <c r="M307">
        <v>0.29849999999999999</v>
      </c>
      <c r="N307">
        <v>4</v>
      </c>
      <c r="O307">
        <v>76</v>
      </c>
      <c r="P307">
        <v>80</v>
      </c>
    </row>
    <row r="308" spans="1:16" x14ac:dyDescent="0.3">
      <c r="A308">
        <v>917</v>
      </c>
      <c r="B308" s="1">
        <v>40584</v>
      </c>
      <c r="C308">
        <v>1</v>
      </c>
      <c r="D308">
        <v>0</v>
      </c>
      <c r="E308">
        <v>2</v>
      </c>
      <c r="F308">
        <v>17</v>
      </c>
      <c r="G308" t="b">
        <v>0</v>
      </c>
      <c r="H308">
        <v>4</v>
      </c>
      <c r="I308">
        <v>1</v>
      </c>
      <c r="J308">
        <v>0.18</v>
      </c>
      <c r="K308">
        <v>0.18179999999999999</v>
      </c>
      <c r="L308">
        <v>0.26</v>
      </c>
      <c r="M308">
        <v>0.19400000000000001</v>
      </c>
      <c r="N308">
        <v>6</v>
      </c>
      <c r="O308">
        <v>159</v>
      </c>
      <c r="P308">
        <v>165</v>
      </c>
    </row>
    <row r="309" spans="1:16" x14ac:dyDescent="0.3">
      <c r="A309">
        <v>918</v>
      </c>
      <c r="B309" s="1">
        <v>40584</v>
      </c>
      <c r="C309">
        <v>1</v>
      </c>
      <c r="D309">
        <v>0</v>
      </c>
      <c r="E309">
        <v>2</v>
      </c>
      <c r="F309">
        <v>18</v>
      </c>
      <c r="G309" t="b">
        <v>0</v>
      </c>
      <c r="H309">
        <v>4</v>
      </c>
      <c r="I309">
        <v>1</v>
      </c>
      <c r="J309">
        <v>0.16</v>
      </c>
      <c r="K309">
        <v>0.18179999999999999</v>
      </c>
      <c r="L309">
        <v>0.28000000000000003</v>
      </c>
      <c r="M309">
        <v>0.1343</v>
      </c>
      <c r="N309">
        <v>3</v>
      </c>
      <c r="O309">
        <v>157</v>
      </c>
      <c r="P309">
        <v>160</v>
      </c>
    </row>
    <row r="310" spans="1:16" x14ac:dyDescent="0.3">
      <c r="A310">
        <v>919</v>
      </c>
      <c r="B310" s="1">
        <v>40584</v>
      </c>
      <c r="C310">
        <v>1</v>
      </c>
      <c r="D310">
        <v>0</v>
      </c>
      <c r="E310">
        <v>2</v>
      </c>
      <c r="F310">
        <v>19</v>
      </c>
      <c r="G310" t="b">
        <v>0</v>
      </c>
      <c r="H310">
        <v>4</v>
      </c>
      <c r="I310">
        <v>1</v>
      </c>
      <c r="J310">
        <v>0.14000000000000001</v>
      </c>
      <c r="K310">
        <v>0.16669999999999999</v>
      </c>
      <c r="L310">
        <v>0.28000000000000003</v>
      </c>
      <c r="M310">
        <v>0.1045</v>
      </c>
      <c r="N310">
        <v>2</v>
      </c>
      <c r="O310">
        <v>110</v>
      </c>
      <c r="P310">
        <v>112</v>
      </c>
    </row>
    <row r="311" spans="1:16" x14ac:dyDescent="0.3">
      <c r="A311">
        <v>920</v>
      </c>
      <c r="B311" s="1">
        <v>40584</v>
      </c>
      <c r="C311">
        <v>1</v>
      </c>
      <c r="D311">
        <v>0</v>
      </c>
      <c r="E311">
        <v>2</v>
      </c>
      <c r="F311">
        <v>20</v>
      </c>
      <c r="G311" t="b">
        <v>0</v>
      </c>
      <c r="H311">
        <v>4</v>
      </c>
      <c r="I311">
        <v>1</v>
      </c>
      <c r="J311">
        <v>0.14000000000000001</v>
      </c>
      <c r="K311">
        <v>0.18179999999999999</v>
      </c>
      <c r="L311">
        <v>0.31</v>
      </c>
      <c r="M311">
        <v>8.9599999999999999E-2</v>
      </c>
      <c r="N311">
        <v>4</v>
      </c>
      <c r="O311">
        <v>93</v>
      </c>
      <c r="P311">
        <v>97</v>
      </c>
    </row>
    <row r="312" spans="1:16" x14ac:dyDescent="0.3">
      <c r="A312">
        <v>921</v>
      </c>
      <c r="B312" s="1">
        <v>40584</v>
      </c>
      <c r="C312">
        <v>1</v>
      </c>
      <c r="D312">
        <v>0</v>
      </c>
      <c r="E312">
        <v>2</v>
      </c>
      <c r="F312">
        <v>21</v>
      </c>
      <c r="G312" t="b">
        <v>0</v>
      </c>
      <c r="H312">
        <v>4</v>
      </c>
      <c r="I312">
        <v>1</v>
      </c>
      <c r="J312">
        <v>0.14000000000000001</v>
      </c>
      <c r="K312">
        <v>0.21210000000000001</v>
      </c>
      <c r="L312">
        <v>0.39</v>
      </c>
      <c r="M312">
        <v>0</v>
      </c>
      <c r="N312">
        <v>2</v>
      </c>
      <c r="O312">
        <v>70</v>
      </c>
      <c r="P312">
        <v>72</v>
      </c>
    </row>
    <row r="313" spans="1:16" x14ac:dyDescent="0.3">
      <c r="A313">
        <v>922</v>
      </c>
      <c r="B313" s="1">
        <v>40584</v>
      </c>
      <c r="C313">
        <v>1</v>
      </c>
      <c r="D313">
        <v>0</v>
      </c>
      <c r="E313">
        <v>2</v>
      </c>
      <c r="F313">
        <v>22</v>
      </c>
      <c r="G313" t="b">
        <v>0</v>
      </c>
      <c r="H313">
        <v>4</v>
      </c>
      <c r="I313">
        <v>1</v>
      </c>
      <c r="J313">
        <v>0.12</v>
      </c>
      <c r="K313">
        <v>0.19700000000000001</v>
      </c>
      <c r="L313">
        <v>0.39</v>
      </c>
      <c r="M313">
        <v>0</v>
      </c>
      <c r="N313">
        <v>4</v>
      </c>
      <c r="O313">
        <v>47</v>
      </c>
      <c r="P313">
        <v>51</v>
      </c>
    </row>
    <row r="314" spans="1:16" x14ac:dyDescent="0.3">
      <c r="A314">
        <v>923</v>
      </c>
      <c r="B314" s="1">
        <v>40584</v>
      </c>
      <c r="C314">
        <v>1</v>
      </c>
      <c r="D314">
        <v>0</v>
      </c>
      <c r="E314">
        <v>2</v>
      </c>
      <c r="F314">
        <v>23</v>
      </c>
      <c r="G314" t="b">
        <v>0</v>
      </c>
      <c r="H314">
        <v>4</v>
      </c>
      <c r="I314">
        <v>1</v>
      </c>
      <c r="J314">
        <v>0.12</v>
      </c>
      <c r="K314">
        <v>0.1515</v>
      </c>
      <c r="L314">
        <v>0.42</v>
      </c>
      <c r="M314">
        <v>0.1045</v>
      </c>
      <c r="N314">
        <v>1</v>
      </c>
      <c r="O314">
        <v>33</v>
      </c>
      <c r="P314">
        <v>34</v>
      </c>
    </row>
    <row r="315" spans="1:16" x14ac:dyDescent="0.3">
      <c r="A315">
        <v>924</v>
      </c>
      <c r="B315" s="1">
        <v>40585</v>
      </c>
      <c r="C315">
        <v>1</v>
      </c>
      <c r="D315">
        <v>0</v>
      </c>
      <c r="E315">
        <v>2</v>
      </c>
      <c r="F315">
        <v>0</v>
      </c>
      <c r="G315" t="b">
        <v>0</v>
      </c>
      <c r="H315">
        <v>5</v>
      </c>
      <c r="I315">
        <v>1</v>
      </c>
      <c r="J315">
        <v>0.1</v>
      </c>
      <c r="K315">
        <v>0.13639999999999999</v>
      </c>
      <c r="L315">
        <v>0.49</v>
      </c>
      <c r="M315">
        <v>0.1045</v>
      </c>
      <c r="N315">
        <v>2</v>
      </c>
      <c r="O315">
        <v>12</v>
      </c>
      <c r="P315">
        <v>14</v>
      </c>
    </row>
    <row r="316" spans="1:16" x14ac:dyDescent="0.3">
      <c r="A316">
        <v>925</v>
      </c>
      <c r="B316" s="1">
        <v>40585</v>
      </c>
      <c r="C316">
        <v>1</v>
      </c>
      <c r="D316">
        <v>0</v>
      </c>
      <c r="E316">
        <v>2</v>
      </c>
      <c r="F316">
        <v>1</v>
      </c>
      <c r="G316" t="b">
        <v>0</v>
      </c>
      <c r="H316">
        <v>5</v>
      </c>
      <c r="I316">
        <v>1</v>
      </c>
      <c r="J316">
        <v>0.1</v>
      </c>
      <c r="K316">
        <v>0.13639999999999999</v>
      </c>
      <c r="L316">
        <v>0.54</v>
      </c>
      <c r="M316">
        <v>8.9599999999999999E-2</v>
      </c>
      <c r="N316">
        <v>1</v>
      </c>
      <c r="O316">
        <v>6</v>
      </c>
      <c r="P316">
        <v>7</v>
      </c>
    </row>
    <row r="317" spans="1:16" x14ac:dyDescent="0.3">
      <c r="A317">
        <v>926</v>
      </c>
      <c r="B317" s="1">
        <v>40585</v>
      </c>
      <c r="C317">
        <v>1</v>
      </c>
      <c r="D317">
        <v>0</v>
      </c>
      <c r="E317">
        <v>2</v>
      </c>
      <c r="F317">
        <v>2</v>
      </c>
      <c r="G317" t="b">
        <v>0</v>
      </c>
      <c r="H317">
        <v>5</v>
      </c>
      <c r="I317">
        <v>1</v>
      </c>
      <c r="J317">
        <v>0.1</v>
      </c>
      <c r="K317">
        <v>0.13639999999999999</v>
      </c>
      <c r="L317">
        <v>0.54</v>
      </c>
      <c r="M317">
        <v>8.9599999999999999E-2</v>
      </c>
      <c r="N317">
        <v>0</v>
      </c>
      <c r="O317">
        <v>3</v>
      </c>
      <c r="P317">
        <v>3</v>
      </c>
    </row>
    <row r="318" spans="1:16" x14ac:dyDescent="0.3">
      <c r="A318">
        <v>927</v>
      </c>
      <c r="B318" s="1">
        <v>40585</v>
      </c>
      <c r="C318">
        <v>1</v>
      </c>
      <c r="D318">
        <v>0</v>
      </c>
      <c r="E318">
        <v>2</v>
      </c>
      <c r="F318">
        <v>5</v>
      </c>
      <c r="G318" t="b">
        <v>0</v>
      </c>
      <c r="H318">
        <v>5</v>
      </c>
      <c r="I318">
        <v>1</v>
      </c>
      <c r="J318">
        <v>0.08</v>
      </c>
      <c r="K318">
        <v>0.1212</v>
      </c>
      <c r="L318">
        <v>0.63</v>
      </c>
      <c r="M318">
        <v>8.9599999999999999E-2</v>
      </c>
      <c r="N318">
        <v>0</v>
      </c>
      <c r="O318">
        <v>4</v>
      </c>
      <c r="P318">
        <v>4</v>
      </c>
    </row>
    <row r="319" spans="1:16" x14ac:dyDescent="0.3">
      <c r="A319">
        <v>928</v>
      </c>
      <c r="B319" s="1">
        <v>40585</v>
      </c>
      <c r="C319">
        <v>1</v>
      </c>
      <c r="D319">
        <v>0</v>
      </c>
      <c r="E319">
        <v>2</v>
      </c>
      <c r="F319">
        <v>6</v>
      </c>
      <c r="G319" t="b">
        <v>0</v>
      </c>
      <c r="H319">
        <v>5</v>
      </c>
      <c r="I319">
        <v>1</v>
      </c>
      <c r="J319">
        <v>0.1</v>
      </c>
      <c r="K319">
        <v>0.18179999999999999</v>
      </c>
      <c r="L319">
        <v>0.68</v>
      </c>
      <c r="M319">
        <v>0</v>
      </c>
      <c r="N319">
        <v>1</v>
      </c>
      <c r="O319">
        <v>23</v>
      </c>
      <c r="P319">
        <v>24</v>
      </c>
    </row>
    <row r="320" spans="1:16" x14ac:dyDescent="0.3">
      <c r="A320">
        <v>929</v>
      </c>
      <c r="B320" s="1">
        <v>40585</v>
      </c>
      <c r="C320">
        <v>1</v>
      </c>
      <c r="D320">
        <v>0</v>
      </c>
      <c r="E320">
        <v>2</v>
      </c>
      <c r="F320">
        <v>7</v>
      </c>
      <c r="G320" t="b">
        <v>0</v>
      </c>
      <c r="H320">
        <v>5</v>
      </c>
      <c r="I320">
        <v>1</v>
      </c>
      <c r="J320">
        <v>0.08</v>
      </c>
      <c r="K320">
        <v>0.16669999999999999</v>
      </c>
      <c r="L320">
        <v>0.73</v>
      </c>
      <c r="M320">
        <v>0</v>
      </c>
      <c r="N320">
        <v>1</v>
      </c>
      <c r="O320">
        <v>73</v>
      </c>
      <c r="P320">
        <v>74</v>
      </c>
    </row>
    <row r="321" spans="1:16" x14ac:dyDescent="0.3">
      <c r="A321">
        <v>930</v>
      </c>
      <c r="B321" s="1">
        <v>40585</v>
      </c>
      <c r="C321">
        <v>1</v>
      </c>
      <c r="D321">
        <v>0</v>
      </c>
      <c r="E321">
        <v>2</v>
      </c>
      <c r="F321">
        <v>8</v>
      </c>
      <c r="G321" t="b">
        <v>0</v>
      </c>
      <c r="H321">
        <v>5</v>
      </c>
      <c r="I321">
        <v>1</v>
      </c>
      <c r="J321">
        <v>0.1</v>
      </c>
      <c r="K321">
        <v>0.1212</v>
      </c>
      <c r="L321">
        <v>0.74</v>
      </c>
      <c r="M321">
        <v>0.16420000000000001</v>
      </c>
      <c r="N321">
        <v>4</v>
      </c>
      <c r="O321">
        <v>212</v>
      </c>
      <c r="P321">
        <v>216</v>
      </c>
    </row>
    <row r="322" spans="1:16" x14ac:dyDescent="0.3">
      <c r="A322">
        <v>931</v>
      </c>
      <c r="B322" s="1">
        <v>40585</v>
      </c>
      <c r="C322">
        <v>1</v>
      </c>
      <c r="D322">
        <v>0</v>
      </c>
      <c r="E322">
        <v>2</v>
      </c>
      <c r="F322">
        <v>9</v>
      </c>
      <c r="G322" t="b">
        <v>0</v>
      </c>
      <c r="H322">
        <v>5</v>
      </c>
      <c r="I322">
        <v>1</v>
      </c>
      <c r="J322">
        <v>0.12</v>
      </c>
      <c r="K322">
        <v>0.1212</v>
      </c>
      <c r="L322">
        <v>0.74</v>
      </c>
      <c r="M322">
        <v>0.22389999999999999</v>
      </c>
      <c r="N322">
        <v>8</v>
      </c>
      <c r="O322">
        <v>132</v>
      </c>
      <c r="P322">
        <v>140</v>
      </c>
    </row>
    <row r="323" spans="1:16" x14ac:dyDescent="0.3">
      <c r="A323">
        <v>932</v>
      </c>
      <c r="B323" s="1">
        <v>40585</v>
      </c>
      <c r="C323">
        <v>1</v>
      </c>
      <c r="D323">
        <v>0</v>
      </c>
      <c r="E323">
        <v>2</v>
      </c>
      <c r="F323">
        <v>10</v>
      </c>
      <c r="G323" t="b">
        <v>0</v>
      </c>
      <c r="H323">
        <v>5</v>
      </c>
      <c r="I323">
        <v>1</v>
      </c>
      <c r="J323">
        <v>0.14000000000000001</v>
      </c>
      <c r="K323">
        <v>0.13639999999999999</v>
      </c>
      <c r="L323">
        <v>0.69</v>
      </c>
      <c r="M323">
        <v>0.19400000000000001</v>
      </c>
      <c r="N323">
        <v>5</v>
      </c>
      <c r="O323">
        <v>39</v>
      </c>
      <c r="P323">
        <v>44</v>
      </c>
    </row>
    <row r="324" spans="1:16" x14ac:dyDescent="0.3">
      <c r="A324">
        <v>933</v>
      </c>
      <c r="B324" s="1">
        <v>40585</v>
      </c>
      <c r="C324">
        <v>1</v>
      </c>
      <c r="D324">
        <v>0</v>
      </c>
      <c r="E324">
        <v>2</v>
      </c>
      <c r="F324">
        <v>11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0.47</v>
      </c>
      <c r="M324">
        <v>0.1343</v>
      </c>
      <c r="N324">
        <v>12</v>
      </c>
      <c r="O324">
        <v>52</v>
      </c>
      <c r="P324">
        <v>64</v>
      </c>
    </row>
    <row r="325" spans="1:16" x14ac:dyDescent="0.3">
      <c r="A325">
        <v>934</v>
      </c>
      <c r="B325" s="1">
        <v>40585</v>
      </c>
      <c r="C325">
        <v>1</v>
      </c>
      <c r="D325">
        <v>0</v>
      </c>
      <c r="E325">
        <v>2</v>
      </c>
      <c r="F325">
        <v>12</v>
      </c>
      <c r="G325" t="b">
        <v>0</v>
      </c>
      <c r="H325">
        <v>5</v>
      </c>
      <c r="I325">
        <v>1</v>
      </c>
      <c r="J325">
        <v>0.22</v>
      </c>
      <c r="K325">
        <v>0.2273</v>
      </c>
      <c r="L325">
        <v>0.47</v>
      </c>
      <c r="M325">
        <v>0.1343</v>
      </c>
      <c r="N325">
        <v>7</v>
      </c>
      <c r="O325">
        <v>64</v>
      </c>
      <c r="P325">
        <v>71</v>
      </c>
    </row>
    <row r="326" spans="1:16" x14ac:dyDescent="0.3">
      <c r="A326">
        <v>935</v>
      </c>
      <c r="B326" s="1">
        <v>40585</v>
      </c>
      <c r="C326">
        <v>1</v>
      </c>
      <c r="D326">
        <v>0</v>
      </c>
      <c r="E326">
        <v>2</v>
      </c>
      <c r="F326">
        <v>13</v>
      </c>
      <c r="G326" t="b">
        <v>0</v>
      </c>
      <c r="H326">
        <v>5</v>
      </c>
      <c r="I326">
        <v>1</v>
      </c>
      <c r="J326">
        <v>0.24</v>
      </c>
      <c r="K326">
        <v>0.2273</v>
      </c>
      <c r="L326">
        <v>0.35</v>
      </c>
      <c r="M326">
        <v>0.19400000000000001</v>
      </c>
      <c r="N326">
        <v>21</v>
      </c>
      <c r="O326">
        <v>89</v>
      </c>
      <c r="P326">
        <v>110</v>
      </c>
    </row>
    <row r="327" spans="1:16" x14ac:dyDescent="0.3">
      <c r="A327">
        <v>936</v>
      </c>
      <c r="B327" s="1">
        <v>40585</v>
      </c>
      <c r="C327">
        <v>1</v>
      </c>
      <c r="D327">
        <v>0</v>
      </c>
      <c r="E327">
        <v>2</v>
      </c>
      <c r="F327">
        <v>14</v>
      </c>
      <c r="G327" t="b">
        <v>0</v>
      </c>
      <c r="H327">
        <v>5</v>
      </c>
      <c r="I327">
        <v>1</v>
      </c>
      <c r="J327">
        <v>0.3</v>
      </c>
      <c r="K327">
        <v>0.28789999999999999</v>
      </c>
      <c r="L327">
        <v>0.26</v>
      </c>
      <c r="M327">
        <v>0.25369999999999998</v>
      </c>
      <c r="N327">
        <v>17</v>
      </c>
      <c r="O327">
        <v>67</v>
      </c>
      <c r="P327">
        <v>84</v>
      </c>
    </row>
    <row r="328" spans="1:16" x14ac:dyDescent="0.3">
      <c r="A328">
        <v>937</v>
      </c>
      <c r="B328" s="1">
        <v>40585</v>
      </c>
      <c r="C328">
        <v>1</v>
      </c>
      <c r="D328">
        <v>0</v>
      </c>
      <c r="E328">
        <v>2</v>
      </c>
      <c r="F328">
        <v>15</v>
      </c>
      <c r="G328" t="b">
        <v>0</v>
      </c>
      <c r="H328">
        <v>5</v>
      </c>
      <c r="I328">
        <v>1</v>
      </c>
      <c r="J328">
        <v>0.32</v>
      </c>
      <c r="K328">
        <v>0.31819999999999998</v>
      </c>
      <c r="L328">
        <v>0.21</v>
      </c>
      <c r="M328">
        <v>0.16420000000000001</v>
      </c>
      <c r="N328">
        <v>12</v>
      </c>
      <c r="O328">
        <v>62</v>
      </c>
      <c r="P328">
        <v>74</v>
      </c>
    </row>
    <row r="329" spans="1:16" x14ac:dyDescent="0.3">
      <c r="A329">
        <v>938</v>
      </c>
      <c r="B329" s="1">
        <v>40585</v>
      </c>
      <c r="C329">
        <v>1</v>
      </c>
      <c r="D329">
        <v>0</v>
      </c>
      <c r="E329">
        <v>2</v>
      </c>
      <c r="F329">
        <v>16</v>
      </c>
      <c r="G329" t="b">
        <v>0</v>
      </c>
      <c r="H329">
        <v>5</v>
      </c>
      <c r="I329">
        <v>1</v>
      </c>
      <c r="J329">
        <v>0.3</v>
      </c>
      <c r="K329">
        <v>0.28789999999999999</v>
      </c>
      <c r="L329">
        <v>0.28000000000000003</v>
      </c>
      <c r="M329">
        <v>0.19400000000000001</v>
      </c>
      <c r="N329">
        <v>14</v>
      </c>
      <c r="O329">
        <v>111</v>
      </c>
      <c r="P329">
        <v>125</v>
      </c>
    </row>
    <row r="330" spans="1:16" x14ac:dyDescent="0.3">
      <c r="A330">
        <v>939</v>
      </c>
      <c r="B330" s="1">
        <v>40585</v>
      </c>
      <c r="C330">
        <v>1</v>
      </c>
      <c r="D330">
        <v>0</v>
      </c>
      <c r="E330">
        <v>2</v>
      </c>
      <c r="F330">
        <v>17</v>
      </c>
      <c r="G330" t="b">
        <v>0</v>
      </c>
      <c r="H330">
        <v>5</v>
      </c>
      <c r="I330">
        <v>1</v>
      </c>
      <c r="J330">
        <v>0.3</v>
      </c>
      <c r="K330">
        <v>0.33329999999999999</v>
      </c>
      <c r="L330">
        <v>0.24</v>
      </c>
      <c r="M330">
        <v>0</v>
      </c>
      <c r="N330">
        <v>18</v>
      </c>
      <c r="O330">
        <v>193</v>
      </c>
      <c r="P330">
        <v>211</v>
      </c>
    </row>
    <row r="331" spans="1:16" x14ac:dyDescent="0.3">
      <c r="A331">
        <v>940</v>
      </c>
      <c r="B331" s="1">
        <v>40585</v>
      </c>
      <c r="C331">
        <v>1</v>
      </c>
      <c r="D331">
        <v>0</v>
      </c>
      <c r="E331">
        <v>2</v>
      </c>
      <c r="F331">
        <v>18</v>
      </c>
      <c r="G331" t="b">
        <v>0</v>
      </c>
      <c r="H331">
        <v>5</v>
      </c>
      <c r="I331">
        <v>1</v>
      </c>
      <c r="J331">
        <v>0.28000000000000003</v>
      </c>
      <c r="K331">
        <v>0.31819999999999998</v>
      </c>
      <c r="L331">
        <v>0.28000000000000003</v>
      </c>
      <c r="M331">
        <v>0</v>
      </c>
      <c r="N331">
        <v>9</v>
      </c>
      <c r="O331">
        <v>165</v>
      </c>
      <c r="P331">
        <v>174</v>
      </c>
    </row>
    <row r="332" spans="1:16" x14ac:dyDescent="0.3">
      <c r="A332">
        <v>941</v>
      </c>
      <c r="B332" s="1">
        <v>40585</v>
      </c>
      <c r="C332">
        <v>1</v>
      </c>
      <c r="D332">
        <v>0</v>
      </c>
      <c r="E332">
        <v>2</v>
      </c>
      <c r="F332">
        <v>19</v>
      </c>
      <c r="G332" t="b">
        <v>0</v>
      </c>
      <c r="H332">
        <v>5</v>
      </c>
      <c r="I332">
        <v>1</v>
      </c>
      <c r="J332">
        <v>0.26</v>
      </c>
      <c r="K332">
        <v>0.30299999999999999</v>
      </c>
      <c r="L332">
        <v>0.33</v>
      </c>
      <c r="M332">
        <v>0</v>
      </c>
      <c r="N332">
        <v>7</v>
      </c>
      <c r="O332">
        <v>94</v>
      </c>
      <c r="P332">
        <v>101</v>
      </c>
    </row>
    <row r="333" spans="1:16" x14ac:dyDescent="0.3">
      <c r="A333">
        <v>942</v>
      </c>
      <c r="B333" s="1">
        <v>40585</v>
      </c>
      <c r="C333">
        <v>1</v>
      </c>
      <c r="D333">
        <v>0</v>
      </c>
      <c r="E333">
        <v>2</v>
      </c>
      <c r="F333">
        <v>20</v>
      </c>
      <c r="G333" t="b">
        <v>0</v>
      </c>
      <c r="H333">
        <v>5</v>
      </c>
      <c r="I333">
        <v>1</v>
      </c>
      <c r="J333">
        <v>0.22</v>
      </c>
      <c r="K333">
        <v>0.2273</v>
      </c>
      <c r="L333">
        <v>0.55000000000000004</v>
      </c>
      <c r="M333">
        <v>0.1343</v>
      </c>
      <c r="N333">
        <v>2</v>
      </c>
      <c r="O333">
        <v>61</v>
      </c>
      <c r="P333">
        <v>63</v>
      </c>
    </row>
    <row r="334" spans="1:16" x14ac:dyDescent="0.3">
      <c r="A334">
        <v>943</v>
      </c>
      <c r="B334" s="1">
        <v>40585</v>
      </c>
      <c r="C334">
        <v>1</v>
      </c>
      <c r="D334">
        <v>0</v>
      </c>
      <c r="E334">
        <v>2</v>
      </c>
      <c r="F334">
        <v>21</v>
      </c>
      <c r="G334" t="b">
        <v>0</v>
      </c>
      <c r="H334">
        <v>5</v>
      </c>
      <c r="I334">
        <v>1</v>
      </c>
      <c r="J334">
        <v>0.2</v>
      </c>
      <c r="K334">
        <v>0.21210000000000001</v>
      </c>
      <c r="L334">
        <v>0.59</v>
      </c>
      <c r="M334">
        <v>0.1343</v>
      </c>
      <c r="N334">
        <v>1</v>
      </c>
      <c r="O334">
        <v>46</v>
      </c>
      <c r="P334">
        <v>47</v>
      </c>
    </row>
    <row r="335" spans="1:16" x14ac:dyDescent="0.3">
      <c r="A335">
        <v>944</v>
      </c>
      <c r="B335" s="1">
        <v>40585</v>
      </c>
      <c r="C335">
        <v>1</v>
      </c>
      <c r="D335">
        <v>0</v>
      </c>
      <c r="E335">
        <v>2</v>
      </c>
      <c r="F335">
        <v>22</v>
      </c>
      <c r="G335" t="b">
        <v>0</v>
      </c>
      <c r="H335">
        <v>5</v>
      </c>
      <c r="I335">
        <v>1</v>
      </c>
      <c r="J335">
        <v>0.2</v>
      </c>
      <c r="K335">
        <v>0.2273</v>
      </c>
      <c r="L335">
        <v>0.64</v>
      </c>
      <c r="M335">
        <v>8.9599999999999999E-2</v>
      </c>
      <c r="N335">
        <v>2</v>
      </c>
      <c r="O335">
        <v>41</v>
      </c>
      <c r="P335">
        <v>43</v>
      </c>
    </row>
    <row r="336" spans="1:16" x14ac:dyDescent="0.3">
      <c r="A336">
        <v>945</v>
      </c>
      <c r="B336" s="1">
        <v>40585</v>
      </c>
      <c r="C336">
        <v>1</v>
      </c>
      <c r="D336">
        <v>0</v>
      </c>
      <c r="E336">
        <v>2</v>
      </c>
      <c r="F336">
        <v>23</v>
      </c>
      <c r="G336" t="b">
        <v>0</v>
      </c>
      <c r="H336">
        <v>5</v>
      </c>
      <c r="I336">
        <v>1</v>
      </c>
      <c r="J336">
        <v>0.18</v>
      </c>
      <c r="K336">
        <v>0.2424</v>
      </c>
      <c r="L336">
        <v>0.69</v>
      </c>
      <c r="M336">
        <v>0</v>
      </c>
      <c r="N336">
        <v>5</v>
      </c>
      <c r="O336">
        <v>48</v>
      </c>
      <c r="P336">
        <v>53</v>
      </c>
    </row>
    <row r="337" spans="1:16" x14ac:dyDescent="0.3">
      <c r="A337">
        <v>946</v>
      </c>
      <c r="B337" s="1">
        <v>40586</v>
      </c>
      <c r="C337">
        <v>1</v>
      </c>
      <c r="D337">
        <v>0</v>
      </c>
      <c r="E337">
        <v>2</v>
      </c>
      <c r="F337">
        <v>0</v>
      </c>
      <c r="G337" t="b">
        <v>0</v>
      </c>
      <c r="H337">
        <v>6</v>
      </c>
      <c r="I337">
        <v>1</v>
      </c>
      <c r="J337">
        <v>0.16</v>
      </c>
      <c r="K337">
        <v>0.19700000000000001</v>
      </c>
      <c r="L337">
        <v>0.69</v>
      </c>
      <c r="M337">
        <v>8.9599999999999999E-2</v>
      </c>
      <c r="N337">
        <v>3</v>
      </c>
      <c r="O337">
        <v>27</v>
      </c>
      <c r="P337">
        <v>30</v>
      </c>
    </row>
    <row r="338" spans="1:16" x14ac:dyDescent="0.3">
      <c r="A338">
        <v>947</v>
      </c>
      <c r="B338" s="1">
        <v>40586</v>
      </c>
      <c r="C338">
        <v>1</v>
      </c>
      <c r="D338">
        <v>0</v>
      </c>
      <c r="E338">
        <v>2</v>
      </c>
      <c r="F338">
        <v>1</v>
      </c>
      <c r="G338" t="b">
        <v>0</v>
      </c>
      <c r="H338">
        <v>6</v>
      </c>
      <c r="I338">
        <v>1</v>
      </c>
      <c r="J338">
        <v>0.14000000000000001</v>
      </c>
      <c r="K338">
        <v>0.21210000000000001</v>
      </c>
      <c r="L338">
        <v>0.86</v>
      </c>
      <c r="M338">
        <v>0</v>
      </c>
      <c r="N338">
        <v>2</v>
      </c>
      <c r="O338">
        <v>22</v>
      </c>
      <c r="P338">
        <v>24</v>
      </c>
    </row>
    <row r="339" spans="1:16" x14ac:dyDescent="0.3">
      <c r="A339">
        <v>948</v>
      </c>
      <c r="B339" s="1">
        <v>40586</v>
      </c>
      <c r="C339">
        <v>1</v>
      </c>
      <c r="D339">
        <v>0</v>
      </c>
      <c r="E339">
        <v>2</v>
      </c>
      <c r="F339">
        <v>2</v>
      </c>
      <c r="G339" t="b">
        <v>0</v>
      </c>
      <c r="H339">
        <v>6</v>
      </c>
      <c r="I339">
        <v>1</v>
      </c>
      <c r="J339">
        <v>0.14000000000000001</v>
      </c>
      <c r="K339">
        <v>0.21210000000000001</v>
      </c>
      <c r="L339">
        <v>0.8</v>
      </c>
      <c r="M339">
        <v>0</v>
      </c>
      <c r="N339">
        <v>2</v>
      </c>
      <c r="O339">
        <v>13</v>
      </c>
      <c r="P339">
        <v>15</v>
      </c>
    </row>
    <row r="340" spans="1:16" x14ac:dyDescent="0.3">
      <c r="A340">
        <v>949</v>
      </c>
      <c r="B340" s="1">
        <v>40586</v>
      </c>
      <c r="C340">
        <v>1</v>
      </c>
      <c r="D340">
        <v>0</v>
      </c>
      <c r="E340">
        <v>2</v>
      </c>
      <c r="F340">
        <v>3</v>
      </c>
      <c r="G340" t="b">
        <v>0</v>
      </c>
      <c r="H340">
        <v>6</v>
      </c>
      <c r="I340">
        <v>1</v>
      </c>
      <c r="J340">
        <v>0.12</v>
      </c>
      <c r="K340">
        <v>0.19700000000000001</v>
      </c>
      <c r="L340">
        <v>0.8</v>
      </c>
      <c r="M340">
        <v>0</v>
      </c>
      <c r="N340">
        <v>3</v>
      </c>
      <c r="O340">
        <v>7</v>
      </c>
      <c r="P340">
        <v>10</v>
      </c>
    </row>
    <row r="341" spans="1:16" x14ac:dyDescent="0.3">
      <c r="A341">
        <v>950</v>
      </c>
      <c r="B341" s="1">
        <v>40586</v>
      </c>
      <c r="C341">
        <v>1</v>
      </c>
      <c r="D341">
        <v>0</v>
      </c>
      <c r="E341">
        <v>2</v>
      </c>
      <c r="F341">
        <v>4</v>
      </c>
      <c r="G341" t="b">
        <v>0</v>
      </c>
      <c r="H341">
        <v>6</v>
      </c>
      <c r="I341">
        <v>1</v>
      </c>
      <c r="J341">
        <v>0.12</v>
      </c>
      <c r="K341">
        <v>0.16669999999999999</v>
      </c>
      <c r="L341">
        <v>0.74</v>
      </c>
      <c r="M341">
        <v>8.9599999999999999E-2</v>
      </c>
      <c r="N341">
        <v>0</v>
      </c>
      <c r="O341">
        <v>4</v>
      </c>
      <c r="P341">
        <v>4</v>
      </c>
    </row>
    <row r="342" spans="1:16" x14ac:dyDescent="0.3">
      <c r="A342">
        <v>951</v>
      </c>
      <c r="B342" s="1">
        <v>40586</v>
      </c>
      <c r="C342">
        <v>1</v>
      </c>
      <c r="D342">
        <v>0</v>
      </c>
      <c r="E342">
        <v>2</v>
      </c>
      <c r="F342">
        <v>5</v>
      </c>
      <c r="G342" t="b">
        <v>0</v>
      </c>
      <c r="H342">
        <v>6</v>
      </c>
      <c r="I342">
        <v>1</v>
      </c>
      <c r="J342">
        <v>0.12</v>
      </c>
      <c r="K342">
        <v>0.16669999999999999</v>
      </c>
      <c r="L342">
        <v>0.74</v>
      </c>
      <c r="M342">
        <v>8.9599999999999999E-2</v>
      </c>
      <c r="N342">
        <v>0</v>
      </c>
      <c r="O342">
        <v>1</v>
      </c>
      <c r="P342">
        <v>1</v>
      </c>
    </row>
    <row r="343" spans="1:16" x14ac:dyDescent="0.3">
      <c r="A343">
        <v>952</v>
      </c>
      <c r="B343" s="1">
        <v>40586</v>
      </c>
      <c r="C343">
        <v>1</v>
      </c>
      <c r="D343">
        <v>0</v>
      </c>
      <c r="E343">
        <v>2</v>
      </c>
      <c r="F343">
        <v>6</v>
      </c>
      <c r="G343" t="b">
        <v>0</v>
      </c>
      <c r="H343">
        <v>6</v>
      </c>
      <c r="I343">
        <v>1</v>
      </c>
      <c r="J343">
        <v>0.12</v>
      </c>
      <c r="K343">
        <v>0.13639999999999999</v>
      </c>
      <c r="L343">
        <v>0.93</v>
      </c>
      <c r="M343">
        <v>0.19400000000000001</v>
      </c>
      <c r="N343">
        <v>1</v>
      </c>
      <c r="O343">
        <v>1</v>
      </c>
      <c r="P343">
        <v>2</v>
      </c>
    </row>
    <row r="344" spans="1:16" x14ac:dyDescent="0.3">
      <c r="A344">
        <v>953</v>
      </c>
      <c r="B344" s="1">
        <v>40586</v>
      </c>
      <c r="C344">
        <v>1</v>
      </c>
      <c r="D344">
        <v>0</v>
      </c>
      <c r="E344">
        <v>2</v>
      </c>
      <c r="F344">
        <v>7</v>
      </c>
      <c r="G344" t="b">
        <v>0</v>
      </c>
      <c r="H344">
        <v>6</v>
      </c>
      <c r="I344">
        <v>1</v>
      </c>
      <c r="J344">
        <v>0.12</v>
      </c>
      <c r="K344">
        <v>0.1515</v>
      </c>
      <c r="L344">
        <v>0.8</v>
      </c>
      <c r="M344">
        <v>0.1045</v>
      </c>
      <c r="N344">
        <v>2</v>
      </c>
      <c r="O344">
        <v>9</v>
      </c>
      <c r="P344">
        <v>11</v>
      </c>
    </row>
    <row r="345" spans="1:16" x14ac:dyDescent="0.3">
      <c r="A345">
        <v>954</v>
      </c>
      <c r="B345" s="1">
        <v>40586</v>
      </c>
      <c r="C345">
        <v>1</v>
      </c>
      <c r="D345">
        <v>0</v>
      </c>
      <c r="E345">
        <v>2</v>
      </c>
      <c r="F345">
        <v>8</v>
      </c>
      <c r="G345" t="b">
        <v>0</v>
      </c>
      <c r="H345">
        <v>6</v>
      </c>
      <c r="I345">
        <v>1</v>
      </c>
      <c r="J345">
        <v>0.14000000000000001</v>
      </c>
      <c r="K345">
        <v>0.1515</v>
      </c>
      <c r="L345">
        <v>0.86</v>
      </c>
      <c r="M345">
        <v>0.1343</v>
      </c>
      <c r="N345">
        <v>2</v>
      </c>
      <c r="O345">
        <v>28</v>
      </c>
      <c r="P345">
        <v>30</v>
      </c>
    </row>
    <row r="346" spans="1:16" x14ac:dyDescent="0.3">
      <c r="A346">
        <v>955</v>
      </c>
      <c r="B346" s="1">
        <v>40586</v>
      </c>
      <c r="C346">
        <v>1</v>
      </c>
      <c r="D346">
        <v>0</v>
      </c>
      <c r="E346">
        <v>2</v>
      </c>
      <c r="F346">
        <v>9</v>
      </c>
      <c r="G346" t="b">
        <v>0</v>
      </c>
      <c r="H346">
        <v>6</v>
      </c>
      <c r="I346">
        <v>1</v>
      </c>
      <c r="J346">
        <v>0.16</v>
      </c>
      <c r="K346">
        <v>0.18179999999999999</v>
      </c>
      <c r="L346">
        <v>0.64</v>
      </c>
      <c r="M346">
        <v>0.1343</v>
      </c>
      <c r="N346">
        <v>5</v>
      </c>
      <c r="O346">
        <v>38</v>
      </c>
      <c r="P346">
        <v>43</v>
      </c>
    </row>
    <row r="347" spans="1:16" x14ac:dyDescent="0.3">
      <c r="A347">
        <v>956</v>
      </c>
      <c r="B347" s="1">
        <v>40586</v>
      </c>
      <c r="C347">
        <v>1</v>
      </c>
      <c r="D347">
        <v>0</v>
      </c>
      <c r="E347">
        <v>2</v>
      </c>
      <c r="F347">
        <v>10</v>
      </c>
      <c r="G347" t="b">
        <v>0</v>
      </c>
      <c r="H347">
        <v>6</v>
      </c>
      <c r="I347">
        <v>1</v>
      </c>
      <c r="J347">
        <v>0.22</v>
      </c>
      <c r="K347">
        <v>0.21210000000000001</v>
      </c>
      <c r="L347">
        <v>0.41</v>
      </c>
      <c r="M347">
        <v>0.25369999999999998</v>
      </c>
      <c r="N347">
        <v>13</v>
      </c>
      <c r="O347">
        <v>71</v>
      </c>
      <c r="P347">
        <v>84</v>
      </c>
    </row>
    <row r="348" spans="1:16" x14ac:dyDescent="0.3">
      <c r="A348">
        <v>957</v>
      </c>
      <c r="B348" s="1">
        <v>40586</v>
      </c>
      <c r="C348">
        <v>1</v>
      </c>
      <c r="D348">
        <v>0</v>
      </c>
      <c r="E348">
        <v>2</v>
      </c>
      <c r="F348">
        <v>11</v>
      </c>
      <c r="G348" t="b">
        <v>0</v>
      </c>
      <c r="H348">
        <v>6</v>
      </c>
      <c r="I348">
        <v>1</v>
      </c>
      <c r="J348">
        <v>0.3</v>
      </c>
      <c r="K348">
        <v>0.2727</v>
      </c>
      <c r="L348">
        <v>0.28000000000000003</v>
      </c>
      <c r="M348">
        <v>0.32840000000000003</v>
      </c>
      <c r="N348">
        <v>30</v>
      </c>
      <c r="O348">
        <v>84</v>
      </c>
      <c r="P348">
        <v>114</v>
      </c>
    </row>
    <row r="349" spans="1:16" x14ac:dyDescent="0.3">
      <c r="A349">
        <v>958</v>
      </c>
      <c r="B349" s="1">
        <v>40586</v>
      </c>
      <c r="C349">
        <v>1</v>
      </c>
      <c r="D349">
        <v>0</v>
      </c>
      <c r="E349">
        <v>2</v>
      </c>
      <c r="F349">
        <v>12</v>
      </c>
      <c r="G349" t="b">
        <v>0</v>
      </c>
      <c r="H349">
        <v>6</v>
      </c>
      <c r="I349">
        <v>1</v>
      </c>
      <c r="J349">
        <v>0.3</v>
      </c>
      <c r="K349">
        <v>0.2727</v>
      </c>
      <c r="L349">
        <v>0.39</v>
      </c>
      <c r="M349">
        <v>0.4627</v>
      </c>
      <c r="N349">
        <v>27</v>
      </c>
      <c r="O349">
        <v>93</v>
      </c>
      <c r="P349">
        <v>120</v>
      </c>
    </row>
    <row r="350" spans="1:16" x14ac:dyDescent="0.3">
      <c r="A350">
        <v>959</v>
      </c>
      <c r="B350" s="1">
        <v>40586</v>
      </c>
      <c r="C350">
        <v>1</v>
      </c>
      <c r="D350">
        <v>0</v>
      </c>
      <c r="E350">
        <v>2</v>
      </c>
      <c r="F350">
        <v>13</v>
      </c>
      <c r="G350" t="b">
        <v>0</v>
      </c>
      <c r="H350">
        <v>6</v>
      </c>
      <c r="I350">
        <v>1</v>
      </c>
      <c r="J350">
        <v>0.3</v>
      </c>
      <c r="K350">
        <v>0.2727</v>
      </c>
      <c r="L350">
        <v>0.39</v>
      </c>
      <c r="M350">
        <v>0.41789999999999999</v>
      </c>
      <c r="N350">
        <v>32</v>
      </c>
      <c r="O350">
        <v>103</v>
      </c>
      <c r="P350">
        <v>135</v>
      </c>
    </row>
    <row r="351" spans="1:16" x14ac:dyDescent="0.3">
      <c r="A351">
        <v>960</v>
      </c>
      <c r="B351" s="1">
        <v>40586</v>
      </c>
      <c r="C351">
        <v>1</v>
      </c>
      <c r="D351">
        <v>0</v>
      </c>
      <c r="E351">
        <v>2</v>
      </c>
      <c r="F351">
        <v>14</v>
      </c>
      <c r="G351" t="b">
        <v>0</v>
      </c>
      <c r="H351">
        <v>6</v>
      </c>
      <c r="I351">
        <v>1</v>
      </c>
      <c r="J351">
        <v>0.34</v>
      </c>
      <c r="K351">
        <v>0.31819999999999998</v>
      </c>
      <c r="L351">
        <v>0.31</v>
      </c>
      <c r="M351">
        <v>0.28360000000000002</v>
      </c>
      <c r="N351">
        <v>30</v>
      </c>
      <c r="O351">
        <v>90</v>
      </c>
      <c r="P351">
        <v>120</v>
      </c>
    </row>
    <row r="352" spans="1:16" x14ac:dyDescent="0.3">
      <c r="A352">
        <v>961</v>
      </c>
      <c r="B352" s="1">
        <v>40586</v>
      </c>
      <c r="C352">
        <v>1</v>
      </c>
      <c r="D352">
        <v>0</v>
      </c>
      <c r="E352">
        <v>2</v>
      </c>
      <c r="F352">
        <v>15</v>
      </c>
      <c r="G352" t="b">
        <v>0</v>
      </c>
      <c r="H352">
        <v>6</v>
      </c>
      <c r="I352">
        <v>1</v>
      </c>
      <c r="J352">
        <v>0.34</v>
      </c>
      <c r="K352">
        <v>0.30299999999999999</v>
      </c>
      <c r="L352">
        <v>0.28999999999999998</v>
      </c>
      <c r="M352">
        <v>0.41789999999999999</v>
      </c>
      <c r="N352">
        <v>47</v>
      </c>
      <c r="O352">
        <v>127</v>
      </c>
      <c r="P352">
        <v>174</v>
      </c>
    </row>
    <row r="353" spans="1:16" x14ac:dyDescent="0.3">
      <c r="A353">
        <v>962</v>
      </c>
      <c r="B353" s="1">
        <v>40586</v>
      </c>
      <c r="C353">
        <v>1</v>
      </c>
      <c r="D353">
        <v>0</v>
      </c>
      <c r="E353">
        <v>2</v>
      </c>
      <c r="F353">
        <v>16</v>
      </c>
      <c r="G353" t="b">
        <v>0</v>
      </c>
      <c r="H353">
        <v>6</v>
      </c>
      <c r="I353">
        <v>1</v>
      </c>
      <c r="J353">
        <v>0.34</v>
      </c>
      <c r="K353">
        <v>0.30299999999999999</v>
      </c>
      <c r="L353">
        <v>0.28999999999999998</v>
      </c>
      <c r="M353">
        <v>0.41789999999999999</v>
      </c>
      <c r="N353">
        <v>42</v>
      </c>
      <c r="O353">
        <v>103</v>
      </c>
      <c r="P353">
        <v>145</v>
      </c>
    </row>
    <row r="354" spans="1:16" x14ac:dyDescent="0.3">
      <c r="A354">
        <v>963</v>
      </c>
      <c r="B354" s="1">
        <v>40586</v>
      </c>
      <c r="C354">
        <v>1</v>
      </c>
      <c r="D354">
        <v>0</v>
      </c>
      <c r="E354">
        <v>2</v>
      </c>
      <c r="F354">
        <v>17</v>
      </c>
      <c r="G354" t="b">
        <v>0</v>
      </c>
      <c r="H354">
        <v>6</v>
      </c>
      <c r="I354">
        <v>1</v>
      </c>
      <c r="J354">
        <v>0.32</v>
      </c>
      <c r="K354">
        <v>0.28789999999999999</v>
      </c>
      <c r="L354">
        <v>0.31</v>
      </c>
      <c r="M354">
        <v>0.52239999999999998</v>
      </c>
      <c r="N354">
        <v>24</v>
      </c>
      <c r="O354">
        <v>113</v>
      </c>
      <c r="P354">
        <v>137</v>
      </c>
    </row>
    <row r="355" spans="1:16" x14ac:dyDescent="0.3">
      <c r="A355">
        <v>964</v>
      </c>
      <c r="B355" s="1">
        <v>40586</v>
      </c>
      <c r="C355">
        <v>1</v>
      </c>
      <c r="D355">
        <v>0</v>
      </c>
      <c r="E355">
        <v>2</v>
      </c>
      <c r="F355">
        <v>18</v>
      </c>
      <c r="G355" t="b">
        <v>0</v>
      </c>
      <c r="H355">
        <v>6</v>
      </c>
      <c r="I355">
        <v>1</v>
      </c>
      <c r="J355">
        <v>0.28000000000000003</v>
      </c>
      <c r="K355">
        <v>0.2576</v>
      </c>
      <c r="L355">
        <v>0.38</v>
      </c>
      <c r="M355">
        <v>0.32840000000000003</v>
      </c>
      <c r="N355">
        <v>4</v>
      </c>
      <c r="O355">
        <v>60</v>
      </c>
      <c r="P355">
        <v>64</v>
      </c>
    </row>
    <row r="356" spans="1:16" x14ac:dyDescent="0.3">
      <c r="A356">
        <v>965</v>
      </c>
      <c r="B356" s="1">
        <v>40586</v>
      </c>
      <c r="C356">
        <v>1</v>
      </c>
      <c r="D356">
        <v>0</v>
      </c>
      <c r="E356">
        <v>2</v>
      </c>
      <c r="F356">
        <v>19</v>
      </c>
      <c r="G356" t="b">
        <v>0</v>
      </c>
      <c r="H356">
        <v>6</v>
      </c>
      <c r="I356">
        <v>1</v>
      </c>
      <c r="J356">
        <v>0.28000000000000003</v>
      </c>
      <c r="K356">
        <v>0.2727</v>
      </c>
      <c r="L356">
        <v>0.38</v>
      </c>
      <c r="M356">
        <v>0.16420000000000001</v>
      </c>
      <c r="N356">
        <v>2</v>
      </c>
      <c r="O356">
        <v>39</v>
      </c>
      <c r="P356">
        <v>41</v>
      </c>
    </row>
    <row r="357" spans="1:16" x14ac:dyDescent="0.3">
      <c r="A357">
        <v>966</v>
      </c>
      <c r="B357" s="1">
        <v>40586</v>
      </c>
      <c r="C357">
        <v>1</v>
      </c>
      <c r="D357">
        <v>0</v>
      </c>
      <c r="E357">
        <v>2</v>
      </c>
      <c r="F357">
        <v>20</v>
      </c>
      <c r="G357" t="b">
        <v>0</v>
      </c>
      <c r="H357">
        <v>6</v>
      </c>
      <c r="I357">
        <v>1</v>
      </c>
      <c r="J357">
        <v>0.26</v>
      </c>
      <c r="K357">
        <v>0.2576</v>
      </c>
      <c r="L357">
        <v>0.41</v>
      </c>
      <c r="M357">
        <v>0.22389999999999999</v>
      </c>
      <c r="N357">
        <v>1</v>
      </c>
      <c r="O357">
        <v>39</v>
      </c>
      <c r="P357">
        <v>40</v>
      </c>
    </row>
    <row r="358" spans="1:16" x14ac:dyDescent="0.3">
      <c r="A358">
        <v>967</v>
      </c>
      <c r="B358" s="1">
        <v>40586</v>
      </c>
      <c r="C358">
        <v>1</v>
      </c>
      <c r="D358">
        <v>0</v>
      </c>
      <c r="E358">
        <v>2</v>
      </c>
      <c r="F358">
        <v>21</v>
      </c>
      <c r="G358" t="b">
        <v>0</v>
      </c>
      <c r="H358">
        <v>6</v>
      </c>
      <c r="I358">
        <v>1</v>
      </c>
      <c r="J358">
        <v>0.26</v>
      </c>
      <c r="K358">
        <v>0.30299999999999999</v>
      </c>
      <c r="L358">
        <v>0.41</v>
      </c>
      <c r="M358">
        <v>0</v>
      </c>
      <c r="N358">
        <v>9</v>
      </c>
      <c r="O358">
        <v>42</v>
      </c>
      <c r="P358">
        <v>51</v>
      </c>
    </row>
    <row r="359" spans="1:16" x14ac:dyDescent="0.3">
      <c r="A359">
        <v>968</v>
      </c>
      <c r="B359" s="1">
        <v>40586</v>
      </c>
      <c r="C359">
        <v>1</v>
      </c>
      <c r="D359">
        <v>0</v>
      </c>
      <c r="E359">
        <v>2</v>
      </c>
      <c r="F359">
        <v>22</v>
      </c>
      <c r="G359" t="b">
        <v>0</v>
      </c>
      <c r="H359">
        <v>6</v>
      </c>
      <c r="I359">
        <v>1</v>
      </c>
      <c r="J359">
        <v>0.24</v>
      </c>
      <c r="K359">
        <v>0.2576</v>
      </c>
      <c r="L359">
        <v>0.44</v>
      </c>
      <c r="M359">
        <v>8.9599999999999999E-2</v>
      </c>
      <c r="N359">
        <v>6</v>
      </c>
      <c r="O359">
        <v>39</v>
      </c>
      <c r="P359">
        <v>45</v>
      </c>
    </row>
    <row r="360" spans="1:16" x14ac:dyDescent="0.3">
      <c r="A360">
        <v>969</v>
      </c>
      <c r="B360" s="1">
        <v>40586</v>
      </c>
      <c r="C360">
        <v>1</v>
      </c>
      <c r="D360">
        <v>0</v>
      </c>
      <c r="E360">
        <v>2</v>
      </c>
      <c r="F360">
        <v>23</v>
      </c>
      <c r="G360" t="b">
        <v>0</v>
      </c>
      <c r="H360">
        <v>6</v>
      </c>
      <c r="I360">
        <v>1</v>
      </c>
      <c r="J360">
        <v>0.22</v>
      </c>
      <c r="K360">
        <v>0.2273</v>
      </c>
      <c r="L360">
        <v>0.51</v>
      </c>
      <c r="M360">
        <v>0.1343</v>
      </c>
      <c r="N360">
        <v>1</v>
      </c>
      <c r="O360">
        <v>31</v>
      </c>
      <c r="P360">
        <v>32</v>
      </c>
    </row>
    <row r="361" spans="1:16" x14ac:dyDescent="0.3">
      <c r="A361">
        <v>970</v>
      </c>
      <c r="B361" s="1">
        <v>40587</v>
      </c>
      <c r="C361">
        <v>1</v>
      </c>
      <c r="D361">
        <v>0</v>
      </c>
      <c r="E361">
        <v>2</v>
      </c>
      <c r="F361">
        <v>0</v>
      </c>
      <c r="G361" t="b">
        <v>0</v>
      </c>
      <c r="H361">
        <v>0</v>
      </c>
      <c r="I361">
        <v>1</v>
      </c>
      <c r="J361">
        <v>0.2</v>
      </c>
      <c r="K361">
        <v>0.2273</v>
      </c>
      <c r="L361">
        <v>0.64</v>
      </c>
      <c r="M361">
        <v>0.1045</v>
      </c>
      <c r="N361">
        <v>5</v>
      </c>
      <c r="O361">
        <v>34</v>
      </c>
      <c r="P361">
        <v>39</v>
      </c>
    </row>
    <row r="362" spans="1:16" x14ac:dyDescent="0.3">
      <c r="A362">
        <v>971</v>
      </c>
      <c r="B362" s="1">
        <v>40587</v>
      </c>
      <c r="C362">
        <v>1</v>
      </c>
      <c r="D362">
        <v>0</v>
      </c>
      <c r="E362">
        <v>2</v>
      </c>
      <c r="F362">
        <v>1</v>
      </c>
      <c r="G362" t="b">
        <v>0</v>
      </c>
      <c r="H362">
        <v>0</v>
      </c>
      <c r="I362">
        <v>1</v>
      </c>
      <c r="J362">
        <v>0.2</v>
      </c>
      <c r="K362">
        <v>0.2273</v>
      </c>
      <c r="L362">
        <v>0.59</v>
      </c>
      <c r="M362">
        <v>8.9599999999999999E-2</v>
      </c>
      <c r="N362">
        <v>1</v>
      </c>
      <c r="O362">
        <v>23</v>
      </c>
      <c r="P362">
        <v>24</v>
      </c>
    </row>
    <row r="363" spans="1:16" x14ac:dyDescent="0.3">
      <c r="A363">
        <v>972</v>
      </c>
      <c r="B363" s="1">
        <v>40587</v>
      </c>
      <c r="C363">
        <v>1</v>
      </c>
      <c r="D363">
        <v>0</v>
      </c>
      <c r="E363">
        <v>2</v>
      </c>
      <c r="F363">
        <v>2</v>
      </c>
      <c r="G363" t="b">
        <v>0</v>
      </c>
      <c r="H363">
        <v>0</v>
      </c>
      <c r="I363">
        <v>2</v>
      </c>
      <c r="J363">
        <v>0.2</v>
      </c>
      <c r="K363">
        <v>0.2273</v>
      </c>
      <c r="L363">
        <v>0.75</v>
      </c>
      <c r="M363">
        <v>8.9599999999999999E-2</v>
      </c>
      <c r="N363">
        <v>1</v>
      </c>
      <c r="O363">
        <v>19</v>
      </c>
      <c r="P363">
        <v>20</v>
      </c>
    </row>
    <row r="364" spans="1:16" x14ac:dyDescent="0.3">
      <c r="A364">
        <v>973</v>
      </c>
      <c r="B364" s="1">
        <v>40587</v>
      </c>
      <c r="C364">
        <v>1</v>
      </c>
      <c r="D364">
        <v>0</v>
      </c>
      <c r="E364">
        <v>2</v>
      </c>
      <c r="F364">
        <v>3</v>
      </c>
      <c r="G364" t="b">
        <v>0</v>
      </c>
      <c r="H364">
        <v>0</v>
      </c>
      <c r="I364">
        <v>2</v>
      </c>
      <c r="J364">
        <v>0.2</v>
      </c>
      <c r="K364">
        <v>0.2273</v>
      </c>
      <c r="L364">
        <v>0.69</v>
      </c>
      <c r="M364">
        <v>0.1045</v>
      </c>
      <c r="N364">
        <v>4</v>
      </c>
      <c r="O364">
        <v>8</v>
      </c>
      <c r="P364">
        <v>12</v>
      </c>
    </row>
    <row r="365" spans="1:16" x14ac:dyDescent="0.3">
      <c r="A365">
        <v>974</v>
      </c>
      <c r="B365" s="1">
        <v>40587</v>
      </c>
      <c r="C365">
        <v>1</v>
      </c>
      <c r="D365">
        <v>0</v>
      </c>
      <c r="E365">
        <v>2</v>
      </c>
      <c r="F365">
        <v>4</v>
      </c>
      <c r="G365" t="b">
        <v>0</v>
      </c>
      <c r="H365">
        <v>0</v>
      </c>
      <c r="I365">
        <v>2</v>
      </c>
      <c r="J365">
        <v>0.2</v>
      </c>
      <c r="K365">
        <v>0.21210000000000001</v>
      </c>
      <c r="L365">
        <v>0.69</v>
      </c>
      <c r="M365">
        <v>0.16420000000000001</v>
      </c>
      <c r="N365">
        <v>0</v>
      </c>
      <c r="O365">
        <v>2</v>
      </c>
      <c r="P365">
        <v>2</v>
      </c>
    </row>
    <row r="366" spans="1:16" x14ac:dyDescent="0.3">
      <c r="A366">
        <v>975</v>
      </c>
      <c r="B366" s="1">
        <v>40587</v>
      </c>
      <c r="C366">
        <v>1</v>
      </c>
      <c r="D366">
        <v>0</v>
      </c>
      <c r="E366">
        <v>2</v>
      </c>
      <c r="F366">
        <v>6</v>
      </c>
      <c r="G366" t="b">
        <v>0</v>
      </c>
      <c r="H366">
        <v>0</v>
      </c>
      <c r="I366">
        <v>2</v>
      </c>
      <c r="J366">
        <v>0.2</v>
      </c>
      <c r="K366">
        <v>0.21210000000000001</v>
      </c>
      <c r="L366">
        <v>0.69</v>
      </c>
      <c r="M366">
        <v>0.1343</v>
      </c>
      <c r="N366">
        <v>2</v>
      </c>
      <c r="O366">
        <v>3</v>
      </c>
      <c r="P366">
        <v>5</v>
      </c>
    </row>
    <row r="367" spans="1:16" x14ac:dyDescent="0.3">
      <c r="A367">
        <v>976</v>
      </c>
      <c r="B367" s="1">
        <v>40587</v>
      </c>
      <c r="C367">
        <v>1</v>
      </c>
      <c r="D367">
        <v>0</v>
      </c>
      <c r="E367">
        <v>2</v>
      </c>
      <c r="F367">
        <v>7</v>
      </c>
      <c r="G367" t="b">
        <v>0</v>
      </c>
      <c r="H367">
        <v>0</v>
      </c>
      <c r="I367">
        <v>2</v>
      </c>
      <c r="J367">
        <v>0.22</v>
      </c>
      <c r="K367">
        <v>0.2727</v>
      </c>
      <c r="L367">
        <v>0.55000000000000004</v>
      </c>
      <c r="M367">
        <v>0</v>
      </c>
      <c r="N367">
        <v>0</v>
      </c>
      <c r="O367">
        <v>3</v>
      </c>
      <c r="P367">
        <v>3</v>
      </c>
    </row>
    <row r="368" spans="1:16" x14ac:dyDescent="0.3">
      <c r="A368">
        <v>977</v>
      </c>
      <c r="B368" s="1">
        <v>40587</v>
      </c>
      <c r="C368">
        <v>1</v>
      </c>
      <c r="D368">
        <v>0</v>
      </c>
      <c r="E368">
        <v>2</v>
      </c>
      <c r="F368">
        <v>8</v>
      </c>
      <c r="G368" t="b">
        <v>0</v>
      </c>
      <c r="H368">
        <v>0</v>
      </c>
      <c r="I368">
        <v>2</v>
      </c>
      <c r="J368">
        <v>0.22</v>
      </c>
      <c r="K368">
        <v>0.2273</v>
      </c>
      <c r="L368">
        <v>0.64</v>
      </c>
      <c r="M368">
        <v>0.19400000000000001</v>
      </c>
      <c r="N368">
        <v>1</v>
      </c>
      <c r="O368">
        <v>11</v>
      </c>
      <c r="P368">
        <v>12</v>
      </c>
    </row>
    <row r="369" spans="1:16" x14ac:dyDescent="0.3">
      <c r="A369">
        <v>978</v>
      </c>
      <c r="B369" s="1">
        <v>40587</v>
      </c>
      <c r="C369">
        <v>1</v>
      </c>
      <c r="D369">
        <v>0</v>
      </c>
      <c r="E369">
        <v>2</v>
      </c>
      <c r="F369">
        <v>9</v>
      </c>
      <c r="G369" t="b">
        <v>0</v>
      </c>
      <c r="H369">
        <v>0</v>
      </c>
      <c r="I369">
        <v>2</v>
      </c>
      <c r="J369">
        <v>0.24</v>
      </c>
      <c r="K369">
        <v>0.2273</v>
      </c>
      <c r="L369">
        <v>0.6</v>
      </c>
      <c r="M369">
        <v>0.22389999999999999</v>
      </c>
      <c r="N369">
        <v>12</v>
      </c>
      <c r="O369">
        <v>35</v>
      </c>
      <c r="P369">
        <v>47</v>
      </c>
    </row>
    <row r="370" spans="1:16" x14ac:dyDescent="0.3">
      <c r="A370">
        <v>979</v>
      </c>
      <c r="B370" s="1">
        <v>40587</v>
      </c>
      <c r="C370">
        <v>1</v>
      </c>
      <c r="D370">
        <v>0</v>
      </c>
      <c r="E370">
        <v>2</v>
      </c>
      <c r="F370">
        <v>10</v>
      </c>
      <c r="G370" t="b">
        <v>0</v>
      </c>
      <c r="H370">
        <v>0</v>
      </c>
      <c r="I370">
        <v>1</v>
      </c>
      <c r="J370">
        <v>0.3</v>
      </c>
      <c r="K370">
        <v>0.2727</v>
      </c>
      <c r="L370">
        <v>0.45</v>
      </c>
      <c r="M370">
        <v>0.32840000000000003</v>
      </c>
      <c r="N370">
        <v>19</v>
      </c>
      <c r="O370">
        <v>86</v>
      </c>
      <c r="P370">
        <v>105</v>
      </c>
    </row>
    <row r="371" spans="1:16" x14ac:dyDescent="0.3">
      <c r="A371">
        <v>980</v>
      </c>
      <c r="B371" s="1">
        <v>40587</v>
      </c>
      <c r="C371">
        <v>1</v>
      </c>
      <c r="D371">
        <v>0</v>
      </c>
      <c r="E371">
        <v>2</v>
      </c>
      <c r="F371">
        <v>11</v>
      </c>
      <c r="G371" t="b">
        <v>0</v>
      </c>
      <c r="H371">
        <v>0</v>
      </c>
      <c r="I371">
        <v>1</v>
      </c>
      <c r="J371">
        <v>0.32</v>
      </c>
      <c r="K371">
        <v>0.28789999999999999</v>
      </c>
      <c r="L371">
        <v>0.39</v>
      </c>
      <c r="M371">
        <v>0.44779999999999998</v>
      </c>
      <c r="N371">
        <v>26</v>
      </c>
      <c r="O371">
        <v>86</v>
      </c>
      <c r="P371">
        <v>112</v>
      </c>
    </row>
    <row r="372" spans="1:16" x14ac:dyDescent="0.3">
      <c r="A372">
        <v>981</v>
      </c>
      <c r="B372" s="1">
        <v>40587</v>
      </c>
      <c r="C372">
        <v>1</v>
      </c>
      <c r="D372">
        <v>0</v>
      </c>
      <c r="E372">
        <v>2</v>
      </c>
      <c r="F372">
        <v>12</v>
      </c>
      <c r="G372" t="b">
        <v>0</v>
      </c>
      <c r="H372">
        <v>0</v>
      </c>
      <c r="I372">
        <v>1</v>
      </c>
      <c r="J372">
        <v>0.36</v>
      </c>
      <c r="K372">
        <v>0.31819999999999998</v>
      </c>
      <c r="L372">
        <v>0.32</v>
      </c>
      <c r="M372">
        <v>0.4627</v>
      </c>
      <c r="N372">
        <v>58</v>
      </c>
      <c r="O372">
        <v>94</v>
      </c>
      <c r="P372">
        <v>152</v>
      </c>
    </row>
    <row r="373" spans="1:16" x14ac:dyDescent="0.3">
      <c r="A373">
        <v>982</v>
      </c>
      <c r="B373" s="1">
        <v>40587</v>
      </c>
      <c r="C373">
        <v>1</v>
      </c>
      <c r="D373">
        <v>0</v>
      </c>
      <c r="E373">
        <v>2</v>
      </c>
      <c r="F373">
        <v>13</v>
      </c>
      <c r="G373" t="b">
        <v>0</v>
      </c>
      <c r="H373">
        <v>0</v>
      </c>
      <c r="I373">
        <v>1</v>
      </c>
      <c r="J373">
        <v>0.38</v>
      </c>
      <c r="K373">
        <v>0.39389999999999997</v>
      </c>
      <c r="L373">
        <v>0.28999999999999998</v>
      </c>
      <c r="M373">
        <v>0.35820000000000002</v>
      </c>
      <c r="N373">
        <v>62</v>
      </c>
      <c r="O373">
        <v>92</v>
      </c>
      <c r="P373">
        <v>154</v>
      </c>
    </row>
    <row r="374" spans="1:16" x14ac:dyDescent="0.3">
      <c r="A374">
        <v>983</v>
      </c>
      <c r="B374" s="1">
        <v>40587</v>
      </c>
      <c r="C374">
        <v>1</v>
      </c>
      <c r="D374">
        <v>0</v>
      </c>
      <c r="E374">
        <v>2</v>
      </c>
      <c r="F374">
        <v>14</v>
      </c>
      <c r="G374" t="b">
        <v>0</v>
      </c>
      <c r="H374">
        <v>0</v>
      </c>
      <c r="I374">
        <v>2</v>
      </c>
      <c r="J374">
        <v>0.4</v>
      </c>
      <c r="K374">
        <v>0.40910000000000002</v>
      </c>
      <c r="L374">
        <v>0.3</v>
      </c>
      <c r="M374">
        <v>0.41789999999999999</v>
      </c>
      <c r="N374">
        <v>51</v>
      </c>
      <c r="O374">
        <v>110</v>
      </c>
      <c r="P374">
        <v>161</v>
      </c>
    </row>
    <row r="375" spans="1:16" x14ac:dyDescent="0.3">
      <c r="A375">
        <v>984</v>
      </c>
      <c r="B375" s="1">
        <v>40587</v>
      </c>
      <c r="C375">
        <v>1</v>
      </c>
      <c r="D375">
        <v>0</v>
      </c>
      <c r="E375">
        <v>2</v>
      </c>
      <c r="F375">
        <v>15</v>
      </c>
      <c r="G375" t="b">
        <v>0</v>
      </c>
      <c r="H375">
        <v>0</v>
      </c>
      <c r="I375">
        <v>2</v>
      </c>
      <c r="J375">
        <v>0.4</v>
      </c>
      <c r="K375">
        <v>0.40910000000000002</v>
      </c>
      <c r="L375">
        <v>0.3</v>
      </c>
      <c r="M375">
        <v>0.29849999999999999</v>
      </c>
      <c r="N375">
        <v>40</v>
      </c>
      <c r="O375">
        <v>122</v>
      </c>
      <c r="P375">
        <v>162</v>
      </c>
    </row>
    <row r="376" spans="1:16" x14ac:dyDescent="0.3">
      <c r="A376">
        <v>985</v>
      </c>
      <c r="B376" s="1">
        <v>40587</v>
      </c>
      <c r="C376">
        <v>1</v>
      </c>
      <c r="D376">
        <v>0</v>
      </c>
      <c r="E376">
        <v>2</v>
      </c>
      <c r="F376">
        <v>16</v>
      </c>
      <c r="G376" t="b">
        <v>0</v>
      </c>
      <c r="H376">
        <v>0</v>
      </c>
      <c r="I376">
        <v>2</v>
      </c>
      <c r="J376">
        <v>0.42</v>
      </c>
      <c r="K376">
        <v>0.42420000000000002</v>
      </c>
      <c r="L376">
        <v>0.28000000000000003</v>
      </c>
      <c r="M376">
        <v>0.32840000000000003</v>
      </c>
      <c r="N376">
        <v>28</v>
      </c>
      <c r="O376">
        <v>106</v>
      </c>
      <c r="P376">
        <v>134</v>
      </c>
    </row>
    <row r="377" spans="1:16" x14ac:dyDescent="0.3">
      <c r="A377">
        <v>986</v>
      </c>
      <c r="B377" s="1">
        <v>40587</v>
      </c>
      <c r="C377">
        <v>1</v>
      </c>
      <c r="D377">
        <v>0</v>
      </c>
      <c r="E377">
        <v>2</v>
      </c>
      <c r="F377">
        <v>17</v>
      </c>
      <c r="G377" t="b">
        <v>0</v>
      </c>
      <c r="H377">
        <v>0</v>
      </c>
      <c r="I377">
        <v>1</v>
      </c>
      <c r="J377">
        <v>0.42</v>
      </c>
      <c r="K377">
        <v>0.42420000000000002</v>
      </c>
      <c r="L377">
        <v>0.28000000000000003</v>
      </c>
      <c r="M377">
        <v>0.32840000000000003</v>
      </c>
      <c r="N377">
        <v>30</v>
      </c>
      <c r="O377">
        <v>95</v>
      </c>
      <c r="P377">
        <v>125</v>
      </c>
    </row>
    <row r="378" spans="1:16" x14ac:dyDescent="0.3">
      <c r="A378">
        <v>987</v>
      </c>
      <c r="B378" s="1">
        <v>40587</v>
      </c>
      <c r="C378">
        <v>1</v>
      </c>
      <c r="D378">
        <v>0</v>
      </c>
      <c r="E378">
        <v>2</v>
      </c>
      <c r="F378">
        <v>18</v>
      </c>
      <c r="G378" t="b">
        <v>0</v>
      </c>
      <c r="H378">
        <v>0</v>
      </c>
      <c r="I378">
        <v>1</v>
      </c>
      <c r="J378">
        <v>0.4</v>
      </c>
      <c r="K378">
        <v>0.40910000000000002</v>
      </c>
      <c r="L378">
        <v>0.32</v>
      </c>
      <c r="M378">
        <v>0.29849999999999999</v>
      </c>
      <c r="N378">
        <v>17</v>
      </c>
      <c r="O378">
        <v>78</v>
      </c>
      <c r="P378">
        <v>95</v>
      </c>
    </row>
    <row r="379" spans="1:16" x14ac:dyDescent="0.3">
      <c r="A379">
        <v>988</v>
      </c>
      <c r="B379" s="1">
        <v>40587</v>
      </c>
      <c r="C379">
        <v>1</v>
      </c>
      <c r="D379">
        <v>0</v>
      </c>
      <c r="E379">
        <v>2</v>
      </c>
      <c r="F379">
        <v>19</v>
      </c>
      <c r="G379" t="b">
        <v>0</v>
      </c>
      <c r="H379">
        <v>0</v>
      </c>
      <c r="I379">
        <v>1</v>
      </c>
      <c r="J379">
        <v>0.4</v>
      </c>
      <c r="K379">
        <v>0.40910000000000002</v>
      </c>
      <c r="L379">
        <v>0.35</v>
      </c>
      <c r="M379">
        <v>0.28360000000000002</v>
      </c>
      <c r="N379">
        <v>11</v>
      </c>
      <c r="O379">
        <v>50</v>
      </c>
      <c r="P379">
        <v>61</v>
      </c>
    </row>
    <row r="380" spans="1:16" x14ac:dyDescent="0.3">
      <c r="A380">
        <v>989</v>
      </c>
      <c r="B380" s="1">
        <v>40587</v>
      </c>
      <c r="C380">
        <v>1</v>
      </c>
      <c r="D380">
        <v>0</v>
      </c>
      <c r="E380">
        <v>2</v>
      </c>
      <c r="F380">
        <v>20</v>
      </c>
      <c r="G380" t="b">
        <v>0</v>
      </c>
      <c r="H380">
        <v>0</v>
      </c>
      <c r="I380">
        <v>1</v>
      </c>
      <c r="J380">
        <v>0.4</v>
      </c>
      <c r="K380">
        <v>0.40910000000000002</v>
      </c>
      <c r="L380">
        <v>0.35</v>
      </c>
      <c r="M380">
        <v>0.32840000000000003</v>
      </c>
      <c r="N380">
        <v>15</v>
      </c>
      <c r="O380">
        <v>32</v>
      </c>
      <c r="P380">
        <v>47</v>
      </c>
    </row>
    <row r="381" spans="1:16" x14ac:dyDescent="0.3">
      <c r="A381">
        <v>990</v>
      </c>
      <c r="B381" s="1">
        <v>40587</v>
      </c>
      <c r="C381">
        <v>1</v>
      </c>
      <c r="D381">
        <v>0</v>
      </c>
      <c r="E381">
        <v>2</v>
      </c>
      <c r="F381">
        <v>21</v>
      </c>
      <c r="G381" t="b">
        <v>0</v>
      </c>
      <c r="H381">
        <v>0</v>
      </c>
      <c r="I381">
        <v>1</v>
      </c>
      <c r="J381">
        <v>0.4</v>
      </c>
      <c r="K381">
        <v>0.40910000000000002</v>
      </c>
      <c r="L381">
        <v>0.35</v>
      </c>
      <c r="M381">
        <v>0.35820000000000002</v>
      </c>
      <c r="N381">
        <v>6</v>
      </c>
      <c r="O381">
        <v>45</v>
      </c>
      <c r="P381">
        <v>51</v>
      </c>
    </row>
    <row r="382" spans="1:16" x14ac:dyDescent="0.3">
      <c r="A382">
        <v>991</v>
      </c>
      <c r="B382" s="1">
        <v>40587</v>
      </c>
      <c r="C382">
        <v>1</v>
      </c>
      <c r="D382">
        <v>0</v>
      </c>
      <c r="E382">
        <v>2</v>
      </c>
      <c r="F382">
        <v>22</v>
      </c>
      <c r="G382" t="b">
        <v>0</v>
      </c>
      <c r="H382">
        <v>0</v>
      </c>
      <c r="I382">
        <v>1</v>
      </c>
      <c r="J382">
        <v>0.4</v>
      </c>
      <c r="K382">
        <v>0.40910000000000002</v>
      </c>
      <c r="L382">
        <v>0.35</v>
      </c>
      <c r="M382">
        <v>0.29849999999999999</v>
      </c>
      <c r="N382">
        <v>5</v>
      </c>
      <c r="O382">
        <v>31</v>
      </c>
      <c r="P382">
        <v>36</v>
      </c>
    </row>
    <row r="383" spans="1:16" x14ac:dyDescent="0.3">
      <c r="A383">
        <v>992</v>
      </c>
      <c r="B383" s="1">
        <v>40587</v>
      </c>
      <c r="C383">
        <v>1</v>
      </c>
      <c r="D383">
        <v>0</v>
      </c>
      <c r="E383">
        <v>2</v>
      </c>
      <c r="F383">
        <v>23</v>
      </c>
      <c r="G383" t="b">
        <v>0</v>
      </c>
      <c r="H383">
        <v>0</v>
      </c>
      <c r="I383">
        <v>1</v>
      </c>
      <c r="J383">
        <v>0.4</v>
      </c>
      <c r="K383">
        <v>0.40910000000000002</v>
      </c>
      <c r="L383">
        <v>0.35</v>
      </c>
      <c r="M383">
        <v>0.35820000000000002</v>
      </c>
      <c r="N383">
        <v>3</v>
      </c>
      <c r="O383">
        <v>27</v>
      </c>
      <c r="P383">
        <v>30</v>
      </c>
    </row>
    <row r="384" spans="1:16" x14ac:dyDescent="0.3">
      <c r="A384">
        <v>993</v>
      </c>
      <c r="B384" s="1">
        <v>40588</v>
      </c>
      <c r="C384">
        <v>1</v>
      </c>
      <c r="D384">
        <v>0</v>
      </c>
      <c r="E384">
        <v>2</v>
      </c>
      <c r="F384">
        <v>0</v>
      </c>
      <c r="G384" t="b">
        <v>0</v>
      </c>
      <c r="H384">
        <v>1</v>
      </c>
      <c r="I384">
        <v>1</v>
      </c>
      <c r="J384">
        <v>0.38</v>
      </c>
      <c r="K384">
        <v>0.39389999999999997</v>
      </c>
      <c r="L384">
        <v>0.37</v>
      </c>
      <c r="M384">
        <v>0.35820000000000002</v>
      </c>
      <c r="N384">
        <v>3</v>
      </c>
      <c r="O384">
        <v>8</v>
      </c>
      <c r="P384">
        <v>11</v>
      </c>
    </row>
    <row r="385" spans="1:16" x14ac:dyDescent="0.3">
      <c r="A385">
        <v>994</v>
      </c>
      <c r="B385" s="1">
        <v>40588</v>
      </c>
      <c r="C385">
        <v>1</v>
      </c>
      <c r="D385">
        <v>0</v>
      </c>
      <c r="E385">
        <v>2</v>
      </c>
      <c r="F385">
        <v>1</v>
      </c>
      <c r="G385" t="b">
        <v>0</v>
      </c>
      <c r="H385">
        <v>1</v>
      </c>
      <c r="I385">
        <v>1</v>
      </c>
      <c r="J385">
        <v>0.38</v>
      </c>
      <c r="K385">
        <v>0.39389999999999997</v>
      </c>
      <c r="L385">
        <v>0.37</v>
      </c>
      <c r="M385">
        <v>0.35820000000000002</v>
      </c>
      <c r="N385">
        <v>1</v>
      </c>
      <c r="O385">
        <v>6</v>
      </c>
      <c r="P385">
        <v>7</v>
      </c>
    </row>
    <row r="386" spans="1:16" x14ac:dyDescent="0.3">
      <c r="A386">
        <v>995</v>
      </c>
      <c r="B386" s="1">
        <v>40588</v>
      </c>
      <c r="C386">
        <v>1</v>
      </c>
      <c r="D386">
        <v>0</v>
      </c>
      <c r="E386">
        <v>2</v>
      </c>
      <c r="F386">
        <v>2</v>
      </c>
      <c r="G386" t="b">
        <v>0</v>
      </c>
      <c r="H386">
        <v>1</v>
      </c>
      <c r="I386">
        <v>1</v>
      </c>
      <c r="J386">
        <v>0.36</v>
      </c>
      <c r="K386">
        <v>0.33329999999999999</v>
      </c>
      <c r="L386">
        <v>0.4</v>
      </c>
      <c r="M386">
        <v>0.29849999999999999</v>
      </c>
      <c r="N386">
        <v>0</v>
      </c>
      <c r="O386">
        <v>2</v>
      </c>
      <c r="P386">
        <v>2</v>
      </c>
    </row>
    <row r="387" spans="1:16" x14ac:dyDescent="0.3">
      <c r="A387">
        <v>996</v>
      </c>
      <c r="B387" s="1">
        <v>40588</v>
      </c>
      <c r="C387">
        <v>1</v>
      </c>
      <c r="D387">
        <v>0</v>
      </c>
      <c r="E387">
        <v>2</v>
      </c>
      <c r="F387">
        <v>3</v>
      </c>
      <c r="G387" t="b">
        <v>0</v>
      </c>
      <c r="H387">
        <v>1</v>
      </c>
      <c r="I387">
        <v>1</v>
      </c>
      <c r="J387">
        <v>0.34</v>
      </c>
      <c r="K387">
        <v>0.31819999999999998</v>
      </c>
      <c r="L387">
        <v>0.46</v>
      </c>
      <c r="M387">
        <v>0.22389999999999999</v>
      </c>
      <c r="N387">
        <v>1</v>
      </c>
      <c r="O387">
        <v>1</v>
      </c>
      <c r="P387">
        <v>2</v>
      </c>
    </row>
    <row r="388" spans="1:16" x14ac:dyDescent="0.3">
      <c r="A388">
        <v>997</v>
      </c>
      <c r="B388" s="1">
        <v>40588</v>
      </c>
      <c r="C388">
        <v>1</v>
      </c>
      <c r="D388">
        <v>0</v>
      </c>
      <c r="E388">
        <v>2</v>
      </c>
      <c r="F388">
        <v>4</v>
      </c>
      <c r="G388" t="b">
        <v>0</v>
      </c>
      <c r="H388">
        <v>1</v>
      </c>
      <c r="I388">
        <v>1</v>
      </c>
      <c r="J388">
        <v>0.32</v>
      </c>
      <c r="K388">
        <v>0.30299999999999999</v>
      </c>
      <c r="L388">
        <v>0.53</v>
      </c>
      <c r="M388">
        <v>0.28360000000000002</v>
      </c>
      <c r="N388">
        <v>0</v>
      </c>
      <c r="O388">
        <v>2</v>
      </c>
      <c r="P388">
        <v>2</v>
      </c>
    </row>
    <row r="389" spans="1:16" x14ac:dyDescent="0.3">
      <c r="A389">
        <v>998</v>
      </c>
      <c r="B389" s="1">
        <v>40588</v>
      </c>
      <c r="C389">
        <v>1</v>
      </c>
      <c r="D389">
        <v>0</v>
      </c>
      <c r="E389">
        <v>2</v>
      </c>
      <c r="F389">
        <v>5</v>
      </c>
      <c r="G389" t="b">
        <v>0</v>
      </c>
      <c r="H389">
        <v>1</v>
      </c>
      <c r="I389">
        <v>1</v>
      </c>
      <c r="J389">
        <v>0.32</v>
      </c>
      <c r="K389">
        <v>0.30299999999999999</v>
      </c>
      <c r="L389">
        <v>0.53</v>
      </c>
      <c r="M389">
        <v>0.28360000000000002</v>
      </c>
      <c r="N389">
        <v>0</v>
      </c>
      <c r="O389">
        <v>3</v>
      </c>
      <c r="P389">
        <v>3</v>
      </c>
    </row>
    <row r="390" spans="1:16" x14ac:dyDescent="0.3">
      <c r="A390">
        <v>999</v>
      </c>
      <c r="B390" s="1">
        <v>40588</v>
      </c>
      <c r="C390">
        <v>1</v>
      </c>
      <c r="D390">
        <v>0</v>
      </c>
      <c r="E390">
        <v>2</v>
      </c>
      <c r="F390">
        <v>6</v>
      </c>
      <c r="G390" t="b">
        <v>0</v>
      </c>
      <c r="H390">
        <v>1</v>
      </c>
      <c r="I390">
        <v>1</v>
      </c>
      <c r="J390">
        <v>0.34</v>
      </c>
      <c r="K390">
        <v>0.30299999999999999</v>
      </c>
      <c r="L390">
        <v>0.46</v>
      </c>
      <c r="M390">
        <v>0.29849999999999999</v>
      </c>
      <c r="N390">
        <v>1</v>
      </c>
      <c r="O390">
        <v>25</v>
      </c>
      <c r="P390">
        <v>26</v>
      </c>
    </row>
    <row r="391" spans="1:16" x14ac:dyDescent="0.3">
      <c r="A391">
        <v>1000</v>
      </c>
      <c r="B391" s="1">
        <v>40588</v>
      </c>
      <c r="C391">
        <v>1</v>
      </c>
      <c r="D391">
        <v>0</v>
      </c>
      <c r="E391">
        <v>2</v>
      </c>
      <c r="F391">
        <v>7</v>
      </c>
      <c r="G391" t="b">
        <v>0</v>
      </c>
      <c r="H391">
        <v>1</v>
      </c>
      <c r="I391">
        <v>1</v>
      </c>
      <c r="J391">
        <v>0.34</v>
      </c>
      <c r="K391">
        <v>0.30299999999999999</v>
      </c>
      <c r="L391">
        <v>0.46</v>
      </c>
      <c r="M391">
        <v>0.29849999999999999</v>
      </c>
      <c r="N391">
        <v>2</v>
      </c>
      <c r="O391">
        <v>96</v>
      </c>
      <c r="P391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DC88-8A38-4BB3-9F41-A484F5EA772A}">
  <dimension ref="A1:H611"/>
  <sheetViews>
    <sheetView workbookViewId="0"/>
  </sheetViews>
  <sheetFormatPr defaultRowHeight="14.4" x14ac:dyDescent="0.3"/>
  <cols>
    <col min="1" max="1" width="13.109375" bestFit="1" customWidth="1"/>
    <col min="2" max="2" width="9" bestFit="1" customWidth="1"/>
    <col min="3" max="3" width="8.6640625" bestFit="1" customWidth="1"/>
    <col min="4" max="4" width="6.88671875" bestFit="1" customWidth="1"/>
    <col min="5" max="5" width="12.33203125" bestFit="1" customWidth="1"/>
    <col min="6" max="6" width="8.6640625" bestFit="1" customWidth="1"/>
    <col min="7" max="7" width="11.6640625" bestFit="1" customWidth="1"/>
    <col min="8" max="8" width="5.88671875" bestFit="1" customWidth="1"/>
  </cols>
  <sheetData>
    <row r="1" spans="1:8" x14ac:dyDescent="0.3">
      <c r="A1" t="s">
        <v>10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0</v>
      </c>
      <c r="B2">
        <v>1</v>
      </c>
      <c r="C2">
        <v>0.28789999999999999</v>
      </c>
      <c r="D2">
        <v>0.81</v>
      </c>
      <c r="E2">
        <v>0</v>
      </c>
      <c r="F2">
        <v>3</v>
      </c>
      <c r="G2">
        <v>13</v>
      </c>
      <c r="H2">
        <v>16</v>
      </c>
    </row>
    <row r="3" spans="1:8" x14ac:dyDescent="0.3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</row>
    <row r="4" spans="1:8" x14ac:dyDescent="0.3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</row>
    <row r="5" spans="1:8" x14ac:dyDescent="0.3">
      <c r="A5">
        <v>3</v>
      </c>
      <c r="B5">
        <v>4</v>
      </c>
      <c r="C5">
        <v>0.28789999999999999</v>
      </c>
      <c r="D5">
        <v>0.75</v>
      </c>
      <c r="E5">
        <v>0</v>
      </c>
      <c r="F5">
        <v>3</v>
      </c>
      <c r="G5">
        <v>10</v>
      </c>
      <c r="H5">
        <v>13</v>
      </c>
    </row>
    <row r="6" spans="1:8" x14ac:dyDescent="0.3">
      <c r="A6">
        <v>4</v>
      </c>
      <c r="B6">
        <v>5</v>
      </c>
      <c r="C6">
        <v>0.28789999999999999</v>
      </c>
      <c r="D6">
        <v>0.75</v>
      </c>
      <c r="E6">
        <v>0</v>
      </c>
      <c r="F6">
        <v>0</v>
      </c>
      <c r="G6">
        <v>1</v>
      </c>
      <c r="H6">
        <v>1</v>
      </c>
    </row>
    <row r="7" spans="1:8" x14ac:dyDescent="0.3">
      <c r="A7">
        <v>5</v>
      </c>
      <c r="B7">
        <v>6</v>
      </c>
      <c r="C7">
        <v>0.2576</v>
      </c>
      <c r="D7">
        <v>0.75</v>
      </c>
      <c r="E7">
        <v>8.9599999999999999E-2</v>
      </c>
      <c r="F7">
        <v>0</v>
      </c>
      <c r="G7">
        <v>1</v>
      </c>
      <c r="H7">
        <v>1</v>
      </c>
    </row>
    <row r="8" spans="1:8" x14ac:dyDescent="0.3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</row>
    <row r="9" spans="1:8" x14ac:dyDescent="0.3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</row>
    <row r="10" spans="1:8" x14ac:dyDescent="0.3">
      <c r="A10">
        <v>8</v>
      </c>
      <c r="B10">
        <v>9</v>
      </c>
      <c r="C10">
        <v>0.19993</v>
      </c>
      <c r="D10">
        <v>0.75</v>
      </c>
      <c r="E10">
        <v>0</v>
      </c>
      <c r="F10">
        <v>1</v>
      </c>
      <c r="G10">
        <v>7</v>
      </c>
      <c r="H10">
        <v>8</v>
      </c>
    </row>
    <row r="11" spans="1:8" x14ac:dyDescent="0.3">
      <c r="A11">
        <v>9</v>
      </c>
      <c r="B11">
        <v>10</v>
      </c>
      <c r="C11">
        <v>0.34849999999999998</v>
      </c>
      <c r="D11">
        <v>0.76</v>
      </c>
      <c r="E11">
        <v>0</v>
      </c>
      <c r="F11">
        <v>8</v>
      </c>
      <c r="G11">
        <v>6</v>
      </c>
      <c r="H11">
        <v>14</v>
      </c>
    </row>
    <row r="12" spans="1:8" x14ac:dyDescent="0.3">
      <c r="A12">
        <v>10</v>
      </c>
      <c r="B12">
        <v>11</v>
      </c>
      <c r="C12">
        <v>0.39389999999999997</v>
      </c>
      <c r="D12">
        <v>0.76</v>
      </c>
      <c r="E12">
        <v>0.25369999999999998</v>
      </c>
      <c r="F12">
        <v>12</v>
      </c>
      <c r="G12">
        <v>24</v>
      </c>
      <c r="H12">
        <v>36</v>
      </c>
    </row>
    <row r="13" spans="1:8" x14ac:dyDescent="0.3">
      <c r="A13">
        <v>11</v>
      </c>
      <c r="B13">
        <v>12</v>
      </c>
      <c r="C13">
        <v>0.33329999999999999</v>
      </c>
      <c r="D13">
        <v>0.81</v>
      </c>
      <c r="E13">
        <v>0.28360000000000002</v>
      </c>
      <c r="F13">
        <v>26</v>
      </c>
      <c r="G13">
        <v>30</v>
      </c>
      <c r="H13">
        <v>56</v>
      </c>
    </row>
    <row r="14" spans="1:8" x14ac:dyDescent="0.3">
      <c r="A14">
        <v>12</v>
      </c>
      <c r="B14">
        <v>13</v>
      </c>
      <c r="C14">
        <v>0.42420000000000002</v>
      </c>
      <c r="D14">
        <v>0.77</v>
      </c>
      <c r="E14">
        <v>0.28360000000000002</v>
      </c>
      <c r="F14">
        <v>29</v>
      </c>
      <c r="G14">
        <v>55</v>
      </c>
      <c r="H14">
        <v>84</v>
      </c>
    </row>
    <row r="15" spans="1:8" x14ac:dyDescent="0.3">
      <c r="A15">
        <v>13</v>
      </c>
      <c r="B15">
        <v>14</v>
      </c>
      <c r="C15">
        <v>0.45450000000000002</v>
      </c>
      <c r="D15">
        <v>0.72</v>
      </c>
      <c r="E15">
        <v>0.29849999999999999</v>
      </c>
      <c r="F15">
        <v>47</v>
      </c>
      <c r="G15">
        <v>47</v>
      </c>
      <c r="H15">
        <v>94</v>
      </c>
    </row>
    <row r="16" spans="1:8" x14ac:dyDescent="0.3">
      <c r="A16">
        <v>14</v>
      </c>
      <c r="B16">
        <v>15</v>
      </c>
      <c r="C16">
        <v>0.45450000000000002</v>
      </c>
      <c r="D16">
        <v>0.72</v>
      </c>
      <c r="E16">
        <v>0.28360000000000002</v>
      </c>
      <c r="F16">
        <v>35</v>
      </c>
      <c r="G16">
        <v>71</v>
      </c>
      <c r="H16">
        <v>106</v>
      </c>
    </row>
    <row r="17" spans="1:8" x14ac:dyDescent="0.3">
      <c r="A17">
        <v>15</v>
      </c>
      <c r="B17">
        <v>16</v>
      </c>
      <c r="C17">
        <v>0.43940000000000001</v>
      </c>
      <c r="D17">
        <v>0.77</v>
      </c>
      <c r="E17">
        <v>0.29849999999999999</v>
      </c>
      <c r="F17">
        <v>40</v>
      </c>
      <c r="G17">
        <v>70</v>
      </c>
      <c r="H17">
        <v>110</v>
      </c>
    </row>
    <row r="18" spans="1:8" x14ac:dyDescent="0.3">
      <c r="A18">
        <v>16</v>
      </c>
      <c r="B18">
        <v>17</v>
      </c>
      <c r="C18">
        <v>0.42420000000000002</v>
      </c>
      <c r="D18">
        <v>0.82</v>
      </c>
      <c r="E18">
        <v>0.29849999999999999</v>
      </c>
      <c r="F18">
        <v>41</v>
      </c>
      <c r="G18">
        <v>52</v>
      </c>
      <c r="H18">
        <v>93</v>
      </c>
    </row>
    <row r="19" spans="1:8" x14ac:dyDescent="0.3">
      <c r="A19">
        <v>17</v>
      </c>
      <c r="B19">
        <v>18</v>
      </c>
      <c r="C19">
        <v>0.19993</v>
      </c>
      <c r="D19">
        <v>0.82</v>
      </c>
      <c r="E19">
        <v>0.28360000000000002</v>
      </c>
      <c r="F19">
        <v>15</v>
      </c>
      <c r="G19">
        <v>52</v>
      </c>
      <c r="H19">
        <v>67</v>
      </c>
    </row>
    <row r="20" spans="1:8" x14ac:dyDescent="0.3">
      <c r="A20">
        <v>18</v>
      </c>
      <c r="B20">
        <v>19</v>
      </c>
      <c r="C20">
        <v>0.42420000000000002</v>
      </c>
      <c r="D20">
        <v>0.88</v>
      </c>
      <c r="E20">
        <v>0.25369999999999998</v>
      </c>
      <c r="F20">
        <v>9</v>
      </c>
      <c r="G20">
        <v>26</v>
      </c>
      <c r="H20">
        <v>35</v>
      </c>
    </row>
    <row r="21" spans="1:8" x14ac:dyDescent="0.3">
      <c r="A21">
        <v>19</v>
      </c>
      <c r="B21">
        <v>20</v>
      </c>
      <c r="C21">
        <v>0.42420000000000002</v>
      </c>
      <c r="D21">
        <v>0.88</v>
      </c>
      <c r="E21">
        <v>0.25369999999999998</v>
      </c>
      <c r="F21">
        <v>6</v>
      </c>
      <c r="G21">
        <v>31</v>
      </c>
      <c r="H21">
        <v>37</v>
      </c>
    </row>
    <row r="22" spans="1:8" x14ac:dyDescent="0.3">
      <c r="A22">
        <v>20</v>
      </c>
      <c r="B22">
        <v>21</v>
      </c>
      <c r="C22">
        <v>0.40910000000000002</v>
      </c>
      <c r="D22">
        <v>0.87</v>
      </c>
      <c r="E22">
        <v>0.25369999999999998</v>
      </c>
      <c r="F22">
        <v>11</v>
      </c>
      <c r="G22">
        <v>25</v>
      </c>
      <c r="H22">
        <v>36</v>
      </c>
    </row>
    <row r="23" spans="1:8" x14ac:dyDescent="0.3">
      <c r="A23">
        <v>21</v>
      </c>
      <c r="B23">
        <v>22</v>
      </c>
      <c r="C23">
        <v>0.40910000000000002</v>
      </c>
      <c r="D23">
        <v>0.87</v>
      </c>
      <c r="E23">
        <v>0.19400000000000001</v>
      </c>
      <c r="F23">
        <v>3</v>
      </c>
      <c r="G23">
        <v>31</v>
      </c>
      <c r="H23">
        <v>34</v>
      </c>
    </row>
    <row r="24" spans="1:8" x14ac:dyDescent="0.3">
      <c r="A24">
        <v>22</v>
      </c>
      <c r="B24">
        <v>23</v>
      </c>
      <c r="C24">
        <v>0.40910000000000002</v>
      </c>
      <c r="D24">
        <v>0.94</v>
      </c>
      <c r="E24">
        <v>0.22389999999999999</v>
      </c>
      <c r="F24">
        <v>11</v>
      </c>
      <c r="G24">
        <v>17</v>
      </c>
      <c r="H24">
        <v>28</v>
      </c>
    </row>
    <row r="25" spans="1:8" x14ac:dyDescent="0.3">
      <c r="A25">
        <v>23</v>
      </c>
      <c r="B25">
        <v>24</v>
      </c>
      <c r="C25">
        <v>0.19993</v>
      </c>
      <c r="D25">
        <v>0.88</v>
      </c>
      <c r="E25">
        <v>0.29849999999999999</v>
      </c>
      <c r="F25">
        <v>15</v>
      </c>
      <c r="G25">
        <v>24</v>
      </c>
      <c r="H25">
        <v>39</v>
      </c>
    </row>
    <row r="26" spans="1:8" x14ac:dyDescent="0.3">
      <c r="A26">
        <v>24</v>
      </c>
      <c r="B26">
        <v>25</v>
      </c>
      <c r="C26">
        <v>0.45450000000000002</v>
      </c>
      <c r="D26">
        <v>0.88</v>
      </c>
      <c r="E26">
        <v>0.29849999999999999</v>
      </c>
      <c r="F26">
        <v>4</v>
      </c>
      <c r="G26">
        <v>13</v>
      </c>
      <c r="H26">
        <v>17</v>
      </c>
    </row>
    <row r="27" spans="1:8" x14ac:dyDescent="0.3">
      <c r="A27">
        <v>25</v>
      </c>
      <c r="B27">
        <v>26</v>
      </c>
      <c r="C27">
        <v>0.43940000000000001</v>
      </c>
      <c r="D27">
        <v>0.94</v>
      </c>
      <c r="E27">
        <v>0.25369999999999998</v>
      </c>
      <c r="F27">
        <v>1</v>
      </c>
      <c r="G27">
        <v>16</v>
      </c>
      <c r="H27">
        <v>17</v>
      </c>
    </row>
    <row r="28" spans="1:8" x14ac:dyDescent="0.3">
      <c r="A28">
        <v>26</v>
      </c>
      <c r="B28">
        <v>27</v>
      </c>
      <c r="C28">
        <v>0.42420000000000002</v>
      </c>
      <c r="D28">
        <v>1</v>
      </c>
      <c r="E28">
        <v>0.28360000000000002</v>
      </c>
      <c r="F28">
        <v>1</v>
      </c>
      <c r="G28">
        <v>8</v>
      </c>
      <c r="H28">
        <v>9</v>
      </c>
    </row>
    <row r="29" spans="1:8" x14ac:dyDescent="0.3">
      <c r="A29">
        <v>27</v>
      </c>
      <c r="B29">
        <v>28</v>
      </c>
      <c r="C29">
        <v>0.45450000000000002</v>
      </c>
      <c r="D29">
        <v>0.94</v>
      </c>
      <c r="E29">
        <v>0.19400000000000001</v>
      </c>
      <c r="F29">
        <v>2</v>
      </c>
      <c r="G29">
        <v>4</v>
      </c>
      <c r="H29">
        <v>6</v>
      </c>
    </row>
    <row r="30" spans="1:8" x14ac:dyDescent="0.3">
      <c r="A30">
        <v>28</v>
      </c>
      <c r="B30">
        <v>29</v>
      </c>
      <c r="C30">
        <v>0.19993</v>
      </c>
      <c r="D30">
        <v>0.94</v>
      </c>
      <c r="E30">
        <v>0.19400000000000001</v>
      </c>
      <c r="F30">
        <v>2</v>
      </c>
      <c r="G30">
        <v>1</v>
      </c>
      <c r="H30">
        <v>3</v>
      </c>
    </row>
    <row r="31" spans="1:8" x14ac:dyDescent="0.3">
      <c r="A31">
        <v>29</v>
      </c>
      <c r="B31">
        <v>30</v>
      </c>
      <c r="C31">
        <v>0.42420000000000002</v>
      </c>
      <c r="D31">
        <v>0.77</v>
      </c>
      <c r="E31">
        <v>0.29849999999999999</v>
      </c>
      <c r="F31">
        <v>0</v>
      </c>
      <c r="G31">
        <v>2</v>
      </c>
      <c r="H31">
        <v>2</v>
      </c>
    </row>
    <row r="32" spans="1:8" x14ac:dyDescent="0.3">
      <c r="A32">
        <v>30</v>
      </c>
      <c r="B32">
        <v>31</v>
      </c>
      <c r="C32">
        <v>0.40910000000000002</v>
      </c>
      <c r="D32">
        <v>0.76</v>
      </c>
      <c r="E32">
        <v>0.19400000000000001</v>
      </c>
      <c r="F32">
        <v>0</v>
      </c>
      <c r="G32">
        <v>1</v>
      </c>
      <c r="H32">
        <v>1</v>
      </c>
    </row>
    <row r="33" spans="1:8" x14ac:dyDescent="0.3">
      <c r="A33">
        <v>31</v>
      </c>
      <c r="B33">
        <v>32</v>
      </c>
      <c r="C33">
        <v>0.40910000000000002</v>
      </c>
      <c r="D33">
        <v>0.71</v>
      </c>
      <c r="E33">
        <v>0.22389999999999999</v>
      </c>
      <c r="F33">
        <v>0</v>
      </c>
      <c r="G33">
        <v>8</v>
      </c>
      <c r="H33">
        <v>8</v>
      </c>
    </row>
    <row r="34" spans="1:8" x14ac:dyDescent="0.3">
      <c r="A34">
        <v>32</v>
      </c>
      <c r="B34">
        <v>33</v>
      </c>
      <c r="C34">
        <v>0.19993</v>
      </c>
      <c r="D34">
        <v>0.76</v>
      </c>
      <c r="E34">
        <v>0.22389999999999999</v>
      </c>
      <c r="F34">
        <v>1</v>
      </c>
      <c r="G34">
        <v>19</v>
      </c>
      <c r="H34">
        <v>20</v>
      </c>
    </row>
    <row r="35" spans="1:8" x14ac:dyDescent="0.3">
      <c r="A35">
        <v>33</v>
      </c>
      <c r="B35">
        <v>34</v>
      </c>
      <c r="C35">
        <v>0.34849999999999998</v>
      </c>
      <c r="D35">
        <v>0.81</v>
      </c>
      <c r="E35">
        <v>0.22389999999999999</v>
      </c>
      <c r="F35">
        <v>7</v>
      </c>
      <c r="G35">
        <v>46</v>
      </c>
      <c r="H35">
        <v>53</v>
      </c>
    </row>
    <row r="36" spans="1:8" x14ac:dyDescent="0.3">
      <c r="A36">
        <v>34</v>
      </c>
      <c r="B36">
        <v>35</v>
      </c>
      <c r="C36">
        <v>0.33329999999999999</v>
      </c>
      <c r="D36">
        <v>0.71</v>
      </c>
      <c r="E36">
        <v>0.25369999999999998</v>
      </c>
      <c r="F36">
        <v>16</v>
      </c>
      <c r="G36">
        <v>54</v>
      </c>
      <c r="H36">
        <v>70</v>
      </c>
    </row>
    <row r="37" spans="1:8" x14ac:dyDescent="0.3">
      <c r="A37">
        <v>35</v>
      </c>
      <c r="B37">
        <v>36</v>
      </c>
      <c r="C37">
        <v>0.33329999999999999</v>
      </c>
      <c r="D37">
        <v>0.66</v>
      </c>
      <c r="E37">
        <v>0.29849999999999999</v>
      </c>
      <c r="F37">
        <v>20</v>
      </c>
      <c r="G37">
        <v>73</v>
      </c>
      <c r="H37">
        <v>93</v>
      </c>
    </row>
    <row r="38" spans="1:8" x14ac:dyDescent="0.3">
      <c r="A38">
        <v>36</v>
      </c>
      <c r="B38">
        <v>37</v>
      </c>
      <c r="C38">
        <v>0.34849999999999998</v>
      </c>
      <c r="D38">
        <v>0.66</v>
      </c>
      <c r="E38">
        <v>0.1343</v>
      </c>
      <c r="F38">
        <v>11</v>
      </c>
      <c r="G38">
        <v>64</v>
      </c>
      <c r="H38">
        <v>75</v>
      </c>
    </row>
    <row r="39" spans="1:8" x14ac:dyDescent="0.3">
      <c r="A39">
        <v>37</v>
      </c>
      <c r="B39">
        <v>38</v>
      </c>
      <c r="C39">
        <v>0.19993</v>
      </c>
      <c r="D39">
        <v>0.76</v>
      </c>
      <c r="E39">
        <v>0.19400000000000001</v>
      </c>
      <c r="F39">
        <v>4</v>
      </c>
      <c r="G39">
        <v>55</v>
      </c>
      <c r="H39">
        <v>59</v>
      </c>
    </row>
    <row r="40" spans="1:8" x14ac:dyDescent="0.3">
      <c r="A40">
        <v>38</v>
      </c>
      <c r="B40">
        <v>39</v>
      </c>
      <c r="C40">
        <v>0.33329999999999999</v>
      </c>
      <c r="D40">
        <v>0.81</v>
      </c>
      <c r="E40">
        <v>0.16420000000000001</v>
      </c>
      <c r="F40">
        <v>19</v>
      </c>
      <c r="G40">
        <v>55</v>
      </c>
      <c r="H40">
        <v>74</v>
      </c>
    </row>
    <row r="41" spans="1:8" x14ac:dyDescent="0.3">
      <c r="A41">
        <v>39</v>
      </c>
      <c r="B41">
        <v>40</v>
      </c>
      <c r="C41">
        <v>0.33329999999999999</v>
      </c>
      <c r="D41">
        <v>0.71</v>
      </c>
      <c r="E41">
        <v>0.16420000000000001</v>
      </c>
      <c r="F41">
        <v>9</v>
      </c>
      <c r="G41">
        <v>67</v>
      </c>
      <c r="H41">
        <v>76</v>
      </c>
    </row>
    <row r="42" spans="1:8" x14ac:dyDescent="0.3">
      <c r="A42">
        <v>40</v>
      </c>
      <c r="B42">
        <v>41</v>
      </c>
      <c r="C42">
        <v>0.33329999999999999</v>
      </c>
      <c r="D42">
        <v>0.56999999999999995</v>
      </c>
      <c r="E42">
        <v>0.19400000000000001</v>
      </c>
      <c r="F42">
        <v>7</v>
      </c>
      <c r="G42">
        <v>58</v>
      </c>
      <c r="H42">
        <v>65</v>
      </c>
    </row>
    <row r="43" spans="1:8" x14ac:dyDescent="0.3">
      <c r="A43">
        <v>41</v>
      </c>
      <c r="B43">
        <v>42</v>
      </c>
      <c r="C43">
        <v>0.33329999999999999</v>
      </c>
      <c r="D43">
        <v>0.46</v>
      </c>
      <c r="E43">
        <v>0.32840000000000003</v>
      </c>
      <c r="F43">
        <v>10</v>
      </c>
      <c r="G43">
        <v>43</v>
      </c>
      <c r="H43">
        <v>53</v>
      </c>
    </row>
    <row r="44" spans="1:8" x14ac:dyDescent="0.3">
      <c r="A44">
        <v>42</v>
      </c>
      <c r="B44">
        <v>43</v>
      </c>
      <c r="C44">
        <v>0.28789999999999999</v>
      </c>
      <c r="D44">
        <v>0.42</v>
      </c>
      <c r="E44">
        <v>0.44779999999999998</v>
      </c>
      <c r="F44">
        <v>1</v>
      </c>
      <c r="G44">
        <v>29</v>
      </c>
      <c r="H44">
        <v>30</v>
      </c>
    </row>
    <row r="45" spans="1:8" x14ac:dyDescent="0.3">
      <c r="A45">
        <v>43</v>
      </c>
      <c r="B45">
        <v>44</v>
      </c>
      <c r="C45">
        <v>0.19993</v>
      </c>
      <c r="D45">
        <v>0.39</v>
      </c>
      <c r="E45">
        <v>0.35820000000000002</v>
      </c>
      <c r="F45">
        <v>5</v>
      </c>
      <c r="G45">
        <v>17</v>
      </c>
      <c r="H45">
        <v>22</v>
      </c>
    </row>
    <row r="46" spans="1:8" x14ac:dyDescent="0.3">
      <c r="A46">
        <v>44</v>
      </c>
      <c r="B46">
        <v>45</v>
      </c>
      <c r="C46">
        <v>0.2273</v>
      </c>
      <c r="D46">
        <v>0.44</v>
      </c>
      <c r="E46">
        <v>0.32840000000000003</v>
      </c>
      <c r="F46">
        <v>11</v>
      </c>
      <c r="G46">
        <v>20</v>
      </c>
      <c r="H46">
        <v>31</v>
      </c>
    </row>
    <row r="47" spans="1:8" x14ac:dyDescent="0.3">
      <c r="A47">
        <v>45</v>
      </c>
      <c r="B47">
        <v>46</v>
      </c>
      <c r="C47">
        <v>0.21210000000000001</v>
      </c>
      <c r="D47">
        <v>0.44</v>
      </c>
      <c r="E47">
        <v>0.29849999999999999</v>
      </c>
      <c r="F47">
        <v>0</v>
      </c>
      <c r="G47">
        <v>9</v>
      </c>
      <c r="H47">
        <v>9</v>
      </c>
    </row>
    <row r="48" spans="1:8" x14ac:dyDescent="0.3">
      <c r="A48">
        <v>46</v>
      </c>
      <c r="B48">
        <v>47</v>
      </c>
      <c r="C48">
        <v>0.2273</v>
      </c>
      <c r="D48">
        <v>0.47</v>
      </c>
      <c r="E48">
        <v>0.16420000000000001</v>
      </c>
      <c r="F48">
        <v>0</v>
      </c>
      <c r="G48">
        <v>8</v>
      </c>
      <c r="H48">
        <v>8</v>
      </c>
    </row>
    <row r="49" spans="1:8" x14ac:dyDescent="0.3">
      <c r="A49">
        <v>47</v>
      </c>
      <c r="B49">
        <v>48</v>
      </c>
      <c r="C49">
        <v>0.19700000000000001</v>
      </c>
      <c r="D49">
        <v>0.44</v>
      </c>
      <c r="E49">
        <v>0.35820000000000002</v>
      </c>
      <c r="F49">
        <v>0</v>
      </c>
      <c r="G49">
        <v>5</v>
      </c>
      <c r="H49">
        <v>5</v>
      </c>
    </row>
    <row r="50" spans="1:8" x14ac:dyDescent="0.3">
      <c r="A50">
        <v>48</v>
      </c>
      <c r="B50">
        <v>49</v>
      </c>
      <c r="C50">
        <v>0.19993</v>
      </c>
      <c r="D50">
        <v>0.44</v>
      </c>
      <c r="E50">
        <v>0.41789999999999999</v>
      </c>
      <c r="F50">
        <v>0</v>
      </c>
      <c r="G50">
        <v>2</v>
      </c>
      <c r="H50">
        <v>2</v>
      </c>
    </row>
    <row r="51" spans="1:8" x14ac:dyDescent="0.3">
      <c r="A51">
        <v>49</v>
      </c>
      <c r="B51">
        <v>50</v>
      </c>
      <c r="C51">
        <v>0.13639999999999999</v>
      </c>
      <c r="D51">
        <v>0.47</v>
      </c>
      <c r="E51">
        <v>0.3881</v>
      </c>
      <c r="F51">
        <v>0</v>
      </c>
      <c r="G51">
        <v>1</v>
      </c>
      <c r="H51">
        <v>1</v>
      </c>
    </row>
    <row r="52" spans="1:8" x14ac:dyDescent="0.3">
      <c r="A52">
        <v>50</v>
      </c>
      <c r="B52">
        <v>51</v>
      </c>
      <c r="C52">
        <v>0.13639999999999999</v>
      </c>
      <c r="D52">
        <v>0.47</v>
      </c>
      <c r="E52">
        <v>0.28360000000000002</v>
      </c>
      <c r="F52">
        <v>0</v>
      </c>
      <c r="G52">
        <v>3</v>
      </c>
      <c r="H52">
        <v>3</v>
      </c>
    </row>
    <row r="53" spans="1:8" x14ac:dyDescent="0.3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</row>
    <row r="54" spans="1:8" x14ac:dyDescent="0.3">
      <c r="A54">
        <v>52</v>
      </c>
      <c r="B54">
        <v>53</v>
      </c>
      <c r="C54">
        <v>0.13639999999999999</v>
      </c>
      <c r="D54">
        <v>0.5</v>
      </c>
      <c r="E54">
        <v>0.19400000000000001</v>
      </c>
      <c r="F54">
        <v>1</v>
      </c>
      <c r="G54">
        <v>63</v>
      </c>
      <c r="H54">
        <v>64</v>
      </c>
    </row>
    <row r="55" spans="1:8" x14ac:dyDescent="0.3">
      <c r="A55">
        <v>53</v>
      </c>
      <c r="B55">
        <v>54</v>
      </c>
      <c r="C55">
        <v>0.1212</v>
      </c>
      <c r="D55">
        <v>0.5</v>
      </c>
      <c r="E55">
        <v>0.28360000000000002</v>
      </c>
      <c r="F55">
        <v>1</v>
      </c>
      <c r="G55">
        <v>153</v>
      </c>
      <c r="H55">
        <v>154</v>
      </c>
    </row>
    <row r="56" spans="1:8" x14ac:dyDescent="0.3">
      <c r="A56">
        <v>54</v>
      </c>
      <c r="B56">
        <v>55</v>
      </c>
      <c r="C56">
        <v>0.13639999999999999</v>
      </c>
      <c r="D56">
        <v>0.43</v>
      </c>
      <c r="E56">
        <v>0.3881</v>
      </c>
      <c r="F56">
        <v>7</v>
      </c>
      <c r="G56">
        <v>81</v>
      </c>
      <c r="H56">
        <v>88</v>
      </c>
    </row>
    <row r="57" spans="1:8" x14ac:dyDescent="0.3">
      <c r="A57">
        <v>55</v>
      </c>
      <c r="B57">
        <v>56</v>
      </c>
      <c r="C57">
        <v>0.16669999999999999</v>
      </c>
      <c r="D57">
        <v>0.43</v>
      </c>
      <c r="E57">
        <v>0.25369999999999998</v>
      </c>
      <c r="F57">
        <v>11</v>
      </c>
      <c r="G57">
        <v>33</v>
      </c>
      <c r="H57">
        <v>44</v>
      </c>
    </row>
    <row r="58" spans="1:8" x14ac:dyDescent="0.3">
      <c r="A58">
        <v>56</v>
      </c>
      <c r="B58">
        <v>57</v>
      </c>
      <c r="C58">
        <v>0.18179999999999999</v>
      </c>
      <c r="D58">
        <v>0.4</v>
      </c>
      <c r="E58">
        <v>0.32840000000000003</v>
      </c>
      <c r="F58">
        <v>10</v>
      </c>
      <c r="G58">
        <v>41</v>
      </c>
      <c r="H58">
        <v>51</v>
      </c>
    </row>
    <row r="59" spans="1:8" x14ac:dyDescent="0.3">
      <c r="A59">
        <v>57</v>
      </c>
      <c r="B59">
        <v>58</v>
      </c>
      <c r="C59">
        <v>0.21210000000000001</v>
      </c>
      <c r="D59">
        <v>0.35</v>
      </c>
      <c r="E59">
        <v>0.29849999999999999</v>
      </c>
      <c r="F59">
        <v>13</v>
      </c>
      <c r="G59">
        <v>48</v>
      </c>
      <c r="H59">
        <v>61</v>
      </c>
    </row>
    <row r="60" spans="1:8" x14ac:dyDescent="0.3">
      <c r="A60">
        <v>58</v>
      </c>
      <c r="B60">
        <v>59</v>
      </c>
      <c r="C60">
        <v>0.19993</v>
      </c>
      <c r="D60">
        <v>0.35</v>
      </c>
      <c r="E60">
        <v>0.28360000000000002</v>
      </c>
      <c r="F60">
        <v>8</v>
      </c>
      <c r="G60">
        <v>53</v>
      </c>
      <c r="H60">
        <v>61</v>
      </c>
    </row>
    <row r="61" spans="1:8" x14ac:dyDescent="0.3">
      <c r="A61">
        <v>59</v>
      </c>
      <c r="B61">
        <v>60</v>
      </c>
      <c r="C61">
        <v>0.2424</v>
      </c>
      <c r="D61">
        <v>0.3</v>
      </c>
      <c r="E61">
        <v>0.28360000000000002</v>
      </c>
      <c r="F61">
        <v>11</v>
      </c>
      <c r="G61">
        <v>66</v>
      </c>
      <c r="H61">
        <v>77</v>
      </c>
    </row>
    <row r="62" spans="1:8" x14ac:dyDescent="0.3">
      <c r="A62">
        <v>60</v>
      </c>
      <c r="B62">
        <v>61</v>
      </c>
      <c r="C62">
        <v>0.2424</v>
      </c>
      <c r="D62">
        <v>0.3</v>
      </c>
      <c r="E62">
        <v>0.25369999999999998</v>
      </c>
      <c r="F62">
        <v>14</v>
      </c>
      <c r="G62">
        <v>58</v>
      </c>
      <c r="H62">
        <v>72</v>
      </c>
    </row>
    <row r="63" spans="1:8" x14ac:dyDescent="0.3">
      <c r="A63">
        <v>61</v>
      </c>
      <c r="B63">
        <v>62</v>
      </c>
      <c r="C63">
        <v>0.2424</v>
      </c>
      <c r="D63">
        <v>0.3</v>
      </c>
      <c r="E63">
        <v>0.25369999999999998</v>
      </c>
      <c r="F63">
        <v>9</v>
      </c>
      <c r="G63">
        <v>67</v>
      </c>
      <c r="H63">
        <v>76</v>
      </c>
    </row>
    <row r="64" spans="1:8" x14ac:dyDescent="0.3">
      <c r="A64">
        <v>62</v>
      </c>
      <c r="B64">
        <v>63</v>
      </c>
      <c r="C64">
        <v>0.2273</v>
      </c>
      <c r="D64">
        <v>0.3</v>
      </c>
      <c r="E64">
        <v>0.22389999999999999</v>
      </c>
      <c r="F64">
        <v>11</v>
      </c>
      <c r="G64">
        <v>146</v>
      </c>
      <c r="H64">
        <v>157</v>
      </c>
    </row>
    <row r="65" spans="1:8" x14ac:dyDescent="0.3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</row>
    <row r="66" spans="1:8" x14ac:dyDescent="0.3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</row>
    <row r="67" spans="1:8" x14ac:dyDescent="0.3">
      <c r="A67">
        <v>65</v>
      </c>
      <c r="B67">
        <v>66</v>
      </c>
      <c r="C67">
        <v>0.19993</v>
      </c>
      <c r="D67">
        <v>0.47</v>
      </c>
      <c r="E67">
        <v>0.1045</v>
      </c>
      <c r="F67">
        <v>3</v>
      </c>
      <c r="G67">
        <v>49</v>
      </c>
      <c r="H67">
        <v>52</v>
      </c>
    </row>
    <row r="68" spans="1:8" x14ac:dyDescent="0.3">
      <c r="A68">
        <v>66</v>
      </c>
      <c r="B68">
        <v>67</v>
      </c>
      <c r="C68">
        <v>0.19700000000000001</v>
      </c>
      <c r="D68">
        <v>0.64</v>
      </c>
      <c r="E68">
        <v>0.1343</v>
      </c>
      <c r="F68">
        <v>3</v>
      </c>
      <c r="G68">
        <v>49</v>
      </c>
      <c r="H68">
        <v>52</v>
      </c>
    </row>
    <row r="69" spans="1:8" x14ac:dyDescent="0.3">
      <c r="A69">
        <v>67</v>
      </c>
      <c r="B69">
        <v>68</v>
      </c>
      <c r="C69">
        <v>0.1515</v>
      </c>
      <c r="D69">
        <v>0.69</v>
      </c>
      <c r="E69">
        <v>0.1343</v>
      </c>
      <c r="F69">
        <v>0</v>
      </c>
      <c r="G69">
        <v>20</v>
      </c>
      <c r="H69">
        <v>20</v>
      </c>
    </row>
    <row r="70" spans="1:8" x14ac:dyDescent="0.3">
      <c r="A70">
        <v>68</v>
      </c>
      <c r="B70">
        <v>69</v>
      </c>
      <c r="C70">
        <v>0.21210000000000001</v>
      </c>
      <c r="D70">
        <v>0.55000000000000004</v>
      </c>
      <c r="E70">
        <v>0.1045</v>
      </c>
      <c r="F70">
        <v>1</v>
      </c>
      <c r="G70">
        <v>11</v>
      </c>
      <c r="H70">
        <v>12</v>
      </c>
    </row>
    <row r="71" spans="1:8" x14ac:dyDescent="0.3">
      <c r="A71">
        <v>69</v>
      </c>
      <c r="B71">
        <v>70</v>
      </c>
      <c r="C71">
        <v>0.19993</v>
      </c>
      <c r="D71">
        <v>0.55000000000000004</v>
      </c>
      <c r="E71">
        <v>0.1045</v>
      </c>
      <c r="F71">
        <v>0</v>
      </c>
      <c r="G71">
        <v>5</v>
      </c>
      <c r="H71">
        <v>5</v>
      </c>
    </row>
    <row r="72" spans="1:8" x14ac:dyDescent="0.3">
      <c r="A72">
        <v>70</v>
      </c>
      <c r="B72">
        <v>71</v>
      </c>
      <c r="C72">
        <v>0.18179999999999999</v>
      </c>
      <c r="D72">
        <v>0.59</v>
      </c>
      <c r="E72">
        <v>0.1045</v>
      </c>
      <c r="F72">
        <v>0</v>
      </c>
      <c r="G72">
        <v>2</v>
      </c>
      <c r="H72">
        <v>2</v>
      </c>
    </row>
    <row r="73" spans="1:8" x14ac:dyDescent="0.3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</row>
    <row r="74" spans="1:8" x14ac:dyDescent="0.3">
      <c r="A74">
        <v>72</v>
      </c>
      <c r="B74">
        <v>73</v>
      </c>
      <c r="C74">
        <v>0.18179999999999999</v>
      </c>
      <c r="D74">
        <v>0.63</v>
      </c>
      <c r="E74">
        <v>8.9599999999999999E-2</v>
      </c>
      <c r="F74">
        <v>0</v>
      </c>
      <c r="G74">
        <v>2</v>
      </c>
      <c r="H74">
        <v>2</v>
      </c>
    </row>
    <row r="75" spans="1:8" x14ac:dyDescent="0.3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</row>
    <row r="76" spans="1:8" x14ac:dyDescent="0.3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</row>
    <row r="77" spans="1:8" x14ac:dyDescent="0.3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</row>
    <row r="78" spans="1:8" x14ac:dyDescent="0.3">
      <c r="A78">
        <v>76</v>
      </c>
      <c r="B78">
        <v>77</v>
      </c>
      <c r="C78">
        <v>0.1515</v>
      </c>
      <c r="D78">
        <v>0.69</v>
      </c>
      <c r="E78">
        <v>0.16420000000000001</v>
      </c>
      <c r="F78">
        <v>2</v>
      </c>
      <c r="G78">
        <v>177</v>
      </c>
      <c r="H78">
        <v>179</v>
      </c>
    </row>
    <row r="79" spans="1:8" x14ac:dyDescent="0.3">
      <c r="A79">
        <v>77</v>
      </c>
      <c r="B79">
        <v>78</v>
      </c>
      <c r="C79">
        <v>0.1515</v>
      </c>
      <c r="D79">
        <v>0.64</v>
      </c>
      <c r="E79">
        <v>0.22389999999999999</v>
      </c>
      <c r="F79">
        <v>2</v>
      </c>
      <c r="G79">
        <v>98</v>
      </c>
      <c r="H79">
        <v>100</v>
      </c>
    </row>
    <row r="80" spans="1:8" x14ac:dyDescent="0.3">
      <c r="A80">
        <v>78</v>
      </c>
      <c r="B80">
        <v>79</v>
      </c>
      <c r="C80">
        <v>0.13639999999999999</v>
      </c>
      <c r="D80">
        <v>0.69</v>
      </c>
      <c r="E80">
        <v>0.32840000000000003</v>
      </c>
      <c r="F80">
        <v>5</v>
      </c>
      <c r="G80">
        <v>37</v>
      </c>
      <c r="H80">
        <v>42</v>
      </c>
    </row>
    <row r="81" spans="1:8" x14ac:dyDescent="0.3">
      <c r="A81">
        <v>79</v>
      </c>
      <c r="B81">
        <v>80</v>
      </c>
      <c r="C81">
        <v>0.21210000000000001</v>
      </c>
      <c r="D81">
        <v>0.51</v>
      </c>
      <c r="E81">
        <v>0.29849999999999999</v>
      </c>
      <c r="F81">
        <v>7</v>
      </c>
      <c r="G81">
        <v>50</v>
      </c>
      <c r="H81">
        <v>57</v>
      </c>
    </row>
    <row r="82" spans="1:8" x14ac:dyDescent="0.3">
      <c r="A82">
        <v>80</v>
      </c>
      <c r="B82">
        <v>81</v>
      </c>
      <c r="C82">
        <v>0.2273</v>
      </c>
      <c r="D82">
        <v>0.51</v>
      </c>
      <c r="E82">
        <v>0.16420000000000001</v>
      </c>
      <c r="F82">
        <v>12</v>
      </c>
      <c r="G82">
        <v>66</v>
      </c>
      <c r="H82">
        <v>78</v>
      </c>
    </row>
    <row r="83" spans="1:8" x14ac:dyDescent="0.3">
      <c r="A83">
        <v>81</v>
      </c>
      <c r="B83">
        <v>82</v>
      </c>
      <c r="C83">
        <v>0.2273</v>
      </c>
      <c r="D83">
        <v>0.56000000000000005</v>
      </c>
      <c r="E83">
        <v>0.19400000000000001</v>
      </c>
      <c r="F83">
        <v>18</v>
      </c>
      <c r="G83">
        <v>79</v>
      </c>
      <c r="H83">
        <v>97</v>
      </c>
    </row>
    <row r="84" spans="1:8" x14ac:dyDescent="0.3">
      <c r="A84">
        <v>82</v>
      </c>
      <c r="B84">
        <v>83</v>
      </c>
      <c r="C84">
        <v>0.2576</v>
      </c>
      <c r="D84">
        <v>0.52</v>
      </c>
      <c r="E84">
        <v>0.22389999999999999</v>
      </c>
      <c r="F84">
        <v>9</v>
      </c>
      <c r="G84">
        <v>54</v>
      </c>
      <c r="H84">
        <v>63</v>
      </c>
    </row>
    <row r="85" spans="1:8" x14ac:dyDescent="0.3">
      <c r="A85">
        <v>83</v>
      </c>
      <c r="B85">
        <v>84</v>
      </c>
      <c r="C85">
        <v>0.2727</v>
      </c>
      <c r="D85">
        <v>0.52</v>
      </c>
      <c r="E85">
        <v>0.25369999999999998</v>
      </c>
      <c r="F85">
        <v>17</v>
      </c>
      <c r="G85">
        <v>48</v>
      </c>
      <c r="H85">
        <v>65</v>
      </c>
    </row>
    <row r="86" spans="1:8" x14ac:dyDescent="0.3">
      <c r="A86">
        <v>84</v>
      </c>
      <c r="B86">
        <v>85</v>
      </c>
      <c r="C86">
        <v>0.28789999999999999</v>
      </c>
      <c r="D86">
        <v>0.49</v>
      </c>
      <c r="E86">
        <v>0.25369999999999998</v>
      </c>
      <c r="F86">
        <v>15</v>
      </c>
      <c r="G86">
        <v>68</v>
      </c>
      <c r="H86">
        <v>83</v>
      </c>
    </row>
    <row r="87" spans="1:8" x14ac:dyDescent="0.3">
      <c r="A87">
        <v>85</v>
      </c>
      <c r="B87">
        <v>86</v>
      </c>
      <c r="C87">
        <v>0.2727</v>
      </c>
      <c r="D87">
        <v>0.48</v>
      </c>
      <c r="E87">
        <v>0.22389999999999999</v>
      </c>
      <c r="F87">
        <v>10</v>
      </c>
      <c r="G87">
        <v>202</v>
      </c>
      <c r="H87">
        <v>212</v>
      </c>
    </row>
    <row r="88" spans="1:8" x14ac:dyDescent="0.3">
      <c r="A88">
        <v>86</v>
      </c>
      <c r="B88">
        <v>87</v>
      </c>
      <c r="C88">
        <v>0.2576</v>
      </c>
      <c r="D88">
        <v>0.48</v>
      </c>
      <c r="E88">
        <v>0.19400000000000001</v>
      </c>
      <c r="F88">
        <v>3</v>
      </c>
      <c r="G88">
        <v>179</v>
      </c>
      <c r="H88">
        <v>182</v>
      </c>
    </row>
    <row r="89" spans="1:8" x14ac:dyDescent="0.3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</row>
    <row r="90" spans="1:8" x14ac:dyDescent="0.3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</row>
    <row r="91" spans="1:8" x14ac:dyDescent="0.3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</row>
    <row r="92" spans="1:8" x14ac:dyDescent="0.3">
      <c r="A92">
        <v>90</v>
      </c>
      <c r="B92">
        <v>91</v>
      </c>
      <c r="C92">
        <v>0.2576</v>
      </c>
      <c r="D92">
        <v>0.64</v>
      </c>
      <c r="E92">
        <v>8.9599999999999999E-2</v>
      </c>
      <c r="F92">
        <v>1</v>
      </c>
      <c r="G92">
        <v>34</v>
      </c>
      <c r="H92">
        <v>35</v>
      </c>
    </row>
    <row r="93" spans="1:8" x14ac:dyDescent="0.3">
      <c r="A93">
        <v>91</v>
      </c>
      <c r="B93">
        <v>92</v>
      </c>
      <c r="C93">
        <v>0.2273</v>
      </c>
      <c r="D93">
        <v>0.69</v>
      </c>
      <c r="E93">
        <v>8.9599999999999999E-2</v>
      </c>
      <c r="F93">
        <v>2</v>
      </c>
      <c r="G93">
        <v>9</v>
      </c>
      <c r="H93">
        <v>11</v>
      </c>
    </row>
    <row r="94" spans="1:8" x14ac:dyDescent="0.3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</row>
    <row r="95" spans="1:8" x14ac:dyDescent="0.3">
      <c r="A95">
        <v>93</v>
      </c>
      <c r="B95">
        <v>94</v>
      </c>
      <c r="C95">
        <v>0.19700000000000001</v>
      </c>
      <c r="D95">
        <v>0.74</v>
      </c>
      <c r="E95">
        <v>8.9599999999999999E-2</v>
      </c>
      <c r="F95">
        <v>0</v>
      </c>
      <c r="G95">
        <v>6</v>
      </c>
      <c r="H95">
        <v>6</v>
      </c>
    </row>
    <row r="96" spans="1:8" x14ac:dyDescent="0.3">
      <c r="A96">
        <v>94</v>
      </c>
      <c r="B96">
        <v>95</v>
      </c>
      <c r="C96">
        <v>0.19700000000000001</v>
      </c>
      <c r="D96">
        <v>0.74</v>
      </c>
      <c r="E96">
        <v>8.9599999999999999E-2</v>
      </c>
      <c r="F96">
        <v>0</v>
      </c>
      <c r="G96">
        <v>2</v>
      </c>
      <c r="H96">
        <v>2</v>
      </c>
    </row>
    <row r="97" spans="1:8" x14ac:dyDescent="0.3">
      <c r="A97">
        <v>95</v>
      </c>
      <c r="B97">
        <v>96</v>
      </c>
      <c r="C97">
        <v>0.2273</v>
      </c>
      <c r="D97">
        <v>0.48</v>
      </c>
      <c r="E97">
        <v>0.22389999999999999</v>
      </c>
      <c r="F97">
        <v>0</v>
      </c>
      <c r="G97">
        <v>2</v>
      </c>
      <c r="H97">
        <v>2</v>
      </c>
    </row>
    <row r="98" spans="1:8" x14ac:dyDescent="0.3">
      <c r="A98">
        <v>96</v>
      </c>
      <c r="B98">
        <v>97</v>
      </c>
      <c r="C98">
        <v>0.2273</v>
      </c>
      <c r="D98">
        <v>0.47</v>
      </c>
      <c r="E98">
        <v>0.16420000000000001</v>
      </c>
      <c r="F98">
        <v>0</v>
      </c>
      <c r="G98">
        <v>3</v>
      </c>
      <c r="H98">
        <v>3</v>
      </c>
    </row>
    <row r="99" spans="1:8" x14ac:dyDescent="0.3">
      <c r="A99">
        <v>97</v>
      </c>
      <c r="B99">
        <v>98</v>
      </c>
      <c r="C99">
        <v>0.19700000000000001</v>
      </c>
      <c r="D99">
        <v>0.47</v>
      </c>
      <c r="E99">
        <v>0.22389999999999999</v>
      </c>
      <c r="F99">
        <v>0</v>
      </c>
      <c r="G99">
        <v>33</v>
      </c>
      <c r="H99">
        <v>33</v>
      </c>
    </row>
    <row r="100" spans="1:8" x14ac:dyDescent="0.3">
      <c r="A100">
        <v>98</v>
      </c>
      <c r="B100">
        <v>99</v>
      </c>
      <c r="C100">
        <v>0.18179999999999999</v>
      </c>
      <c r="D100">
        <v>0.43</v>
      </c>
      <c r="E100">
        <v>0.19400000000000001</v>
      </c>
      <c r="F100">
        <v>1</v>
      </c>
      <c r="G100">
        <v>87</v>
      </c>
      <c r="H100">
        <v>88</v>
      </c>
    </row>
    <row r="101" spans="1:8" x14ac:dyDescent="0.3">
      <c r="A101">
        <v>99</v>
      </c>
      <c r="B101">
        <v>100</v>
      </c>
      <c r="C101">
        <v>0.18179999999999999</v>
      </c>
      <c r="D101">
        <v>0.4</v>
      </c>
      <c r="E101">
        <v>0.29849999999999999</v>
      </c>
      <c r="F101">
        <v>3</v>
      </c>
      <c r="G101">
        <v>192</v>
      </c>
      <c r="H101">
        <v>195</v>
      </c>
    </row>
    <row r="102" spans="1:8" x14ac:dyDescent="0.3">
      <c r="A102">
        <v>100</v>
      </c>
      <c r="B102">
        <v>101</v>
      </c>
      <c r="C102">
        <v>0.19700000000000001</v>
      </c>
      <c r="D102">
        <v>0.37</v>
      </c>
      <c r="E102">
        <v>0.32840000000000003</v>
      </c>
      <c r="F102">
        <v>6</v>
      </c>
      <c r="G102">
        <v>109</v>
      </c>
      <c r="H102">
        <v>115</v>
      </c>
    </row>
    <row r="103" spans="1:8" x14ac:dyDescent="0.3">
      <c r="A103">
        <v>101</v>
      </c>
      <c r="B103">
        <v>102</v>
      </c>
      <c r="C103">
        <v>0.19700000000000001</v>
      </c>
      <c r="D103">
        <v>0.37</v>
      </c>
      <c r="E103">
        <v>0.32840000000000003</v>
      </c>
      <c r="F103">
        <v>4</v>
      </c>
      <c r="G103">
        <v>53</v>
      </c>
      <c r="H103">
        <v>57</v>
      </c>
    </row>
    <row r="104" spans="1:8" x14ac:dyDescent="0.3">
      <c r="A104">
        <v>102</v>
      </c>
      <c r="B104">
        <v>103</v>
      </c>
      <c r="C104">
        <v>0.2273</v>
      </c>
      <c r="D104">
        <v>0.33</v>
      </c>
      <c r="E104">
        <v>0.32840000000000003</v>
      </c>
      <c r="F104">
        <v>12</v>
      </c>
      <c r="G104">
        <v>34</v>
      </c>
      <c r="H104">
        <v>46</v>
      </c>
    </row>
    <row r="105" spans="1:8" x14ac:dyDescent="0.3">
      <c r="A105">
        <v>103</v>
      </c>
      <c r="B105">
        <v>104</v>
      </c>
      <c r="C105">
        <v>0.2273</v>
      </c>
      <c r="D105">
        <v>0.33</v>
      </c>
      <c r="E105">
        <v>0.32840000000000003</v>
      </c>
      <c r="F105">
        <v>5</v>
      </c>
      <c r="G105">
        <v>74</v>
      </c>
      <c r="H105">
        <v>79</v>
      </c>
    </row>
    <row r="106" spans="1:8" x14ac:dyDescent="0.3">
      <c r="A106">
        <v>104</v>
      </c>
      <c r="B106">
        <v>105</v>
      </c>
      <c r="C106">
        <v>0.2576</v>
      </c>
      <c r="D106">
        <v>0.3</v>
      </c>
      <c r="E106">
        <v>0.29849999999999999</v>
      </c>
      <c r="F106">
        <v>6</v>
      </c>
      <c r="G106">
        <v>65</v>
      </c>
      <c r="H106">
        <v>71</v>
      </c>
    </row>
    <row r="107" spans="1:8" x14ac:dyDescent="0.3">
      <c r="A107">
        <v>105</v>
      </c>
      <c r="B107">
        <v>106</v>
      </c>
      <c r="C107">
        <v>0.28789999999999999</v>
      </c>
      <c r="D107">
        <v>0.28000000000000003</v>
      </c>
      <c r="E107">
        <v>0.19400000000000001</v>
      </c>
      <c r="F107">
        <v>10</v>
      </c>
      <c r="G107">
        <v>52</v>
      </c>
      <c r="H107">
        <v>62</v>
      </c>
    </row>
    <row r="108" spans="1:8" x14ac:dyDescent="0.3">
      <c r="A108">
        <v>106</v>
      </c>
      <c r="B108">
        <v>107</v>
      </c>
      <c r="C108">
        <v>0.28789999999999999</v>
      </c>
      <c r="D108">
        <v>0.28000000000000003</v>
      </c>
      <c r="E108">
        <v>0.19400000000000001</v>
      </c>
      <c r="F108">
        <v>7</v>
      </c>
      <c r="G108">
        <v>55</v>
      </c>
      <c r="H108">
        <v>62</v>
      </c>
    </row>
    <row r="109" spans="1:8" x14ac:dyDescent="0.3">
      <c r="A109">
        <v>107</v>
      </c>
      <c r="B109">
        <v>108</v>
      </c>
      <c r="C109">
        <v>0.31819999999999998</v>
      </c>
      <c r="D109">
        <v>0.28000000000000003</v>
      </c>
      <c r="E109">
        <v>8.9599999999999999E-2</v>
      </c>
      <c r="F109">
        <v>4</v>
      </c>
      <c r="G109">
        <v>85</v>
      </c>
      <c r="H109">
        <v>89</v>
      </c>
    </row>
    <row r="110" spans="1:8" x14ac:dyDescent="0.3">
      <c r="A110">
        <v>108</v>
      </c>
      <c r="B110">
        <v>109</v>
      </c>
      <c r="C110">
        <v>0.2273</v>
      </c>
      <c r="D110">
        <v>0.38</v>
      </c>
      <c r="E110">
        <v>0.19400000000000001</v>
      </c>
      <c r="F110">
        <v>4</v>
      </c>
      <c r="G110">
        <v>186</v>
      </c>
      <c r="H110">
        <v>190</v>
      </c>
    </row>
    <row r="111" spans="1:8" x14ac:dyDescent="0.3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</row>
    <row r="112" spans="1:8" x14ac:dyDescent="0.3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</row>
    <row r="113" spans="1:8" x14ac:dyDescent="0.3">
      <c r="A113">
        <v>111</v>
      </c>
      <c r="B113">
        <v>112</v>
      </c>
      <c r="C113">
        <v>0.2273</v>
      </c>
      <c r="D113">
        <v>0.47</v>
      </c>
      <c r="E113">
        <v>0.16420000000000001</v>
      </c>
      <c r="F113">
        <v>7</v>
      </c>
      <c r="G113">
        <v>82</v>
      </c>
      <c r="H113">
        <v>89</v>
      </c>
    </row>
    <row r="114" spans="1:8" x14ac:dyDescent="0.3">
      <c r="A114">
        <v>112</v>
      </c>
      <c r="B114">
        <v>113</v>
      </c>
      <c r="C114">
        <v>0.19700000000000001</v>
      </c>
      <c r="D114">
        <v>0.51</v>
      </c>
      <c r="E114">
        <v>0.19400000000000001</v>
      </c>
      <c r="F114">
        <v>3</v>
      </c>
      <c r="G114">
        <v>40</v>
      </c>
      <c r="H114">
        <v>43</v>
      </c>
    </row>
    <row r="115" spans="1:8" x14ac:dyDescent="0.3">
      <c r="A115">
        <v>113</v>
      </c>
      <c r="B115">
        <v>114</v>
      </c>
      <c r="C115">
        <v>0.19700000000000001</v>
      </c>
      <c r="D115">
        <v>0.55000000000000004</v>
      </c>
      <c r="E115">
        <v>0.1343</v>
      </c>
      <c r="F115">
        <v>1</v>
      </c>
      <c r="G115">
        <v>41</v>
      </c>
      <c r="H115">
        <v>42</v>
      </c>
    </row>
    <row r="116" spans="1:8" x14ac:dyDescent="0.3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</row>
    <row r="117" spans="1:8" x14ac:dyDescent="0.3">
      <c r="A117">
        <v>115</v>
      </c>
      <c r="B117">
        <v>116</v>
      </c>
      <c r="C117">
        <v>0.2424</v>
      </c>
      <c r="D117">
        <v>0.55000000000000004</v>
      </c>
      <c r="E117">
        <v>0</v>
      </c>
      <c r="F117">
        <v>0</v>
      </c>
      <c r="G117">
        <v>11</v>
      </c>
      <c r="H117">
        <v>11</v>
      </c>
    </row>
    <row r="118" spans="1:8" x14ac:dyDescent="0.3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</row>
    <row r="119" spans="1:8" x14ac:dyDescent="0.3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</row>
    <row r="120" spans="1:8" x14ac:dyDescent="0.3">
      <c r="A120">
        <v>118</v>
      </c>
      <c r="B120">
        <v>119</v>
      </c>
      <c r="C120">
        <v>0.19700000000000001</v>
      </c>
      <c r="D120">
        <v>0.64</v>
      </c>
      <c r="E120">
        <v>8.9599999999999999E-2</v>
      </c>
      <c r="F120">
        <v>0</v>
      </c>
      <c r="G120">
        <v>1</v>
      </c>
      <c r="H120">
        <v>1</v>
      </c>
    </row>
    <row r="121" spans="1:8" x14ac:dyDescent="0.3">
      <c r="A121">
        <v>119</v>
      </c>
      <c r="B121">
        <v>120</v>
      </c>
      <c r="C121">
        <v>0.18179999999999999</v>
      </c>
      <c r="D121">
        <v>0.69</v>
      </c>
      <c r="E121">
        <v>8.9599999999999999E-2</v>
      </c>
      <c r="F121">
        <v>0</v>
      </c>
      <c r="G121">
        <v>4</v>
      </c>
      <c r="H121">
        <v>4</v>
      </c>
    </row>
    <row r="122" spans="1:8" x14ac:dyDescent="0.3">
      <c r="A122">
        <v>120</v>
      </c>
      <c r="B122">
        <v>121</v>
      </c>
      <c r="C122">
        <v>0.16669999999999999</v>
      </c>
      <c r="D122">
        <v>0.63</v>
      </c>
      <c r="E122">
        <v>0.1045</v>
      </c>
      <c r="F122">
        <v>0</v>
      </c>
      <c r="G122">
        <v>36</v>
      </c>
      <c r="H122">
        <v>36</v>
      </c>
    </row>
    <row r="123" spans="1:8" x14ac:dyDescent="0.3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</row>
    <row r="124" spans="1:8" x14ac:dyDescent="0.3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</row>
    <row r="125" spans="1:8" x14ac:dyDescent="0.3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</row>
    <row r="126" spans="1:8" x14ac:dyDescent="0.3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</row>
    <row r="127" spans="1:8" x14ac:dyDescent="0.3">
      <c r="A127">
        <v>125</v>
      </c>
      <c r="B127">
        <v>126</v>
      </c>
      <c r="C127">
        <v>0.2576</v>
      </c>
      <c r="D127">
        <v>0.44</v>
      </c>
      <c r="E127">
        <v>8.9599999999999999E-2</v>
      </c>
      <c r="F127">
        <v>2</v>
      </c>
      <c r="G127">
        <v>57</v>
      </c>
      <c r="H127">
        <v>59</v>
      </c>
    </row>
    <row r="128" spans="1:8" x14ac:dyDescent="0.3">
      <c r="A128">
        <v>126</v>
      </c>
      <c r="B128">
        <v>127</v>
      </c>
      <c r="C128">
        <v>0.28789999999999999</v>
      </c>
      <c r="D128">
        <v>0.35</v>
      </c>
      <c r="E128">
        <v>0</v>
      </c>
      <c r="F128">
        <v>6</v>
      </c>
      <c r="G128">
        <v>78</v>
      </c>
      <c r="H128">
        <v>84</v>
      </c>
    </row>
    <row r="129" spans="1:8" x14ac:dyDescent="0.3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</row>
    <row r="130" spans="1:8" x14ac:dyDescent="0.3">
      <c r="A130">
        <v>128</v>
      </c>
      <c r="B130">
        <v>129</v>
      </c>
      <c r="C130">
        <v>0.2727</v>
      </c>
      <c r="D130">
        <v>0.36</v>
      </c>
      <c r="E130">
        <v>0.16420000000000001</v>
      </c>
      <c r="F130">
        <v>11</v>
      </c>
      <c r="G130">
        <v>59</v>
      </c>
      <c r="H130">
        <v>70</v>
      </c>
    </row>
    <row r="131" spans="1:8" x14ac:dyDescent="0.3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</row>
    <row r="132" spans="1:8" x14ac:dyDescent="0.3">
      <c r="A132">
        <v>130</v>
      </c>
      <c r="B132">
        <v>131</v>
      </c>
      <c r="C132">
        <v>0.2576</v>
      </c>
      <c r="D132">
        <v>0.38</v>
      </c>
      <c r="E132">
        <v>0.16420000000000001</v>
      </c>
      <c r="F132">
        <v>12</v>
      </c>
      <c r="G132">
        <v>74</v>
      </c>
      <c r="H132">
        <v>86</v>
      </c>
    </row>
    <row r="133" spans="1:8" x14ac:dyDescent="0.3">
      <c r="A133">
        <v>131</v>
      </c>
      <c r="B133">
        <v>132</v>
      </c>
      <c r="C133">
        <v>0.2273</v>
      </c>
      <c r="D133">
        <v>0.51</v>
      </c>
      <c r="E133">
        <v>0.16420000000000001</v>
      </c>
      <c r="F133">
        <v>9</v>
      </c>
      <c r="G133">
        <v>163</v>
      </c>
      <c r="H133">
        <v>172</v>
      </c>
    </row>
    <row r="134" spans="1:8" x14ac:dyDescent="0.3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</row>
    <row r="135" spans="1:8" x14ac:dyDescent="0.3">
      <c r="A135">
        <v>133</v>
      </c>
      <c r="B135">
        <v>134</v>
      </c>
      <c r="C135">
        <v>0.2576</v>
      </c>
      <c r="D135">
        <v>0.55000000000000004</v>
      </c>
      <c r="E135">
        <v>8.9599999999999999E-2</v>
      </c>
      <c r="F135">
        <v>3</v>
      </c>
      <c r="G135">
        <v>109</v>
      </c>
      <c r="H135">
        <v>112</v>
      </c>
    </row>
    <row r="136" spans="1:8" x14ac:dyDescent="0.3">
      <c r="A136">
        <v>134</v>
      </c>
      <c r="B136">
        <v>135</v>
      </c>
      <c r="C136">
        <v>0.21210000000000001</v>
      </c>
      <c r="D136">
        <v>0.51</v>
      </c>
      <c r="E136">
        <v>0.16420000000000001</v>
      </c>
      <c r="F136">
        <v>3</v>
      </c>
      <c r="G136">
        <v>66</v>
      </c>
      <c r="H136">
        <v>69</v>
      </c>
    </row>
    <row r="137" spans="1:8" x14ac:dyDescent="0.3">
      <c r="A137">
        <v>135</v>
      </c>
      <c r="B137">
        <v>136</v>
      </c>
      <c r="C137">
        <v>0.21210000000000001</v>
      </c>
      <c r="D137">
        <v>0.55000000000000004</v>
      </c>
      <c r="E137">
        <v>0.22389999999999999</v>
      </c>
      <c r="F137">
        <v>0</v>
      </c>
      <c r="G137">
        <v>48</v>
      </c>
      <c r="H137">
        <v>48</v>
      </c>
    </row>
    <row r="138" spans="1:8" x14ac:dyDescent="0.3">
      <c r="A138">
        <v>136</v>
      </c>
      <c r="B138">
        <v>137</v>
      </c>
      <c r="C138">
        <v>0.21210000000000001</v>
      </c>
      <c r="D138">
        <v>0.51</v>
      </c>
      <c r="E138">
        <v>0.28360000000000002</v>
      </c>
      <c r="F138">
        <v>1</v>
      </c>
      <c r="G138">
        <v>51</v>
      </c>
      <c r="H138">
        <v>52</v>
      </c>
    </row>
    <row r="139" spans="1:8" x14ac:dyDescent="0.3">
      <c r="A139">
        <v>137</v>
      </c>
      <c r="B139">
        <v>138</v>
      </c>
      <c r="C139">
        <v>0.19700000000000001</v>
      </c>
      <c r="D139">
        <v>0.59</v>
      </c>
      <c r="E139">
        <v>0.19400000000000001</v>
      </c>
      <c r="F139">
        <v>4</v>
      </c>
      <c r="G139">
        <v>19</v>
      </c>
      <c r="H139">
        <v>23</v>
      </c>
    </row>
    <row r="140" spans="1:8" x14ac:dyDescent="0.3">
      <c r="A140">
        <v>138</v>
      </c>
      <c r="B140">
        <v>139</v>
      </c>
      <c r="C140">
        <v>0.19700000000000001</v>
      </c>
      <c r="D140">
        <v>0.64</v>
      </c>
      <c r="E140">
        <v>0.19400000000000001</v>
      </c>
      <c r="F140">
        <v>4</v>
      </c>
      <c r="G140">
        <v>13</v>
      </c>
      <c r="H140">
        <v>17</v>
      </c>
    </row>
    <row r="141" spans="1:8" x14ac:dyDescent="0.3">
      <c r="A141">
        <v>139</v>
      </c>
      <c r="B141">
        <v>140</v>
      </c>
      <c r="C141">
        <v>0.19700000000000001</v>
      </c>
      <c r="D141">
        <v>0.69</v>
      </c>
      <c r="E141">
        <v>0.22389999999999999</v>
      </c>
      <c r="F141">
        <v>2</v>
      </c>
      <c r="G141">
        <v>5</v>
      </c>
      <c r="H141">
        <v>7</v>
      </c>
    </row>
    <row r="142" spans="1:8" x14ac:dyDescent="0.3">
      <c r="A142">
        <v>140</v>
      </c>
      <c r="B142">
        <v>141</v>
      </c>
      <c r="C142">
        <v>0.19700000000000001</v>
      </c>
      <c r="D142">
        <v>0.69</v>
      </c>
      <c r="E142">
        <v>0.22389999999999999</v>
      </c>
      <c r="F142">
        <v>0</v>
      </c>
      <c r="G142">
        <v>1</v>
      </c>
      <c r="H142">
        <v>1</v>
      </c>
    </row>
    <row r="143" spans="1:8" x14ac:dyDescent="0.3">
      <c r="A143">
        <v>141</v>
      </c>
      <c r="B143">
        <v>142</v>
      </c>
      <c r="C143">
        <v>0.21210000000000001</v>
      </c>
      <c r="D143">
        <v>0.69</v>
      </c>
      <c r="E143">
        <v>0.1343</v>
      </c>
      <c r="F143">
        <v>0</v>
      </c>
      <c r="G143">
        <v>1</v>
      </c>
      <c r="H143">
        <v>1</v>
      </c>
    </row>
    <row r="144" spans="1:8" x14ac:dyDescent="0.3">
      <c r="A144">
        <v>142</v>
      </c>
      <c r="B144">
        <v>143</v>
      </c>
      <c r="C144">
        <v>0.2727</v>
      </c>
      <c r="D144">
        <v>0.55000000000000004</v>
      </c>
      <c r="E144">
        <v>0</v>
      </c>
      <c r="F144">
        <v>0</v>
      </c>
      <c r="G144">
        <v>5</v>
      </c>
      <c r="H144">
        <v>5</v>
      </c>
    </row>
    <row r="145" spans="1:8" x14ac:dyDescent="0.3">
      <c r="A145">
        <v>143</v>
      </c>
      <c r="B145">
        <v>144</v>
      </c>
      <c r="C145">
        <v>0.2576</v>
      </c>
      <c r="D145">
        <v>0.69</v>
      </c>
      <c r="E145">
        <v>0</v>
      </c>
      <c r="F145">
        <v>8</v>
      </c>
      <c r="G145">
        <v>26</v>
      </c>
      <c r="H145">
        <v>34</v>
      </c>
    </row>
    <row r="146" spans="1:8" x14ac:dyDescent="0.3">
      <c r="A146">
        <v>144</v>
      </c>
      <c r="B146">
        <v>145</v>
      </c>
      <c r="C146">
        <v>0.21210000000000001</v>
      </c>
      <c r="D146">
        <v>0.69</v>
      </c>
      <c r="E146">
        <v>0.1343</v>
      </c>
      <c r="F146">
        <v>8</v>
      </c>
      <c r="G146">
        <v>76</v>
      </c>
      <c r="H146">
        <v>84</v>
      </c>
    </row>
    <row r="147" spans="1:8" x14ac:dyDescent="0.3">
      <c r="A147">
        <v>145</v>
      </c>
      <c r="B147">
        <v>146</v>
      </c>
      <c r="C147">
        <v>0.19700000000000001</v>
      </c>
      <c r="D147">
        <v>0.51</v>
      </c>
      <c r="E147">
        <v>0.25369999999999998</v>
      </c>
      <c r="F147">
        <v>20</v>
      </c>
      <c r="G147">
        <v>190</v>
      </c>
      <c r="H147">
        <v>210</v>
      </c>
    </row>
    <row r="148" spans="1:8" x14ac:dyDescent="0.3">
      <c r="A148">
        <v>146</v>
      </c>
      <c r="B148">
        <v>147</v>
      </c>
      <c r="C148">
        <v>0.18179999999999999</v>
      </c>
      <c r="D148">
        <v>0.47</v>
      </c>
      <c r="E148">
        <v>0.29849999999999999</v>
      </c>
      <c r="F148">
        <v>9</v>
      </c>
      <c r="G148">
        <v>125</v>
      </c>
      <c r="H148">
        <v>134</v>
      </c>
    </row>
    <row r="149" spans="1:8" x14ac:dyDescent="0.3">
      <c r="A149">
        <v>147</v>
      </c>
      <c r="B149">
        <v>148</v>
      </c>
      <c r="C149">
        <v>0.19700000000000001</v>
      </c>
      <c r="D149">
        <v>0.37</v>
      </c>
      <c r="E149">
        <v>0.32840000000000003</v>
      </c>
      <c r="F149">
        <v>16</v>
      </c>
      <c r="G149">
        <v>47</v>
      </c>
      <c r="H149">
        <v>63</v>
      </c>
    </row>
    <row r="150" spans="1:8" x14ac:dyDescent="0.3">
      <c r="A150">
        <v>148</v>
      </c>
      <c r="B150">
        <v>149</v>
      </c>
      <c r="C150">
        <v>0.19700000000000001</v>
      </c>
      <c r="D150">
        <v>0.4</v>
      </c>
      <c r="E150">
        <v>0.22389999999999999</v>
      </c>
      <c r="F150">
        <v>19</v>
      </c>
      <c r="G150">
        <v>48</v>
      </c>
      <c r="H150">
        <v>67</v>
      </c>
    </row>
    <row r="151" spans="1:8" x14ac:dyDescent="0.3">
      <c r="A151">
        <v>149</v>
      </c>
      <c r="B151">
        <v>150</v>
      </c>
      <c r="C151">
        <v>0.19700000000000001</v>
      </c>
      <c r="D151">
        <v>0.37</v>
      </c>
      <c r="E151">
        <v>0.25369999999999998</v>
      </c>
      <c r="F151">
        <v>9</v>
      </c>
      <c r="G151">
        <v>50</v>
      </c>
      <c r="H151">
        <v>59</v>
      </c>
    </row>
    <row r="152" spans="1:8" x14ac:dyDescent="0.3">
      <c r="A152">
        <v>150</v>
      </c>
      <c r="B152">
        <v>151</v>
      </c>
      <c r="C152">
        <v>0.18179999999999999</v>
      </c>
      <c r="D152">
        <v>0.37</v>
      </c>
      <c r="E152">
        <v>0.28360000000000002</v>
      </c>
      <c r="F152">
        <v>9</v>
      </c>
      <c r="G152">
        <v>64</v>
      </c>
      <c r="H152">
        <v>73</v>
      </c>
    </row>
    <row r="153" spans="1:8" x14ac:dyDescent="0.3">
      <c r="A153">
        <v>151</v>
      </c>
      <c r="B153">
        <v>152</v>
      </c>
      <c r="C153">
        <v>0.19700000000000001</v>
      </c>
      <c r="D153">
        <v>0.4</v>
      </c>
      <c r="E153">
        <v>0.25369999999999998</v>
      </c>
      <c r="F153">
        <v>7</v>
      </c>
      <c r="G153">
        <v>43</v>
      </c>
      <c r="H153">
        <v>50</v>
      </c>
    </row>
    <row r="154" spans="1:8" x14ac:dyDescent="0.3">
      <c r="A154">
        <v>152</v>
      </c>
      <c r="B154">
        <v>153</v>
      </c>
      <c r="C154">
        <v>0.21210000000000001</v>
      </c>
      <c r="D154">
        <v>0.37</v>
      </c>
      <c r="E154">
        <v>0.16420000000000001</v>
      </c>
      <c r="F154">
        <v>9</v>
      </c>
      <c r="G154">
        <v>63</v>
      </c>
      <c r="H154">
        <v>72</v>
      </c>
    </row>
    <row r="155" spans="1:8" x14ac:dyDescent="0.3">
      <c r="A155">
        <v>153</v>
      </c>
      <c r="B155">
        <v>154</v>
      </c>
      <c r="C155">
        <v>0.21210000000000001</v>
      </c>
      <c r="D155">
        <v>0.37</v>
      </c>
      <c r="E155">
        <v>0.16420000000000001</v>
      </c>
      <c r="F155">
        <v>5</v>
      </c>
      <c r="G155">
        <v>82</v>
      </c>
      <c r="H155">
        <v>87</v>
      </c>
    </row>
    <row r="156" spans="1:8" x14ac:dyDescent="0.3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</row>
    <row r="157" spans="1:8" x14ac:dyDescent="0.3">
      <c r="A157">
        <v>155</v>
      </c>
      <c r="B157">
        <v>156</v>
      </c>
      <c r="C157">
        <v>0.2273</v>
      </c>
      <c r="D157">
        <v>0.4</v>
      </c>
      <c r="E157">
        <v>8.9599999999999999E-2</v>
      </c>
      <c r="F157">
        <v>7</v>
      </c>
      <c r="G157">
        <v>116</v>
      </c>
      <c r="H157">
        <v>123</v>
      </c>
    </row>
    <row r="158" spans="1:8" x14ac:dyDescent="0.3">
      <c r="A158">
        <v>156</v>
      </c>
      <c r="B158">
        <v>157</v>
      </c>
      <c r="C158">
        <v>0.19700000000000001</v>
      </c>
      <c r="D158">
        <v>0.55000000000000004</v>
      </c>
      <c r="E158">
        <v>8.9599999999999999E-2</v>
      </c>
      <c r="F158">
        <v>3</v>
      </c>
      <c r="G158">
        <v>92</v>
      </c>
      <c r="H158">
        <v>95</v>
      </c>
    </row>
    <row r="159" spans="1:8" x14ac:dyDescent="0.3">
      <c r="A159">
        <v>157</v>
      </c>
      <c r="B159">
        <v>158</v>
      </c>
      <c r="C159">
        <v>0.21210000000000001</v>
      </c>
      <c r="D159">
        <v>0.47</v>
      </c>
      <c r="E159">
        <v>0.1045</v>
      </c>
      <c r="F159">
        <v>1</v>
      </c>
      <c r="G159">
        <v>50</v>
      </c>
      <c r="H159">
        <v>51</v>
      </c>
    </row>
    <row r="160" spans="1:8" x14ac:dyDescent="0.3">
      <c r="A160">
        <v>158</v>
      </c>
      <c r="B160">
        <v>159</v>
      </c>
      <c r="C160">
        <v>0.19700000000000001</v>
      </c>
      <c r="D160">
        <v>0.47</v>
      </c>
      <c r="E160">
        <v>0.1343</v>
      </c>
      <c r="F160">
        <v>0</v>
      </c>
      <c r="G160">
        <v>39</v>
      </c>
      <c r="H160">
        <v>39</v>
      </c>
    </row>
    <row r="161" spans="1:8" x14ac:dyDescent="0.3">
      <c r="A161">
        <v>159</v>
      </c>
      <c r="B161">
        <v>160</v>
      </c>
      <c r="C161">
        <v>0.19700000000000001</v>
      </c>
      <c r="D161">
        <v>0.43</v>
      </c>
      <c r="E161">
        <v>0.16420000000000001</v>
      </c>
      <c r="F161">
        <v>2</v>
      </c>
      <c r="G161">
        <v>34</v>
      </c>
      <c r="H161">
        <v>36</v>
      </c>
    </row>
    <row r="162" spans="1:8" x14ac:dyDescent="0.3">
      <c r="A162">
        <v>160</v>
      </c>
      <c r="B162">
        <v>161</v>
      </c>
      <c r="C162">
        <v>0.19700000000000001</v>
      </c>
      <c r="D162">
        <v>0.51</v>
      </c>
      <c r="E162">
        <v>0.16420000000000001</v>
      </c>
      <c r="F162">
        <v>1</v>
      </c>
      <c r="G162">
        <v>14</v>
      </c>
      <c r="H162">
        <v>15</v>
      </c>
    </row>
    <row r="163" spans="1:8" x14ac:dyDescent="0.3">
      <c r="A163">
        <v>161</v>
      </c>
      <c r="B163">
        <v>162</v>
      </c>
      <c r="C163">
        <v>0.19700000000000001</v>
      </c>
      <c r="D163">
        <v>0.51</v>
      </c>
      <c r="E163">
        <v>0.16420000000000001</v>
      </c>
      <c r="F163">
        <v>1</v>
      </c>
      <c r="G163">
        <v>24</v>
      </c>
      <c r="H163">
        <v>25</v>
      </c>
    </row>
    <row r="164" spans="1:8" x14ac:dyDescent="0.3">
      <c r="A164">
        <v>162</v>
      </c>
      <c r="B164">
        <v>163</v>
      </c>
      <c r="C164">
        <v>0.21210000000000001</v>
      </c>
      <c r="D164">
        <v>0.55000000000000004</v>
      </c>
      <c r="E164">
        <v>8.9599999999999999E-2</v>
      </c>
      <c r="F164">
        <v>1</v>
      </c>
      <c r="G164">
        <v>15</v>
      </c>
      <c r="H164">
        <v>16</v>
      </c>
    </row>
    <row r="165" spans="1:8" x14ac:dyDescent="0.3">
      <c r="A165">
        <v>163</v>
      </c>
      <c r="B165">
        <v>164</v>
      </c>
      <c r="C165">
        <v>0.2424</v>
      </c>
      <c r="D165">
        <v>0.55000000000000004</v>
      </c>
      <c r="E165">
        <v>0</v>
      </c>
      <c r="F165">
        <v>3</v>
      </c>
      <c r="G165">
        <v>13</v>
      </c>
      <c r="H165">
        <v>16</v>
      </c>
    </row>
    <row r="166" spans="1:8" x14ac:dyDescent="0.3">
      <c r="A166">
        <v>164</v>
      </c>
      <c r="B166">
        <v>165</v>
      </c>
      <c r="C166">
        <v>0.19700000000000001</v>
      </c>
      <c r="D166">
        <v>0.55000000000000004</v>
      </c>
      <c r="E166">
        <v>0.16420000000000001</v>
      </c>
      <c r="F166">
        <v>0</v>
      </c>
      <c r="G166">
        <v>7</v>
      </c>
      <c r="H166">
        <v>7</v>
      </c>
    </row>
    <row r="167" spans="1:8" x14ac:dyDescent="0.3">
      <c r="A167">
        <v>165</v>
      </c>
      <c r="B167">
        <v>166</v>
      </c>
      <c r="C167">
        <v>0.19700000000000001</v>
      </c>
      <c r="D167">
        <v>0.55000000000000004</v>
      </c>
      <c r="E167">
        <v>0.16420000000000001</v>
      </c>
      <c r="F167">
        <v>0</v>
      </c>
      <c r="G167">
        <v>1</v>
      </c>
      <c r="H167">
        <v>1</v>
      </c>
    </row>
    <row r="168" spans="1:8" x14ac:dyDescent="0.3">
      <c r="A168">
        <v>166</v>
      </c>
      <c r="B168">
        <v>167</v>
      </c>
      <c r="C168">
        <v>0.16669999999999999</v>
      </c>
      <c r="D168">
        <v>0.74</v>
      </c>
      <c r="E168">
        <v>0.16420000000000001</v>
      </c>
      <c r="F168">
        <v>0</v>
      </c>
      <c r="G168">
        <v>5</v>
      </c>
      <c r="H168">
        <v>5</v>
      </c>
    </row>
    <row r="169" spans="1:8" x14ac:dyDescent="0.3">
      <c r="A169">
        <v>167</v>
      </c>
      <c r="B169">
        <v>168</v>
      </c>
      <c r="C169">
        <v>0.16669999999999999</v>
      </c>
      <c r="D169">
        <v>0.74</v>
      </c>
      <c r="E169">
        <v>0.16420000000000001</v>
      </c>
      <c r="F169">
        <v>0</v>
      </c>
      <c r="G169">
        <v>2</v>
      </c>
      <c r="H169">
        <v>2</v>
      </c>
    </row>
    <row r="170" spans="1:8" x14ac:dyDescent="0.3">
      <c r="A170">
        <v>168</v>
      </c>
      <c r="B170">
        <v>169</v>
      </c>
      <c r="C170">
        <v>0.18179999999999999</v>
      </c>
      <c r="D170">
        <v>0.74</v>
      </c>
      <c r="E170">
        <v>0.1045</v>
      </c>
      <c r="F170">
        <v>1</v>
      </c>
      <c r="G170">
        <v>8</v>
      </c>
      <c r="H170">
        <v>9</v>
      </c>
    </row>
    <row r="171" spans="1:8" x14ac:dyDescent="0.3">
      <c r="A171">
        <v>169</v>
      </c>
      <c r="B171">
        <v>170</v>
      </c>
      <c r="C171">
        <v>0.18179999999999999</v>
      </c>
      <c r="D171">
        <v>0.93</v>
      </c>
      <c r="E171">
        <v>0.1045</v>
      </c>
      <c r="F171">
        <v>0</v>
      </c>
      <c r="G171">
        <v>15</v>
      </c>
      <c r="H171">
        <v>15</v>
      </c>
    </row>
    <row r="172" spans="1:8" x14ac:dyDescent="0.3">
      <c r="A172">
        <v>170</v>
      </c>
      <c r="B172">
        <v>171</v>
      </c>
      <c r="C172">
        <v>0.18179999999999999</v>
      </c>
      <c r="D172">
        <v>0.93</v>
      </c>
      <c r="E172">
        <v>0.1045</v>
      </c>
      <c r="F172">
        <v>0</v>
      </c>
      <c r="G172">
        <v>20</v>
      </c>
      <c r="H172">
        <v>20</v>
      </c>
    </row>
    <row r="173" spans="1:8" x14ac:dyDescent="0.3">
      <c r="A173">
        <v>171</v>
      </c>
      <c r="B173">
        <v>172</v>
      </c>
      <c r="C173">
        <v>0.19700000000000001</v>
      </c>
      <c r="D173">
        <v>0.8</v>
      </c>
      <c r="E173">
        <v>0.16420000000000001</v>
      </c>
      <c r="F173">
        <v>5</v>
      </c>
      <c r="G173">
        <v>56</v>
      </c>
      <c r="H173">
        <v>61</v>
      </c>
    </row>
    <row r="174" spans="1:8" x14ac:dyDescent="0.3">
      <c r="A174">
        <v>172</v>
      </c>
      <c r="B174">
        <v>173</v>
      </c>
      <c r="C174">
        <v>0.18179999999999999</v>
      </c>
      <c r="D174">
        <v>0.69</v>
      </c>
      <c r="E174">
        <v>0.3881</v>
      </c>
      <c r="F174">
        <v>2</v>
      </c>
      <c r="G174">
        <v>60</v>
      </c>
      <c r="H174">
        <v>62</v>
      </c>
    </row>
    <row r="175" spans="1:8" x14ac:dyDescent="0.3">
      <c r="A175">
        <v>173</v>
      </c>
      <c r="B175">
        <v>174</v>
      </c>
      <c r="C175">
        <v>0.18179999999999999</v>
      </c>
      <c r="D175">
        <v>0.59</v>
      </c>
      <c r="E175">
        <v>0.35820000000000002</v>
      </c>
      <c r="F175">
        <v>8</v>
      </c>
      <c r="G175">
        <v>90</v>
      </c>
      <c r="H175">
        <v>98</v>
      </c>
    </row>
    <row r="176" spans="1:8" x14ac:dyDescent="0.3">
      <c r="A176">
        <v>174</v>
      </c>
      <c r="B176">
        <v>175</v>
      </c>
      <c r="C176">
        <v>0.18179999999999999</v>
      </c>
      <c r="D176">
        <v>0.44</v>
      </c>
      <c r="E176">
        <v>0.32840000000000003</v>
      </c>
      <c r="F176">
        <v>7</v>
      </c>
      <c r="G176">
        <v>95</v>
      </c>
      <c r="H176">
        <v>102</v>
      </c>
    </row>
    <row r="177" spans="1:8" x14ac:dyDescent="0.3">
      <c r="A177">
        <v>175</v>
      </c>
      <c r="B177">
        <v>176</v>
      </c>
      <c r="C177">
        <v>0.16669999999999999</v>
      </c>
      <c r="D177">
        <v>0.32</v>
      </c>
      <c r="E177">
        <v>0.49249999999999999</v>
      </c>
      <c r="F177">
        <v>12</v>
      </c>
      <c r="G177">
        <v>83</v>
      </c>
      <c r="H177">
        <v>95</v>
      </c>
    </row>
    <row r="178" spans="1:8" x14ac:dyDescent="0.3">
      <c r="A178">
        <v>176</v>
      </c>
      <c r="B178">
        <v>177</v>
      </c>
      <c r="C178">
        <v>0.16669999999999999</v>
      </c>
      <c r="D178">
        <v>0.32</v>
      </c>
      <c r="E178">
        <v>0.44779999999999998</v>
      </c>
      <c r="F178">
        <v>5</v>
      </c>
      <c r="G178">
        <v>69</v>
      </c>
      <c r="H178">
        <v>74</v>
      </c>
    </row>
    <row r="179" spans="1:8" x14ac:dyDescent="0.3">
      <c r="A179">
        <v>177</v>
      </c>
      <c r="B179">
        <v>178</v>
      </c>
      <c r="C179">
        <v>0.13639999999999999</v>
      </c>
      <c r="D179">
        <v>0.28999999999999998</v>
      </c>
      <c r="E179">
        <v>0.44779999999999998</v>
      </c>
      <c r="F179">
        <v>8</v>
      </c>
      <c r="G179">
        <v>68</v>
      </c>
      <c r="H179">
        <v>76</v>
      </c>
    </row>
    <row r="180" spans="1:8" x14ac:dyDescent="0.3">
      <c r="A180">
        <v>178</v>
      </c>
      <c r="B180">
        <v>179</v>
      </c>
      <c r="C180">
        <v>0.1212</v>
      </c>
      <c r="D180">
        <v>0.37</v>
      </c>
      <c r="E180">
        <v>0.55220000000000002</v>
      </c>
      <c r="F180">
        <v>5</v>
      </c>
      <c r="G180">
        <v>64</v>
      </c>
      <c r="H180">
        <v>69</v>
      </c>
    </row>
    <row r="181" spans="1:8" x14ac:dyDescent="0.3">
      <c r="A181">
        <v>179</v>
      </c>
      <c r="B181">
        <v>180</v>
      </c>
      <c r="C181">
        <v>0.1212</v>
      </c>
      <c r="D181">
        <v>0.39</v>
      </c>
      <c r="E181">
        <v>0.29849999999999999</v>
      </c>
      <c r="F181">
        <v>3</v>
      </c>
      <c r="G181">
        <v>52</v>
      </c>
      <c r="H181">
        <v>55</v>
      </c>
    </row>
    <row r="182" spans="1:8" x14ac:dyDescent="0.3">
      <c r="A182">
        <v>180</v>
      </c>
      <c r="B182">
        <v>181</v>
      </c>
      <c r="C182">
        <v>0.1212</v>
      </c>
      <c r="D182">
        <v>0.36</v>
      </c>
      <c r="E182">
        <v>0.25369999999999998</v>
      </c>
      <c r="F182">
        <v>4</v>
      </c>
      <c r="G182">
        <v>26</v>
      </c>
      <c r="H182">
        <v>30</v>
      </c>
    </row>
    <row r="183" spans="1:8" x14ac:dyDescent="0.3">
      <c r="A183">
        <v>181</v>
      </c>
      <c r="B183">
        <v>182</v>
      </c>
      <c r="C183">
        <v>0.1212</v>
      </c>
      <c r="D183">
        <v>0.36</v>
      </c>
      <c r="E183">
        <v>0.25369999999999998</v>
      </c>
      <c r="F183">
        <v>0</v>
      </c>
      <c r="G183">
        <v>28</v>
      </c>
      <c r="H183">
        <v>28</v>
      </c>
    </row>
    <row r="184" spans="1:8" x14ac:dyDescent="0.3">
      <c r="A184">
        <v>182</v>
      </c>
      <c r="B184">
        <v>183</v>
      </c>
      <c r="C184">
        <v>0.1061</v>
      </c>
      <c r="D184">
        <v>0.39</v>
      </c>
      <c r="E184">
        <v>0.35820000000000002</v>
      </c>
      <c r="F184">
        <v>2</v>
      </c>
      <c r="G184">
        <v>35</v>
      </c>
      <c r="H184">
        <v>37</v>
      </c>
    </row>
    <row r="185" spans="1:8" x14ac:dyDescent="0.3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</row>
    <row r="186" spans="1:8" x14ac:dyDescent="0.3">
      <c r="A186">
        <v>184</v>
      </c>
      <c r="B186">
        <v>185</v>
      </c>
      <c r="C186">
        <v>6.0600000000000001E-2</v>
      </c>
      <c r="D186">
        <v>0.39</v>
      </c>
      <c r="E186">
        <v>0.44779999999999998</v>
      </c>
      <c r="F186">
        <v>0</v>
      </c>
      <c r="G186">
        <v>22</v>
      </c>
      <c r="H186">
        <v>22</v>
      </c>
    </row>
    <row r="187" spans="1:8" x14ac:dyDescent="0.3">
      <c r="A187">
        <v>185</v>
      </c>
      <c r="B187">
        <v>186</v>
      </c>
      <c r="C187">
        <v>7.5800000000000006E-2</v>
      </c>
      <c r="D187">
        <v>0.42</v>
      </c>
      <c r="E187">
        <v>0.3881</v>
      </c>
      <c r="F187">
        <v>1</v>
      </c>
      <c r="G187">
        <v>24</v>
      </c>
      <c r="H187">
        <v>25</v>
      </c>
    </row>
    <row r="188" spans="1:8" x14ac:dyDescent="0.3">
      <c r="A188">
        <v>186</v>
      </c>
      <c r="B188">
        <v>187</v>
      </c>
      <c r="C188">
        <v>6.0600000000000001E-2</v>
      </c>
      <c r="D188">
        <v>0.42</v>
      </c>
      <c r="E188">
        <v>0.4627</v>
      </c>
      <c r="F188">
        <v>0</v>
      </c>
      <c r="G188">
        <v>12</v>
      </c>
      <c r="H188">
        <v>12</v>
      </c>
    </row>
    <row r="189" spans="1:8" x14ac:dyDescent="0.3">
      <c r="A189">
        <v>187</v>
      </c>
      <c r="B189">
        <v>188</v>
      </c>
      <c r="C189">
        <v>6.0600000000000001E-2</v>
      </c>
      <c r="D189">
        <v>0.46</v>
      </c>
      <c r="E189">
        <v>0.4627</v>
      </c>
      <c r="F189">
        <v>0</v>
      </c>
      <c r="G189">
        <v>11</v>
      </c>
      <c r="H189">
        <v>11</v>
      </c>
    </row>
    <row r="190" spans="1:8" x14ac:dyDescent="0.3">
      <c r="A190">
        <v>188</v>
      </c>
      <c r="B190">
        <v>189</v>
      </c>
      <c r="C190">
        <v>7.5800000000000006E-2</v>
      </c>
      <c r="D190">
        <v>0.46</v>
      </c>
      <c r="E190">
        <v>0.41789999999999999</v>
      </c>
      <c r="F190">
        <v>0</v>
      </c>
      <c r="G190">
        <v>4</v>
      </c>
      <c r="H190">
        <v>4</v>
      </c>
    </row>
    <row r="191" spans="1:8" x14ac:dyDescent="0.3">
      <c r="A191">
        <v>189</v>
      </c>
      <c r="B191">
        <v>190</v>
      </c>
      <c r="C191">
        <v>9.0899999999999995E-2</v>
      </c>
      <c r="D191">
        <v>0.53</v>
      </c>
      <c r="E191">
        <v>0.19400000000000001</v>
      </c>
      <c r="F191">
        <v>0</v>
      </c>
      <c r="G191">
        <v>1</v>
      </c>
      <c r="H191">
        <v>1</v>
      </c>
    </row>
    <row r="192" spans="1:8" x14ac:dyDescent="0.3">
      <c r="A192">
        <v>190</v>
      </c>
      <c r="B192">
        <v>191</v>
      </c>
      <c r="C192">
        <v>9.0899999999999995E-2</v>
      </c>
      <c r="D192">
        <v>0.53</v>
      </c>
      <c r="E192">
        <v>0.19400000000000001</v>
      </c>
      <c r="F192">
        <v>0</v>
      </c>
      <c r="G192">
        <v>1</v>
      </c>
      <c r="H192">
        <v>1</v>
      </c>
    </row>
    <row r="193" spans="1:8" x14ac:dyDescent="0.3">
      <c r="A193">
        <v>191</v>
      </c>
      <c r="B193">
        <v>192</v>
      </c>
      <c r="C193">
        <v>9.0899999999999995E-2</v>
      </c>
      <c r="D193">
        <v>0.49</v>
      </c>
      <c r="E193">
        <v>0.28360000000000002</v>
      </c>
      <c r="F193">
        <v>0</v>
      </c>
      <c r="G193">
        <v>1</v>
      </c>
      <c r="H193">
        <v>1</v>
      </c>
    </row>
    <row r="194" spans="1:8" x14ac:dyDescent="0.3">
      <c r="A194">
        <v>192</v>
      </c>
      <c r="B194">
        <v>193</v>
      </c>
      <c r="C194">
        <v>9.0899999999999995E-2</v>
      </c>
      <c r="D194">
        <v>0.53</v>
      </c>
      <c r="E194">
        <v>0.19400000000000001</v>
      </c>
      <c r="F194">
        <v>1</v>
      </c>
      <c r="G194">
        <v>5</v>
      </c>
      <c r="H194">
        <v>6</v>
      </c>
    </row>
    <row r="195" spans="1:8" x14ac:dyDescent="0.3">
      <c r="A195">
        <v>193</v>
      </c>
      <c r="B195">
        <v>194</v>
      </c>
      <c r="C195">
        <v>9.0899999999999995E-2</v>
      </c>
      <c r="D195">
        <v>0.49</v>
      </c>
      <c r="E195">
        <v>0.28360000000000002</v>
      </c>
      <c r="F195">
        <v>0</v>
      </c>
      <c r="G195">
        <v>10</v>
      </c>
      <c r="H195">
        <v>10</v>
      </c>
    </row>
    <row r="196" spans="1:8" x14ac:dyDescent="0.3">
      <c r="A196">
        <v>194</v>
      </c>
      <c r="B196">
        <v>195</v>
      </c>
      <c r="C196">
        <v>7.5800000000000006E-2</v>
      </c>
      <c r="D196">
        <v>0.46</v>
      </c>
      <c r="E196">
        <v>0.52239999999999998</v>
      </c>
      <c r="F196">
        <v>0</v>
      </c>
      <c r="G196">
        <v>19</v>
      </c>
      <c r="H196">
        <v>19</v>
      </c>
    </row>
    <row r="197" spans="1:8" x14ac:dyDescent="0.3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</row>
    <row r="198" spans="1:8" x14ac:dyDescent="0.3">
      <c r="A198">
        <v>196</v>
      </c>
      <c r="B198">
        <v>197</v>
      </c>
      <c r="C198">
        <v>0.1212</v>
      </c>
      <c r="D198">
        <v>0.4</v>
      </c>
      <c r="E198">
        <v>0.52239999999999998</v>
      </c>
      <c r="F198">
        <v>2</v>
      </c>
      <c r="G198">
        <v>47</v>
      </c>
      <c r="H198">
        <v>49</v>
      </c>
    </row>
    <row r="199" spans="1:8" x14ac:dyDescent="0.3">
      <c r="A199">
        <v>197</v>
      </c>
      <c r="B199">
        <v>198</v>
      </c>
      <c r="C199">
        <v>0.13639999999999999</v>
      </c>
      <c r="D199">
        <v>0.37</v>
      </c>
      <c r="E199">
        <v>0.44779999999999998</v>
      </c>
      <c r="F199">
        <v>4</v>
      </c>
      <c r="G199">
        <v>79</v>
      </c>
      <c r="H199">
        <v>83</v>
      </c>
    </row>
    <row r="200" spans="1:8" x14ac:dyDescent="0.3">
      <c r="A200">
        <v>198</v>
      </c>
      <c r="B200">
        <v>199</v>
      </c>
      <c r="C200">
        <v>0.16669999999999999</v>
      </c>
      <c r="D200">
        <v>0.34</v>
      </c>
      <c r="E200">
        <v>0.44779999999999998</v>
      </c>
      <c r="F200">
        <v>6</v>
      </c>
      <c r="G200">
        <v>69</v>
      </c>
      <c r="H200">
        <v>75</v>
      </c>
    </row>
    <row r="201" spans="1:8" x14ac:dyDescent="0.3">
      <c r="A201">
        <v>199</v>
      </c>
      <c r="B201">
        <v>200</v>
      </c>
      <c r="C201">
        <v>0.18179999999999999</v>
      </c>
      <c r="D201">
        <v>0.32</v>
      </c>
      <c r="E201">
        <v>0.4627</v>
      </c>
      <c r="F201">
        <v>8</v>
      </c>
      <c r="G201">
        <v>64</v>
      </c>
      <c r="H201">
        <v>72</v>
      </c>
    </row>
    <row r="202" spans="1:8" x14ac:dyDescent="0.3">
      <c r="A202">
        <v>200</v>
      </c>
      <c r="B202">
        <v>201</v>
      </c>
      <c r="C202">
        <v>0.19700000000000001</v>
      </c>
      <c r="D202">
        <v>0.35</v>
      </c>
      <c r="E202">
        <v>0.35820000000000002</v>
      </c>
      <c r="F202">
        <v>5</v>
      </c>
      <c r="G202">
        <v>77</v>
      </c>
      <c r="H202">
        <v>82</v>
      </c>
    </row>
    <row r="203" spans="1:8" x14ac:dyDescent="0.3">
      <c r="A203">
        <v>201</v>
      </c>
      <c r="B203">
        <v>202</v>
      </c>
      <c r="C203">
        <v>0.16669999999999999</v>
      </c>
      <c r="D203">
        <v>0.34</v>
      </c>
      <c r="E203">
        <v>0.44779999999999998</v>
      </c>
      <c r="F203">
        <v>13</v>
      </c>
      <c r="G203">
        <v>79</v>
      </c>
      <c r="H203">
        <v>92</v>
      </c>
    </row>
    <row r="204" spans="1:8" x14ac:dyDescent="0.3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</row>
    <row r="205" spans="1:8" x14ac:dyDescent="0.3">
      <c r="A205">
        <v>203</v>
      </c>
      <c r="B205">
        <v>204</v>
      </c>
      <c r="C205">
        <v>0.13639999999999999</v>
      </c>
      <c r="D205">
        <v>0.4</v>
      </c>
      <c r="E205">
        <v>0.32840000000000003</v>
      </c>
      <c r="F205">
        <v>4</v>
      </c>
      <c r="G205">
        <v>44</v>
      </c>
      <c r="H205">
        <v>48</v>
      </c>
    </row>
    <row r="206" spans="1:8" x14ac:dyDescent="0.3">
      <c r="A206">
        <v>204</v>
      </c>
      <c r="B206">
        <v>205</v>
      </c>
      <c r="C206">
        <v>0.13639999999999999</v>
      </c>
      <c r="D206">
        <v>0.43</v>
      </c>
      <c r="E206">
        <v>0.32840000000000003</v>
      </c>
      <c r="F206">
        <v>1</v>
      </c>
      <c r="G206">
        <v>40</v>
      </c>
      <c r="H206">
        <v>41</v>
      </c>
    </row>
    <row r="207" spans="1:8" x14ac:dyDescent="0.3">
      <c r="A207">
        <v>205</v>
      </c>
      <c r="B207">
        <v>206</v>
      </c>
      <c r="C207">
        <v>0.1212</v>
      </c>
      <c r="D207">
        <v>0.46</v>
      </c>
      <c r="E207">
        <v>0.25369999999999998</v>
      </c>
      <c r="F207">
        <v>0</v>
      </c>
      <c r="G207">
        <v>38</v>
      </c>
      <c r="H207">
        <v>38</v>
      </c>
    </row>
    <row r="208" spans="1:8" x14ac:dyDescent="0.3">
      <c r="A208">
        <v>206</v>
      </c>
      <c r="B208">
        <v>207</v>
      </c>
      <c r="C208">
        <v>0.1061</v>
      </c>
      <c r="D208">
        <v>0.46</v>
      </c>
      <c r="E208">
        <v>0.41789999999999999</v>
      </c>
      <c r="F208">
        <v>1</v>
      </c>
      <c r="G208">
        <v>19</v>
      </c>
      <c r="H208">
        <v>20</v>
      </c>
    </row>
    <row r="209" spans="1:8" x14ac:dyDescent="0.3">
      <c r="A209">
        <v>207</v>
      </c>
      <c r="B209">
        <v>208</v>
      </c>
      <c r="C209">
        <v>0.1212</v>
      </c>
      <c r="D209">
        <v>0.46</v>
      </c>
      <c r="E209">
        <v>0.29849999999999999</v>
      </c>
      <c r="F209">
        <v>5</v>
      </c>
      <c r="G209">
        <v>10</v>
      </c>
      <c r="H209">
        <v>15</v>
      </c>
    </row>
    <row r="210" spans="1:8" x14ac:dyDescent="0.3">
      <c r="A210">
        <v>208</v>
      </c>
      <c r="B210">
        <v>209</v>
      </c>
      <c r="C210">
        <v>0.13639999999999999</v>
      </c>
      <c r="D210">
        <v>0.5</v>
      </c>
      <c r="E210">
        <v>0.19400000000000001</v>
      </c>
      <c r="F210">
        <v>0</v>
      </c>
      <c r="G210">
        <v>6</v>
      </c>
      <c r="H210">
        <v>6</v>
      </c>
    </row>
    <row r="211" spans="1:8" x14ac:dyDescent="0.3">
      <c r="A211">
        <v>209</v>
      </c>
      <c r="B211">
        <v>210</v>
      </c>
      <c r="C211">
        <v>0.1212</v>
      </c>
      <c r="D211">
        <v>0.5</v>
      </c>
      <c r="E211">
        <v>0.28360000000000002</v>
      </c>
      <c r="F211">
        <v>2</v>
      </c>
      <c r="G211">
        <v>3</v>
      </c>
      <c r="H211">
        <v>5</v>
      </c>
    </row>
    <row r="212" spans="1:8" x14ac:dyDescent="0.3">
      <c r="A212">
        <v>210</v>
      </c>
      <c r="B212">
        <v>211</v>
      </c>
      <c r="C212">
        <v>0.1212</v>
      </c>
      <c r="D212">
        <v>0.5</v>
      </c>
      <c r="E212">
        <v>0.28360000000000002</v>
      </c>
      <c r="F212">
        <v>1</v>
      </c>
      <c r="G212">
        <v>0</v>
      </c>
      <c r="H212">
        <v>1</v>
      </c>
    </row>
    <row r="213" spans="1:8" x14ac:dyDescent="0.3">
      <c r="A213">
        <v>211</v>
      </c>
      <c r="B213">
        <v>212</v>
      </c>
      <c r="C213">
        <v>0.1212</v>
      </c>
      <c r="D213">
        <v>0.5</v>
      </c>
      <c r="E213">
        <v>0.22389999999999999</v>
      </c>
      <c r="F213">
        <v>0</v>
      </c>
      <c r="G213">
        <v>3</v>
      </c>
      <c r="H213">
        <v>3</v>
      </c>
    </row>
    <row r="214" spans="1:8" x14ac:dyDescent="0.3">
      <c r="A214">
        <v>212</v>
      </c>
      <c r="B214">
        <v>213</v>
      </c>
      <c r="C214">
        <v>0.1212</v>
      </c>
      <c r="D214">
        <v>0.5</v>
      </c>
      <c r="E214">
        <v>0.22389999999999999</v>
      </c>
      <c r="F214">
        <v>0</v>
      </c>
      <c r="G214">
        <v>1</v>
      </c>
      <c r="H214">
        <v>1</v>
      </c>
    </row>
    <row r="215" spans="1:8" x14ac:dyDescent="0.3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</row>
    <row r="216" spans="1:8" x14ac:dyDescent="0.3">
      <c r="A216">
        <v>214</v>
      </c>
      <c r="B216">
        <v>215</v>
      </c>
      <c r="C216">
        <v>0.1061</v>
      </c>
      <c r="D216">
        <v>0.54</v>
      </c>
      <c r="E216">
        <v>0.25369999999999998</v>
      </c>
      <c r="F216">
        <v>0</v>
      </c>
      <c r="G216">
        <v>3</v>
      </c>
      <c r="H216">
        <v>3</v>
      </c>
    </row>
    <row r="217" spans="1:8" x14ac:dyDescent="0.3">
      <c r="A217">
        <v>215</v>
      </c>
      <c r="B217">
        <v>216</v>
      </c>
      <c r="C217">
        <v>0.1212</v>
      </c>
      <c r="D217">
        <v>0.5</v>
      </c>
      <c r="E217">
        <v>0.28360000000000002</v>
      </c>
      <c r="F217">
        <v>0</v>
      </c>
      <c r="G217">
        <v>31</v>
      </c>
      <c r="H217">
        <v>31</v>
      </c>
    </row>
    <row r="218" spans="1:8" x14ac:dyDescent="0.3">
      <c r="A218">
        <v>216</v>
      </c>
      <c r="B218">
        <v>217</v>
      </c>
      <c r="C218">
        <v>0.1212</v>
      </c>
      <c r="D218">
        <v>0.5</v>
      </c>
      <c r="E218">
        <v>0.22389999999999999</v>
      </c>
      <c r="F218">
        <v>2</v>
      </c>
      <c r="G218">
        <v>75</v>
      </c>
      <c r="H218">
        <v>77</v>
      </c>
    </row>
    <row r="219" spans="1:8" x14ac:dyDescent="0.3">
      <c r="A219">
        <v>217</v>
      </c>
      <c r="B219">
        <v>218</v>
      </c>
      <c r="C219">
        <v>0.1212</v>
      </c>
      <c r="D219">
        <v>0.5</v>
      </c>
      <c r="E219">
        <v>0.28360000000000002</v>
      </c>
      <c r="F219">
        <v>4</v>
      </c>
      <c r="G219">
        <v>184</v>
      </c>
      <c r="H219">
        <v>188</v>
      </c>
    </row>
    <row r="220" spans="1:8" x14ac:dyDescent="0.3">
      <c r="A220">
        <v>218</v>
      </c>
      <c r="B220">
        <v>219</v>
      </c>
      <c r="C220">
        <v>0.1212</v>
      </c>
      <c r="D220">
        <v>0.5</v>
      </c>
      <c r="E220">
        <v>0.25369999999999998</v>
      </c>
      <c r="F220">
        <v>2</v>
      </c>
      <c r="G220">
        <v>92</v>
      </c>
      <c r="H220">
        <v>94</v>
      </c>
    </row>
    <row r="221" spans="1:8" x14ac:dyDescent="0.3">
      <c r="A221">
        <v>219</v>
      </c>
      <c r="B221">
        <v>220</v>
      </c>
      <c r="C221">
        <v>0.1212</v>
      </c>
      <c r="D221">
        <v>0.5</v>
      </c>
      <c r="E221">
        <v>0.29849999999999999</v>
      </c>
      <c r="F221">
        <v>0</v>
      </c>
      <c r="G221">
        <v>31</v>
      </c>
      <c r="H221">
        <v>31</v>
      </c>
    </row>
    <row r="222" spans="1:8" x14ac:dyDescent="0.3">
      <c r="A222">
        <v>220</v>
      </c>
      <c r="B222">
        <v>221</v>
      </c>
      <c r="C222">
        <v>0.13639999999999999</v>
      </c>
      <c r="D222">
        <v>0.47</v>
      </c>
      <c r="E222">
        <v>0.28360000000000002</v>
      </c>
      <c r="F222">
        <v>2</v>
      </c>
      <c r="G222">
        <v>28</v>
      </c>
      <c r="H222">
        <v>30</v>
      </c>
    </row>
    <row r="223" spans="1:8" x14ac:dyDescent="0.3">
      <c r="A223">
        <v>221</v>
      </c>
      <c r="B223">
        <v>222</v>
      </c>
      <c r="C223">
        <v>0.18179999999999999</v>
      </c>
      <c r="D223">
        <v>0.4</v>
      </c>
      <c r="E223">
        <v>0.28360000000000002</v>
      </c>
      <c r="F223">
        <v>5</v>
      </c>
      <c r="G223">
        <v>47</v>
      </c>
      <c r="H223">
        <v>52</v>
      </c>
    </row>
    <row r="224" spans="1:8" x14ac:dyDescent="0.3">
      <c r="A224">
        <v>222</v>
      </c>
      <c r="B224">
        <v>223</v>
      </c>
      <c r="C224">
        <v>0.18179999999999999</v>
      </c>
      <c r="D224">
        <v>0.4</v>
      </c>
      <c r="E224">
        <v>0.28360000000000002</v>
      </c>
      <c r="F224">
        <v>4</v>
      </c>
      <c r="G224">
        <v>50</v>
      </c>
      <c r="H224">
        <v>54</v>
      </c>
    </row>
    <row r="225" spans="1:8" x14ac:dyDescent="0.3">
      <c r="A225">
        <v>223</v>
      </c>
      <c r="B225">
        <v>224</v>
      </c>
      <c r="C225">
        <v>0.19700000000000001</v>
      </c>
      <c r="D225">
        <v>0.4</v>
      </c>
      <c r="E225">
        <v>0.22389999999999999</v>
      </c>
      <c r="F225">
        <v>0</v>
      </c>
      <c r="G225">
        <v>47</v>
      </c>
      <c r="H225">
        <v>47</v>
      </c>
    </row>
    <row r="226" spans="1:8" x14ac:dyDescent="0.3">
      <c r="A226">
        <v>224</v>
      </c>
      <c r="B226">
        <v>225</v>
      </c>
      <c r="C226">
        <v>0.19700000000000001</v>
      </c>
      <c r="D226">
        <v>0.4</v>
      </c>
      <c r="E226">
        <v>0.22389999999999999</v>
      </c>
      <c r="F226">
        <v>2</v>
      </c>
      <c r="G226">
        <v>43</v>
      </c>
      <c r="H226">
        <v>45</v>
      </c>
    </row>
    <row r="227" spans="1:8" x14ac:dyDescent="0.3">
      <c r="A227">
        <v>225</v>
      </c>
      <c r="B227">
        <v>226</v>
      </c>
      <c r="C227">
        <v>0.21210000000000001</v>
      </c>
      <c r="D227">
        <v>0.4</v>
      </c>
      <c r="E227">
        <v>0.1343</v>
      </c>
      <c r="F227">
        <v>4</v>
      </c>
      <c r="G227">
        <v>70</v>
      </c>
      <c r="H227">
        <v>74</v>
      </c>
    </row>
    <row r="228" spans="1:8" x14ac:dyDescent="0.3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</row>
    <row r="229" spans="1:8" x14ac:dyDescent="0.3">
      <c r="A229">
        <v>227</v>
      </c>
      <c r="B229">
        <v>228</v>
      </c>
      <c r="C229">
        <v>0.19700000000000001</v>
      </c>
      <c r="D229">
        <v>0.4</v>
      </c>
      <c r="E229">
        <v>0.22389999999999999</v>
      </c>
      <c r="F229">
        <v>1</v>
      </c>
      <c r="G229">
        <v>154</v>
      </c>
      <c r="H229">
        <v>155</v>
      </c>
    </row>
    <row r="230" spans="1:8" x14ac:dyDescent="0.3">
      <c r="A230">
        <v>228</v>
      </c>
      <c r="B230">
        <v>229</v>
      </c>
      <c r="C230">
        <v>0.16669999999999999</v>
      </c>
      <c r="D230">
        <v>0.47</v>
      </c>
      <c r="E230">
        <v>0.16420000000000001</v>
      </c>
      <c r="F230">
        <v>3</v>
      </c>
      <c r="G230">
        <v>92</v>
      </c>
      <c r="H230">
        <v>95</v>
      </c>
    </row>
    <row r="231" spans="1:8" x14ac:dyDescent="0.3">
      <c r="A231">
        <v>229</v>
      </c>
      <c r="B231">
        <v>230</v>
      </c>
      <c r="C231">
        <v>0.16669999999999999</v>
      </c>
      <c r="D231">
        <v>0.5</v>
      </c>
      <c r="E231">
        <v>0.16420000000000001</v>
      </c>
      <c r="F231">
        <v>1</v>
      </c>
      <c r="G231">
        <v>73</v>
      </c>
      <c r="H231">
        <v>74</v>
      </c>
    </row>
    <row r="232" spans="1:8" x14ac:dyDescent="0.3">
      <c r="A232">
        <v>230</v>
      </c>
      <c r="B232">
        <v>231</v>
      </c>
      <c r="C232">
        <v>0.13639999999999999</v>
      </c>
      <c r="D232">
        <v>0.59</v>
      </c>
      <c r="E232">
        <v>0.19400000000000001</v>
      </c>
      <c r="F232">
        <v>1</v>
      </c>
      <c r="G232">
        <v>37</v>
      </c>
      <c r="H232">
        <v>38</v>
      </c>
    </row>
    <row r="233" spans="1:8" x14ac:dyDescent="0.3">
      <c r="A233">
        <v>231</v>
      </c>
      <c r="B233">
        <v>232</v>
      </c>
      <c r="C233">
        <v>0.1515</v>
      </c>
      <c r="D233">
        <v>0.59</v>
      </c>
      <c r="E233">
        <v>0.16420000000000001</v>
      </c>
      <c r="F233">
        <v>2</v>
      </c>
      <c r="G233">
        <v>22</v>
      </c>
      <c r="H233">
        <v>24</v>
      </c>
    </row>
    <row r="234" spans="1:8" x14ac:dyDescent="0.3">
      <c r="A234">
        <v>232</v>
      </c>
      <c r="B234">
        <v>233</v>
      </c>
      <c r="C234">
        <v>0.1515</v>
      </c>
      <c r="D234">
        <v>0.59</v>
      </c>
      <c r="E234">
        <v>0.16420000000000001</v>
      </c>
      <c r="F234">
        <v>0</v>
      </c>
      <c r="G234">
        <v>18</v>
      </c>
      <c r="H234">
        <v>18</v>
      </c>
    </row>
    <row r="235" spans="1:8" x14ac:dyDescent="0.3">
      <c r="A235">
        <v>233</v>
      </c>
      <c r="B235">
        <v>234</v>
      </c>
      <c r="C235">
        <v>0.16669999999999999</v>
      </c>
      <c r="D235">
        <v>0.59</v>
      </c>
      <c r="E235">
        <v>0.1045</v>
      </c>
      <c r="F235">
        <v>2</v>
      </c>
      <c r="G235">
        <v>10</v>
      </c>
      <c r="H235">
        <v>12</v>
      </c>
    </row>
    <row r="236" spans="1:8" x14ac:dyDescent="0.3">
      <c r="A236">
        <v>234</v>
      </c>
      <c r="B236">
        <v>235</v>
      </c>
      <c r="C236">
        <v>0.1515</v>
      </c>
      <c r="D236">
        <v>0.59</v>
      </c>
      <c r="E236">
        <v>0.16420000000000001</v>
      </c>
      <c r="F236">
        <v>0</v>
      </c>
      <c r="G236">
        <v>3</v>
      </c>
      <c r="H236">
        <v>3</v>
      </c>
    </row>
    <row r="237" spans="1:8" x14ac:dyDescent="0.3">
      <c r="A237">
        <v>235</v>
      </c>
      <c r="B237">
        <v>236</v>
      </c>
      <c r="C237">
        <v>0.1515</v>
      </c>
      <c r="D237">
        <v>0.55000000000000004</v>
      </c>
      <c r="E237">
        <v>0.19400000000000001</v>
      </c>
      <c r="F237">
        <v>0</v>
      </c>
      <c r="G237">
        <v>3</v>
      </c>
      <c r="H237">
        <v>3</v>
      </c>
    </row>
    <row r="238" spans="1:8" x14ac:dyDescent="0.3">
      <c r="A238">
        <v>236</v>
      </c>
      <c r="B238">
        <v>237</v>
      </c>
      <c r="C238">
        <v>0.18179999999999999</v>
      </c>
      <c r="D238">
        <v>0.55000000000000004</v>
      </c>
      <c r="E238">
        <v>0.1343</v>
      </c>
      <c r="F238">
        <v>0</v>
      </c>
      <c r="G238">
        <v>6</v>
      </c>
      <c r="H238">
        <v>6</v>
      </c>
    </row>
    <row r="239" spans="1:8" x14ac:dyDescent="0.3">
      <c r="A239">
        <v>237</v>
      </c>
      <c r="B239">
        <v>238</v>
      </c>
      <c r="C239">
        <v>0.18179999999999999</v>
      </c>
      <c r="D239">
        <v>0.55000000000000004</v>
      </c>
      <c r="E239">
        <v>0.1343</v>
      </c>
      <c r="F239">
        <v>0</v>
      </c>
      <c r="G239">
        <v>27</v>
      </c>
      <c r="H239">
        <v>27</v>
      </c>
    </row>
    <row r="240" spans="1:8" x14ac:dyDescent="0.3">
      <c r="A240">
        <v>238</v>
      </c>
      <c r="B240">
        <v>239</v>
      </c>
      <c r="C240">
        <v>0.2273</v>
      </c>
      <c r="D240">
        <v>0.55000000000000004</v>
      </c>
      <c r="E240">
        <v>0</v>
      </c>
      <c r="F240">
        <v>2</v>
      </c>
      <c r="G240">
        <v>97</v>
      </c>
      <c r="H240">
        <v>99</v>
      </c>
    </row>
    <row r="241" spans="1:8" x14ac:dyDescent="0.3">
      <c r="A241">
        <v>239</v>
      </c>
      <c r="B241">
        <v>240</v>
      </c>
      <c r="C241">
        <v>0.21210000000000001</v>
      </c>
      <c r="D241">
        <v>0.51</v>
      </c>
      <c r="E241">
        <v>8.9599999999999999E-2</v>
      </c>
      <c r="F241">
        <v>3</v>
      </c>
      <c r="G241">
        <v>214</v>
      </c>
      <c r="H241">
        <v>217</v>
      </c>
    </row>
    <row r="242" spans="1:8" x14ac:dyDescent="0.3">
      <c r="A242">
        <v>240</v>
      </c>
      <c r="B242">
        <v>241</v>
      </c>
      <c r="C242">
        <v>0.19700000000000001</v>
      </c>
      <c r="D242">
        <v>0.51</v>
      </c>
      <c r="E242">
        <v>0.16420000000000001</v>
      </c>
      <c r="F242">
        <v>3</v>
      </c>
      <c r="G242">
        <v>127</v>
      </c>
      <c r="H242">
        <v>130</v>
      </c>
    </row>
    <row r="243" spans="1:8" x14ac:dyDescent="0.3">
      <c r="A243">
        <v>241</v>
      </c>
      <c r="B243">
        <v>242</v>
      </c>
      <c r="C243">
        <v>0.21210000000000001</v>
      </c>
      <c r="D243">
        <v>0.51</v>
      </c>
      <c r="E243">
        <v>0.16420000000000001</v>
      </c>
      <c r="F243">
        <v>3</v>
      </c>
      <c r="G243">
        <v>51</v>
      </c>
      <c r="H243">
        <v>54</v>
      </c>
    </row>
    <row r="244" spans="1:8" x14ac:dyDescent="0.3">
      <c r="A244">
        <v>242</v>
      </c>
      <c r="B244">
        <v>243</v>
      </c>
      <c r="C244">
        <v>0.21210000000000001</v>
      </c>
      <c r="D244">
        <v>0.47</v>
      </c>
      <c r="E244">
        <v>0.1343</v>
      </c>
      <c r="F244">
        <v>4</v>
      </c>
      <c r="G244">
        <v>31</v>
      </c>
      <c r="H244">
        <v>35</v>
      </c>
    </row>
    <row r="245" spans="1:8" x14ac:dyDescent="0.3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</row>
    <row r="246" spans="1:8" x14ac:dyDescent="0.3">
      <c r="A246">
        <v>244</v>
      </c>
      <c r="B246">
        <v>245</v>
      </c>
      <c r="C246">
        <v>0.2273</v>
      </c>
      <c r="D246">
        <v>0.59</v>
      </c>
      <c r="E246">
        <v>8.9599999999999999E-2</v>
      </c>
      <c r="F246">
        <v>6</v>
      </c>
      <c r="G246">
        <v>46</v>
      </c>
      <c r="H246">
        <v>52</v>
      </c>
    </row>
    <row r="247" spans="1:8" x14ac:dyDescent="0.3">
      <c r="A247">
        <v>245</v>
      </c>
      <c r="B247">
        <v>246</v>
      </c>
      <c r="C247">
        <v>0.2273</v>
      </c>
      <c r="D247">
        <v>0.59</v>
      </c>
      <c r="E247">
        <v>8.9599999999999999E-2</v>
      </c>
      <c r="F247">
        <v>3</v>
      </c>
      <c r="G247">
        <v>60</v>
      </c>
      <c r="H247">
        <v>63</v>
      </c>
    </row>
    <row r="248" spans="1:8" x14ac:dyDescent="0.3">
      <c r="A248">
        <v>246</v>
      </c>
      <c r="B248">
        <v>247</v>
      </c>
      <c r="C248">
        <v>0.19700000000000001</v>
      </c>
      <c r="D248">
        <v>0.8</v>
      </c>
      <c r="E248">
        <v>8.9599999999999999E-2</v>
      </c>
      <c r="F248">
        <v>2</v>
      </c>
      <c r="G248">
        <v>45</v>
      </c>
      <c r="H248">
        <v>47</v>
      </c>
    </row>
    <row r="249" spans="1:8" x14ac:dyDescent="0.3">
      <c r="A249">
        <v>247</v>
      </c>
      <c r="B249">
        <v>248</v>
      </c>
      <c r="C249">
        <v>0.1515</v>
      </c>
      <c r="D249">
        <v>0.86</v>
      </c>
      <c r="E249">
        <v>0.22389999999999999</v>
      </c>
      <c r="F249">
        <v>4</v>
      </c>
      <c r="G249">
        <v>72</v>
      </c>
      <c r="H249">
        <v>76</v>
      </c>
    </row>
    <row r="250" spans="1:8" x14ac:dyDescent="0.3">
      <c r="A250">
        <v>248</v>
      </c>
      <c r="B250">
        <v>249</v>
      </c>
      <c r="C250">
        <v>0.1515</v>
      </c>
      <c r="D250">
        <v>0.86</v>
      </c>
      <c r="E250">
        <v>0.22389999999999999</v>
      </c>
      <c r="F250">
        <v>6</v>
      </c>
      <c r="G250">
        <v>130</v>
      </c>
      <c r="H250">
        <v>136</v>
      </c>
    </row>
    <row r="251" spans="1:8" x14ac:dyDescent="0.3">
      <c r="A251">
        <v>249</v>
      </c>
      <c r="B251">
        <v>250</v>
      </c>
      <c r="C251">
        <v>0.18179999999999999</v>
      </c>
      <c r="D251">
        <v>0.93</v>
      </c>
      <c r="E251">
        <v>0.1045</v>
      </c>
      <c r="F251">
        <v>1</v>
      </c>
      <c r="G251">
        <v>94</v>
      </c>
      <c r="H251">
        <v>95</v>
      </c>
    </row>
    <row r="252" spans="1:8" x14ac:dyDescent="0.3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</row>
    <row r="253" spans="1:8" x14ac:dyDescent="0.3">
      <c r="A253">
        <v>251</v>
      </c>
      <c r="B253">
        <v>252</v>
      </c>
      <c r="C253">
        <v>0.1515</v>
      </c>
      <c r="D253">
        <v>0.93</v>
      </c>
      <c r="E253">
        <v>0.19400000000000001</v>
      </c>
      <c r="F253">
        <v>0</v>
      </c>
      <c r="G253">
        <v>32</v>
      </c>
      <c r="H253">
        <v>32</v>
      </c>
    </row>
    <row r="254" spans="1:8" x14ac:dyDescent="0.3">
      <c r="A254">
        <v>252</v>
      </c>
      <c r="B254">
        <v>253</v>
      </c>
      <c r="C254">
        <v>0.19700000000000001</v>
      </c>
      <c r="D254">
        <v>0.86</v>
      </c>
      <c r="E254">
        <v>8.9599999999999999E-2</v>
      </c>
      <c r="F254">
        <v>0</v>
      </c>
      <c r="G254">
        <v>20</v>
      </c>
      <c r="H254">
        <v>20</v>
      </c>
    </row>
    <row r="255" spans="1:8" x14ac:dyDescent="0.3">
      <c r="A255">
        <v>253</v>
      </c>
      <c r="B255">
        <v>254</v>
      </c>
      <c r="C255">
        <v>0.18179999999999999</v>
      </c>
      <c r="D255">
        <v>0.93</v>
      </c>
      <c r="E255">
        <v>0.1045</v>
      </c>
      <c r="F255">
        <v>1</v>
      </c>
      <c r="G255">
        <v>28</v>
      </c>
      <c r="H255">
        <v>29</v>
      </c>
    </row>
    <row r="256" spans="1:8" x14ac:dyDescent="0.3">
      <c r="A256">
        <v>254</v>
      </c>
      <c r="B256">
        <v>255</v>
      </c>
      <c r="C256">
        <v>0.19700000000000001</v>
      </c>
      <c r="D256">
        <v>0.93</v>
      </c>
      <c r="E256">
        <v>8.9599999999999999E-2</v>
      </c>
      <c r="F256">
        <v>1</v>
      </c>
      <c r="G256">
        <v>18</v>
      </c>
      <c r="H256">
        <v>19</v>
      </c>
    </row>
    <row r="257" spans="1:8" x14ac:dyDescent="0.3">
      <c r="A257">
        <v>255</v>
      </c>
      <c r="B257">
        <v>256</v>
      </c>
      <c r="C257">
        <v>0.19700000000000001</v>
      </c>
      <c r="D257">
        <v>0.86</v>
      </c>
      <c r="E257">
        <v>8.9599999999999999E-2</v>
      </c>
      <c r="F257">
        <v>0</v>
      </c>
      <c r="G257">
        <v>7</v>
      </c>
      <c r="H257">
        <v>7</v>
      </c>
    </row>
    <row r="258" spans="1:8" x14ac:dyDescent="0.3">
      <c r="A258">
        <v>256</v>
      </c>
      <c r="B258">
        <v>257</v>
      </c>
      <c r="C258">
        <v>0.18179999999999999</v>
      </c>
      <c r="D258">
        <v>0.86</v>
      </c>
      <c r="E258">
        <v>0.1045</v>
      </c>
      <c r="F258">
        <v>0</v>
      </c>
      <c r="G258">
        <v>6</v>
      </c>
      <c r="H258">
        <v>6</v>
      </c>
    </row>
    <row r="259" spans="1:8" x14ac:dyDescent="0.3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</row>
    <row r="260" spans="1:8" x14ac:dyDescent="0.3">
      <c r="A260">
        <v>258</v>
      </c>
      <c r="B260">
        <v>259</v>
      </c>
      <c r="C260">
        <v>0.1515</v>
      </c>
      <c r="D260">
        <v>0.86</v>
      </c>
      <c r="E260">
        <v>0.16420000000000001</v>
      </c>
      <c r="F260">
        <v>0</v>
      </c>
      <c r="G260">
        <v>5</v>
      </c>
      <c r="H260">
        <v>5</v>
      </c>
    </row>
    <row r="261" spans="1:8" x14ac:dyDescent="0.3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</row>
    <row r="262" spans="1:8" x14ac:dyDescent="0.3">
      <c r="A262">
        <v>260</v>
      </c>
      <c r="B262">
        <v>261</v>
      </c>
      <c r="C262">
        <v>0.1515</v>
      </c>
      <c r="D262">
        <v>0.69</v>
      </c>
      <c r="E262">
        <v>0.1343</v>
      </c>
      <c r="F262">
        <v>0</v>
      </c>
      <c r="G262">
        <v>54</v>
      </c>
      <c r="H262">
        <v>54</v>
      </c>
    </row>
    <row r="263" spans="1:8" x14ac:dyDescent="0.3">
      <c r="A263">
        <v>261</v>
      </c>
      <c r="B263">
        <v>262</v>
      </c>
      <c r="C263">
        <v>0.16669999999999999</v>
      </c>
      <c r="D263">
        <v>0.59</v>
      </c>
      <c r="E263">
        <v>0.16420000000000001</v>
      </c>
      <c r="F263">
        <v>3</v>
      </c>
      <c r="G263">
        <v>125</v>
      </c>
      <c r="H263">
        <v>128</v>
      </c>
    </row>
    <row r="264" spans="1:8" x14ac:dyDescent="0.3">
      <c r="A264">
        <v>262</v>
      </c>
      <c r="B264">
        <v>263</v>
      </c>
      <c r="C264">
        <v>0.13639999999999999</v>
      </c>
      <c r="D264">
        <v>0.59</v>
      </c>
      <c r="E264">
        <v>0.32840000000000003</v>
      </c>
      <c r="F264">
        <v>3</v>
      </c>
      <c r="G264">
        <v>78</v>
      </c>
      <c r="H264">
        <v>81</v>
      </c>
    </row>
    <row r="265" spans="1:8" x14ac:dyDescent="0.3">
      <c r="A265">
        <v>263</v>
      </c>
      <c r="B265">
        <v>264</v>
      </c>
      <c r="C265">
        <v>0.18179999999999999</v>
      </c>
      <c r="D265">
        <v>0.55000000000000004</v>
      </c>
      <c r="E265">
        <v>0.22389999999999999</v>
      </c>
      <c r="F265">
        <v>0</v>
      </c>
      <c r="G265">
        <v>39</v>
      </c>
      <c r="H265">
        <v>39</v>
      </c>
    </row>
    <row r="266" spans="1:8" x14ac:dyDescent="0.3">
      <c r="A266">
        <v>264</v>
      </c>
      <c r="B266">
        <v>265</v>
      </c>
      <c r="C266">
        <v>0.18179999999999999</v>
      </c>
      <c r="D266">
        <v>0.51</v>
      </c>
      <c r="E266">
        <v>0.3881</v>
      </c>
      <c r="F266">
        <v>3</v>
      </c>
      <c r="G266">
        <v>32</v>
      </c>
      <c r="H266">
        <v>35</v>
      </c>
    </row>
    <row r="267" spans="1:8" x14ac:dyDescent="0.3">
      <c r="A267">
        <v>265</v>
      </c>
      <c r="B267">
        <v>266</v>
      </c>
      <c r="C267">
        <v>0.1515</v>
      </c>
      <c r="D267">
        <v>0.47</v>
      </c>
      <c r="E267">
        <v>0.58209999999999995</v>
      </c>
      <c r="F267">
        <v>3</v>
      </c>
      <c r="G267">
        <v>52</v>
      </c>
      <c r="H267">
        <v>55</v>
      </c>
    </row>
    <row r="268" spans="1:8" x14ac:dyDescent="0.3">
      <c r="A268">
        <v>266</v>
      </c>
      <c r="B268">
        <v>267</v>
      </c>
      <c r="C268">
        <v>0.19700000000000001</v>
      </c>
      <c r="D268">
        <v>0.44</v>
      </c>
      <c r="E268">
        <v>0.35820000000000002</v>
      </c>
      <c r="F268">
        <v>0</v>
      </c>
      <c r="G268">
        <v>49</v>
      </c>
      <c r="H268">
        <v>49</v>
      </c>
    </row>
    <row r="269" spans="1:8" x14ac:dyDescent="0.3">
      <c r="A269">
        <v>267</v>
      </c>
      <c r="B269">
        <v>268</v>
      </c>
      <c r="C269">
        <v>0.18179999999999999</v>
      </c>
      <c r="D269">
        <v>0.47</v>
      </c>
      <c r="E269">
        <v>0.32840000000000003</v>
      </c>
      <c r="F269">
        <v>0</v>
      </c>
      <c r="G269">
        <v>44</v>
      </c>
      <c r="H269">
        <v>44</v>
      </c>
    </row>
    <row r="270" spans="1:8" x14ac:dyDescent="0.3">
      <c r="A270">
        <v>268</v>
      </c>
      <c r="B270">
        <v>269</v>
      </c>
      <c r="C270">
        <v>0.16669999999999999</v>
      </c>
      <c r="D270">
        <v>0.47</v>
      </c>
      <c r="E270">
        <v>0.41789999999999999</v>
      </c>
      <c r="F270">
        <v>1</v>
      </c>
      <c r="G270">
        <v>48</v>
      </c>
      <c r="H270">
        <v>49</v>
      </c>
    </row>
    <row r="271" spans="1:8" x14ac:dyDescent="0.3">
      <c r="A271">
        <v>269</v>
      </c>
      <c r="B271">
        <v>270</v>
      </c>
      <c r="C271">
        <v>0.19700000000000001</v>
      </c>
      <c r="D271">
        <v>0.44</v>
      </c>
      <c r="E271">
        <v>0.32840000000000003</v>
      </c>
      <c r="F271">
        <v>5</v>
      </c>
      <c r="G271">
        <v>63</v>
      </c>
      <c r="H271">
        <v>68</v>
      </c>
    </row>
    <row r="272" spans="1:8" x14ac:dyDescent="0.3">
      <c r="A272">
        <v>270</v>
      </c>
      <c r="B272">
        <v>271</v>
      </c>
      <c r="C272">
        <v>0.18179999999999999</v>
      </c>
      <c r="D272">
        <v>0.47</v>
      </c>
      <c r="E272">
        <v>0.35820000000000002</v>
      </c>
      <c r="F272">
        <v>0</v>
      </c>
      <c r="G272">
        <v>139</v>
      </c>
      <c r="H272">
        <v>139</v>
      </c>
    </row>
    <row r="273" spans="1:8" x14ac:dyDescent="0.3">
      <c r="A273">
        <v>271</v>
      </c>
      <c r="B273">
        <v>272</v>
      </c>
      <c r="C273">
        <v>0.1515</v>
      </c>
      <c r="D273">
        <v>0.47</v>
      </c>
      <c r="E273">
        <v>0.52239999999999998</v>
      </c>
      <c r="F273">
        <v>2</v>
      </c>
      <c r="G273">
        <v>135</v>
      </c>
      <c r="H273">
        <v>137</v>
      </c>
    </row>
    <row r="274" spans="1:8" x14ac:dyDescent="0.3">
      <c r="A274">
        <v>272</v>
      </c>
      <c r="B274">
        <v>273</v>
      </c>
      <c r="C274">
        <v>0.1515</v>
      </c>
      <c r="D274">
        <v>0.47</v>
      </c>
      <c r="E274">
        <v>0.41789999999999999</v>
      </c>
      <c r="F274">
        <v>1</v>
      </c>
      <c r="G274">
        <v>82</v>
      </c>
      <c r="H274">
        <v>83</v>
      </c>
    </row>
    <row r="275" spans="1:8" x14ac:dyDescent="0.3">
      <c r="A275">
        <v>273</v>
      </c>
      <c r="B275">
        <v>274</v>
      </c>
      <c r="C275">
        <v>0.13639999999999999</v>
      </c>
      <c r="D275">
        <v>0.5</v>
      </c>
      <c r="E275">
        <v>0.32840000000000003</v>
      </c>
      <c r="F275">
        <v>2</v>
      </c>
      <c r="G275">
        <v>54</v>
      </c>
      <c r="H275">
        <v>56</v>
      </c>
    </row>
    <row r="276" spans="1:8" x14ac:dyDescent="0.3">
      <c r="A276">
        <v>274</v>
      </c>
      <c r="B276">
        <v>275</v>
      </c>
      <c r="C276">
        <v>0.13639999999999999</v>
      </c>
      <c r="D276">
        <v>0.55000000000000004</v>
      </c>
      <c r="E276">
        <v>0.32840000000000003</v>
      </c>
      <c r="F276">
        <v>0</v>
      </c>
      <c r="G276">
        <v>57</v>
      </c>
      <c r="H276">
        <v>57</v>
      </c>
    </row>
    <row r="277" spans="1:8" x14ac:dyDescent="0.3">
      <c r="A277">
        <v>275</v>
      </c>
      <c r="B277">
        <v>276</v>
      </c>
      <c r="C277">
        <v>0.1212</v>
      </c>
      <c r="D277">
        <v>0.55000000000000004</v>
      </c>
      <c r="E277">
        <v>0.44779999999999998</v>
      </c>
      <c r="F277">
        <v>1</v>
      </c>
      <c r="G277">
        <v>32</v>
      </c>
      <c r="H277">
        <v>33</v>
      </c>
    </row>
    <row r="278" spans="1:8" x14ac:dyDescent="0.3">
      <c r="A278">
        <v>276</v>
      </c>
      <c r="B278">
        <v>277</v>
      </c>
      <c r="C278">
        <v>0.1061</v>
      </c>
      <c r="D278">
        <v>0.59</v>
      </c>
      <c r="E278">
        <v>0.41789999999999999</v>
      </c>
      <c r="F278">
        <v>1</v>
      </c>
      <c r="G278">
        <v>19</v>
      </c>
      <c r="H278">
        <v>20</v>
      </c>
    </row>
    <row r="279" spans="1:8" x14ac:dyDescent="0.3">
      <c r="A279">
        <v>277</v>
      </c>
      <c r="B279">
        <v>278</v>
      </c>
      <c r="C279">
        <v>0.1212</v>
      </c>
      <c r="D279">
        <v>0.59</v>
      </c>
      <c r="E279">
        <v>0.28360000000000002</v>
      </c>
      <c r="F279">
        <v>1</v>
      </c>
      <c r="G279">
        <v>6</v>
      </c>
      <c r="H279">
        <v>7</v>
      </c>
    </row>
    <row r="280" spans="1:8" x14ac:dyDescent="0.3">
      <c r="A280">
        <v>278</v>
      </c>
      <c r="B280">
        <v>279</v>
      </c>
      <c r="C280">
        <v>0.1212</v>
      </c>
      <c r="D280">
        <v>0.5</v>
      </c>
      <c r="E280">
        <v>0.28360000000000002</v>
      </c>
      <c r="F280">
        <v>0</v>
      </c>
      <c r="G280">
        <v>2</v>
      </c>
      <c r="H280">
        <v>2</v>
      </c>
    </row>
    <row r="281" spans="1:8" x14ac:dyDescent="0.3">
      <c r="A281">
        <v>279</v>
      </c>
      <c r="B281">
        <v>280</v>
      </c>
      <c r="C281">
        <v>0.1212</v>
      </c>
      <c r="D281">
        <v>0.5</v>
      </c>
      <c r="E281">
        <v>0.35820000000000002</v>
      </c>
      <c r="F281">
        <v>0</v>
      </c>
      <c r="G281">
        <v>2</v>
      </c>
      <c r="H281">
        <v>2</v>
      </c>
    </row>
    <row r="282" spans="1:8" x14ac:dyDescent="0.3">
      <c r="A282">
        <v>280</v>
      </c>
      <c r="B282">
        <v>281</v>
      </c>
      <c r="C282">
        <v>0.1212</v>
      </c>
      <c r="D282">
        <v>0.5</v>
      </c>
      <c r="E282">
        <v>0.32840000000000003</v>
      </c>
      <c r="F282">
        <v>0</v>
      </c>
      <c r="G282">
        <v>3</v>
      </c>
      <c r="H282">
        <v>3</v>
      </c>
    </row>
    <row r="283" spans="1:8" x14ac:dyDescent="0.3">
      <c r="A283">
        <v>281</v>
      </c>
      <c r="B283">
        <v>282</v>
      </c>
      <c r="C283">
        <v>0.1212</v>
      </c>
      <c r="D283">
        <v>0.5</v>
      </c>
      <c r="E283">
        <v>0.25369999999999998</v>
      </c>
      <c r="F283">
        <v>0</v>
      </c>
      <c r="G283">
        <v>4</v>
      </c>
      <c r="H283">
        <v>4</v>
      </c>
    </row>
    <row r="284" spans="1:8" x14ac:dyDescent="0.3">
      <c r="A284">
        <v>282</v>
      </c>
      <c r="B284">
        <v>283</v>
      </c>
      <c r="C284">
        <v>0.1212</v>
      </c>
      <c r="D284">
        <v>0.5</v>
      </c>
      <c r="E284">
        <v>0.29849999999999999</v>
      </c>
      <c r="F284">
        <v>0</v>
      </c>
      <c r="G284">
        <v>3</v>
      </c>
      <c r="H284">
        <v>3</v>
      </c>
    </row>
    <row r="285" spans="1:8" x14ac:dyDescent="0.3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</row>
    <row r="286" spans="1:8" x14ac:dyDescent="0.3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</row>
    <row r="287" spans="1:8" x14ac:dyDescent="0.3">
      <c r="A287">
        <v>285</v>
      </c>
      <c r="B287">
        <v>286</v>
      </c>
      <c r="C287">
        <v>0.13639999999999999</v>
      </c>
      <c r="D287">
        <v>0.5</v>
      </c>
      <c r="E287">
        <v>0.19400000000000001</v>
      </c>
      <c r="F287">
        <v>5</v>
      </c>
      <c r="G287">
        <v>197</v>
      </c>
      <c r="H287">
        <v>202</v>
      </c>
    </row>
    <row r="288" spans="1:8" x14ac:dyDescent="0.3">
      <c r="A288">
        <v>286</v>
      </c>
      <c r="B288">
        <v>287</v>
      </c>
      <c r="C288">
        <v>0.1212</v>
      </c>
      <c r="D288">
        <v>0.5</v>
      </c>
      <c r="E288">
        <v>0.32840000000000003</v>
      </c>
      <c r="F288">
        <v>2</v>
      </c>
      <c r="G288">
        <v>137</v>
      </c>
      <c r="H288">
        <v>139</v>
      </c>
    </row>
    <row r="289" spans="1:8" x14ac:dyDescent="0.3">
      <c r="A289">
        <v>287</v>
      </c>
      <c r="B289">
        <v>288</v>
      </c>
      <c r="C289">
        <v>0.13639999999999999</v>
      </c>
      <c r="D289">
        <v>0.5</v>
      </c>
      <c r="E289">
        <v>0.35820000000000002</v>
      </c>
      <c r="F289">
        <v>2</v>
      </c>
      <c r="G289">
        <v>36</v>
      </c>
      <c r="H289">
        <v>38</v>
      </c>
    </row>
    <row r="290" spans="1:8" x14ac:dyDescent="0.3">
      <c r="A290">
        <v>288</v>
      </c>
      <c r="B290">
        <v>289</v>
      </c>
      <c r="C290">
        <v>0.16669999999999999</v>
      </c>
      <c r="D290">
        <v>0.44</v>
      </c>
      <c r="E290">
        <v>0.44779999999999998</v>
      </c>
      <c r="F290">
        <v>4</v>
      </c>
      <c r="G290">
        <v>33</v>
      </c>
      <c r="H290">
        <v>37</v>
      </c>
    </row>
    <row r="291" spans="1:8" x14ac:dyDescent="0.3">
      <c r="A291">
        <v>289</v>
      </c>
      <c r="B291">
        <v>290</v>
      </c>
      <c r="C291">
        <v>0.16669999999999999</v>
      </c>
      <c r="D291">
        <v>0.44</v>
      </c>
      <c r="E291">
        <v>0.41789999999999999</v>
      </c>
      <c r="F291">
        <v>3</v>
      </c>
      <c r="G291">
        <v>49</v>
      </c>
      <c r="H291">
        <v>52</v>
      </c>
    </row>
    <row r="292" spans="1:8" x14ac:dyDescent="0.3">
      <c r="A292">
        <v>290</v>
      </c>
      <c r="B292">
        <v>291</v>
      </c>
      <c r="C292">
        <v>0.19700000000000001</v>
      </c>
      <c r="D292">
        <v>0.41</v>
      </c>
      <c r="E292">
        <v>0.44779999999999998</v>
      </c>
      <c r="F292">
        <v>2</v>
      </c>
      <c r="G292">
        <v>81</v>
      </c>
      <c r="H292">
        <v>83</v>
      </c>
    </row>
    <row r="293" spans="1:8" x14ac:dyDescent="0.3">
      <c r="A293">
        <v>291</v>
      </c>
      <c r="B293">
        <v>292</v>
      </c>
      <c r="C293">
        <v>0.19700000000000001</v>
      </c>
      <c r="D293">
        <v>0.41</v>
      </c>
      <c r="E293">
        <v>0.3881</v>
      </c>
      <c r="F293">
        <v>3</v>
      </c>
      <c r="G293">
        <v>39</v>
      </c>
      <c r="H293">
        <v>42</v>
      </c>
    </row>
    <row r="294" spans="1:8" x14ac:dyDescent="0.3">
      <c r="A294">
        <v>292</v>
      </c>
      <c r="B294">
        <v>293</v>
      </c>
      <c r="C294">
        <v>0.21210000000000001</v>
      </c>
      <c r="D294">
        <v>0.38</v>
      </c>
      <c r="E294">
        <v>0.29849999999999999</v>
      </c>
      <c r="F294">
        <v>5</v>
      </c>
      <c r="G294">
        <v>55</v>
      </c>
      <c r="H294">
        <v>60</v>
      </c>
    </row>
    <row r="295" spans="1:8" x14ac:dyDescent="0.3">
      <c r="A295">
        <v>293</v>
      </c>
      <c r="B295">
        <v>294</v>
      </c>
      <c r="C295">
        <v>0.21210000000000001</v>
      </c>
      <c r="D295">
        <v>0.38</v>
      </c>
      <c r="E295">
        <v>0.35820000000000002</v>
      </c>
      <c r="F295">
        <v>2</v>
      </c>
      <c r="G295">
        <v>76</v>
      </c>
      <c r="H295">
        <v>78</v>
      </c>
    </row>
    <row r="296" spans="1:8" x14ac:dyDescent="0.3">
      <c r="A296">
        <v>294</v>
      </c>
      <c r="B296">
        <v>295</v>
      </c>
      <c r="C296">
        <v>0.18179999999999999</v>
      </c>
      <c r="D296">
        <v>0.4</v>
      </c>
      <c r="E296">
        <v>0.28360000000000002</v>
      </c>
      <c r="F296">
        <v>4</v>
      </c>
      <c r="G296">
        <v>158</v>
      </c>
      <c r="H296">
        <v>162</v>
      </c>
    </row>
    <row r="297" spans="1:8" x14ac:dyDescent="0.3">
      <c r="A297">
        <v>295</v>
      </c>
      <c r="B297">
        <v>296</v>
      </c>
      <c r="C297">
        <v>0.18179999999999999</v>
      </c>
      <c r="D297">
        <v>0.4</v>
      </c>
      <c r="E297">
        <v>0.32840000000000003</v>
      </c>
      <c r="F297">
        <v>3</v>
      </c>
      <c r="G297">
        <v>141</v>
      </c>
      <c r="H297">
        <v>144</v>
      </c>
    </row>
    <row r="298" spans="1:8" x14ac:dyDescent="0.3">
      <c r="A298">
        <v>296</v>
      </c>
      <c r="B298">
        <v>297</v>
      </c>
      <c r="C298">
        <v>0.1515</v>
      </c>
      <c r="D298">
        <v>0.47</v>
      </c>
      <c r="E298">
        <v>0.25369999999999998</v>
      </c>
      <c r="F298">
        <v>1</v>
      </c>
      <c r="G298">
        <v>98</v>
      </c>
      <c r="H298">
        <v>99</v>
      </c>
    </row>
    <row r="299" spans="1:8" x14ac:dyDescent="0.3">
      <c r="A299">
        <v>297</v>
      </c>
      <c r="B299">
        <v>298</v>
      </c>
      <c r="C299">
        <v>0.1515</v>
      </c>
      <c r="D299">
        <v>0.47</v>
      </c>
      <c r="E299">
        <v>0.22389999999999999</v>
      </c>
      <c r="F299">
        <v>0</v>
      </c>
      <c r="G299">
        <v>64</v>
      </c>
      <c r="H299">
        <v>64</v>
      </c>
    </row>
    <row r="300" spans="1:8" x14ac:dyDescent="0.3">
      <c r="A300">
        <v>298</v>
      </c>
      <c r="B300">
        <v>299</v>
      </c>
      <c r="C300">
        <v>0.1212</v>
      </c>
      <c r="D300">
        <v>0.46</v>
      </c>
      <c r="E300">
        <v>0.29849999999999999</v>
      </c>
      <c r="F300">
        <v>0</v>
      </c>
      <c r="G300">
        <v>40</v>
      </c>
      <c r="H300">
        <v>40</v>
      </c>
    </row>
    <row r="301" spans="1:8" x14ac:dyDescent="0.3">
      <c r="A301">
        <v>299</v>
      </c>
      <c r="B301">
        <v>300</v>
      </c>
      <c r="C301">
        <v>0.1212</v>
      </c>
      <c r="D301">
        <v>0.46</v>
      </c>
      <c r="E301">
        <v>0.32840000000000003</v>
      </c>
      <c r="F301">
        <v>0</v>
      </c>
      <c r="G301">
        <v>30</v>
      </c>
      <c r="H301">
        <v>30</v>
      </c>
    </row>
    <row r="302" spans="1:8" x14ac:dyDescent="0.3">
      <c r="A302">
        <v>300</v>
      </c>
      <c r="B302">
        <v>301</v>
      </c>
      <c r="C302">
        <v>0.13639999999999999</v>
      </c>
      <c r="D302">
        <v>0.5</v>
      </c>
      <c r="E302">
        <v>0.19400000000000001</v>
      </c>
      <c r="F302">
        <v>1</v>
      </c>
      <c r="G302">
        <v>14</v>
      </c>
      <c r="H302">
        <v>15</v>
      </c>
    </row>
    <row r="303" spans="1:8" x14ac:dyDescent="0.3">
      <c r="A303">
        <v>301</v>
      </c>
      <c r="B303">
        <v>302</v>
      </c>
      <c r="C303">
        <v>0.13639999999999999</v>
      </c>
      <c r="D303">
        <v>0.5</v>
      </c>
      <c r="E303">
        <v>0.19400000000000001</v>
      </c>
      <c r="F303">
        <v>0</v>
      </c>
      <c r="G303">
        <v>14</v>
      </c>
      <c r="H303">
        <v>14</v>
      </c>
    </row>
    <row r="304" spans="1:8" x14ac:dyDescent="0.3">
      <c r="A304">
        <v>302</v>
      </c>
      <c r="B304">
        <v>303</v>
      </c>
      <c r="C304">
        <v>0.1212</v>
      </c>
      <c r="D304">
        <v>0.54</v>
      </c>
      <c r="E304">
        <v>0.16420000000000001</v>
      </c>
      <c r="F304">
        <v>0</v>
      </c>
      <c r="G304">
        <v>5</v>
      </c>
      <c r="H304">
        <v>5</v>
      </c>
    </row>
    <row r="305" spans="1:8" x14ac:dyDescent="0.3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</row>
    <row r="306" spans="1:8" x14ac:dyDescent="0.3">
      <c r="A306">
        <v>304</v>
      </c>
      <c r="B306">
        <v>305</v>
      </c>
      <c r="C306">
        <v>0.13639999999999999</v>
      </c>
      <c r="D306">
        <v>0.54</v>
      </c>
      <c r="E306">
        <v>0.1045</v>
      </c>
      <c r="F306">
        <v>0</v>
      </c>
      <c r="G306">
        <v>1</v>
      </c>
      <c r="H306">
        <v>1</v>
      </c>
    </row>
    <row r="307" spans="1:8" x14ac:dyDescent="0.3">
      <c r="A307">
        <v>305</v>
      </c>
      <c r="B307">
        <v>306</v>
      </c>
      <c r="C307">
        <v>0.13639999999999999</v>
      </c>
      <c r="D307">
        <v>0.54</v>
      </c>
      <c r="E307">
        <v>8.9599999999999999E-2</v>
      </c>
      <c r="F307">
        <v>0</v>
      </c>
      <c r="G307">
        <v>8</v>
      </c>
      <c r="H307">
        <v>8</v>
      </c>
    </row>
    <row r="308" spans="1:8" x14ac:dyDescent="0.3">
      <c r="A308">
        <v>306</v>
      </c>
      <c r="B308">
        <v>307</v>
      </c>
      <c r="C308">
        <v>0.18179999999999999</v>
      </c>
      <c r="D308">
        <v>0.54</v>
      </c>
      <c r="E308">
        <v>0</v>
      </c>
      <c r="F308">
        <v>0</v>
      </c>
      <c r="G308">
        <v>17</v>
      </c>
      <c r="H308">
        <v>17</v>
      </c>
    </row>
    <row r="309" spans="1:8" x14ac:dyDescent="0.3">
      <c r="A309">
        <v>307</v>
      </c>
      <c r="B309">
        <v>308</v>
      </c>
      <c r="C309">
        <v>0.1212</v>
      </c>
      <c r="D309">
        <v>0.74</v>
      </c>
      <c r="E309">
        <v>0.16420000000000001</v>
      </c>
      <c r="F309">
        <v>0</v>
      </c>
      <c r="G309">
        <v>70</v>
      </c>
      <c r="H309">
        <v>70</v>
      </c>
    </row>
    <row r="310" spans="1:8" x14ac:dyDescent="0.3">
      <c r="A310">
        <v>308</v>
      </c>
      <c r="B310">
        <v>309</v>
      </c>
      <c r="C310">
        <v>0.16669999999999999</v>
      </c>
      <c r="D310">
        <v>0.68</v>
      </c>
      <c r="E310">
        <v>0</v>
      </c>
      <c r="F310">
        <v>2</v>
      </c>
      <c r="G310">
        <v>156</v>
      </c>
      <c r="H310">
        <v>158</v>
      </c>
    </row>
    <row r="311" spans="1:8" x14ac:dyDescent="0.3">
      <c r="A311">
        <v>309</v>
      </c>
      <c r="B311">
        <v>310</v>
      </c>
      <c r="C311">
        <v>0.1515</v>
      </c>
      <c r="D311">
        <v>0.69</v>
      </c>
      <c r="E311">
        <v>0.1343</v>
      </c>
      <c r="F311">
        <v>0</v>
      </c>
      <c r="G311">
        <v>117</v>
      </c>
      <c r="H311">
        <v>117</v>
      </c>
    </row>
    <row r="312" spans="1:8" x14ac:dyDescent="0.3">
      <c r="A312">
        <v>310</v>
      </c>
      <c r="B312">
        <v>311</v>
      </c>
      <c r="C312">
        <v>0.18179999999999999</v>
      </c>
      <c r="D312">
        <v>0.55000000000000004</v>
      </c>
      <c r="E312">
        <v>0.19400000000000001</v>
      </c>
      <c r="F312">
        <v>4</v>
      </c>
      <c r="G312">
        <v>40</v>
      </c>
      <c r="H312">
        <v>44</v>
      </c>
    </row>
    <row r="313" spans="1:8" x14ac:dyDescent="0.3">
      <c r="A313">
        <v>311</v>
      </c>
      <c r="B313">
        <v>312</v>
      </c>
      <c r="C313">
        <v>0.16669999999999999</v>
      </c>
      <c r="D313">
        <v>0.51</v>
      </c>
      <c r="E313">
        <v>0.28360000000000002</v>
      </c>
      <c r="F313">
        <v>6</v>
      </c>
      <c r="G313">
        <v>47</v>
      </c>
      <c r="H313">
        <v>53</v>
      </c>
    </row>
    <row r="314" spans="1:8" x14ac:dyDescent="0.3">
      <c r="A314">
        <v>312</v>
      </c>
      <c r="B314">
        <v>313</v>
      </c>
      <c r="C314">
        <v>0.19700000000000001</v>
      </c>
      <c r="D314">
        <v>0.44</v>
      </c>
      <c r="E314">
        <v>0.25369999999999998</v>
      </c>
      <c r="F314">
        <v>2</v>
      </c>
      <c r="G314">
        <v>59</v>
      </c>
      <c r="H314">
        <v>61</v>
      </c>
    </row>
    <row r="315" spans="1:8" x14ac:dyDescent="0.3">
      <c r="A315">
        <v>313</v>
      </c>
      <c r="B315">
        <v>314</v>
      </c>
      <c r="C315">
        <v>0.19700000000000001</v>
      </c>
      <c r="D315">
        <v>0.37</v>
      </c>
      <c r="E315">
        <v>0.3881</v>
      </c>
      <c r="F315">
        <v>4</v>
      </c>
      <c r="G315">
        <v>73</v>
      </c>
      <c r="H315">
        <v>77</v>
      </c>
    </row>
    <row r="316" spans="1:8" x14ac:dyDescent="0.3">
      <c r="A316">
        <v>314</v>
      </c>
      <c r="B316">
        <v>315</v>
      </c>
      <c r="C316">
        <v>0.21210000000000001</v>
      </c>
      <c r="D316">
        <v>0.41</v>
      </c>
      <c r="E316">
        <v>0.28360000000000002</v>
      </c>
      <c r="F316">
        <v>5</v>
      </c>
      <c r="G316">
        <v>59</v>
      </c>
      <c r="H316">
        <v>64</v>
      </c>
    </row>
    <row r="317" spans="1:8" x14ac:dyDescent="0.3">
      <c r="A317">
        <v>315</v>
      </c>
      <c r="B317">
        <v>316</v>
      </c>
      <c r="C317">
        <v>0.2424</v>
      </c>
      <c r="D317">
        <v>0.38</v>
      </c>
      <c r="E317">
        <v>0.16420000000000001</v>
      </c>
      <c r="F317">
        <v>9</v>
      </c>
      <c r="G317">
        <v>59</v>
      </c>
      <c r="H317">
        <v>68</v>
      </c>
    </row>
    <row r="318" spans="1:8" x14ac:dyDescent="0.3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</row>
    <row r="319" spans="1:8" x14ac:dyDescent="0.3">
      <c r="A319">
        <v>317</v>
      </c>
      <c r="B319">
        <v>318</v>
      </c>
      <c r="C319">
        <v>0.2273</v>
      </c>
      <c r="D319">
        <v>0.41</v>
      </c>
      <c r="E319">
        <v>0.16420000000000001</v>
      </c>
      <c r="F319">
        <v>4</v>
      </c>
      <c r="G319">
        <v>155</v>
      </c>
      <c r="H319">
        <v>159</v>
      </c>
    </row>
    <row r="320" spans="1:8" x14ac:dyDescent="0.3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</row>
    <row r="321" spans="1:8" x14ac:dyDescent="0.3">
      <c r="A321">
        <v>319</v>
      </c>
      <c r="B321">
        <v>320</v>
      </c>
      <c r="C321">
        <v>0.19700000000000001</v>
      </c>
      <c r="D321">
        <v>0.59</v>
      </c>
      <c r="E321">
        <v>8.9599999999999999E-2</v>
      </c>
      <c r="F321">
        <v>3</v>
      </c>
      <c r="G321">
        <v>89</v>
      </c>
      <c r="H321">
        <v>92</v>
      </c>
    </row>
    <row r="322" spans="1:8" x14ac:dyDescent="0.3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</row>
    <row r="323" spans="1:8" x14ac:dyDescent="0.3">
      <c r="A323">
        <v>321</v>
      </c>
      <c r="B323">
        <v>322</v>
      </c>
      <c r="C323">
        <v>0.2273</v>
      </c>
      <c r="D323">
        <v>0.69</v>
      </c>
      <c r="E323">
        <v>0</v>
      </c>
      <c r="F323">
        <v>4</v>
      </c>
      <c r="G323">
        <v>48</v>
      </c>
      <c r="H323">
        <v>52</v>
      </c>
    </row>
    <row r="324" spans="1:8" x14ac:dyDescent="0.3">
      <c r="A324">
        <v>322</v>
      </c>
      <c r="B324">
        <v>323</v>
      </c>
      <c r="C324">
        <v>0.2273</v>
      </c>
      <c r="D324">
        <v>0.69</v>
      </c>
      <c r="E324">
        <v>0</v>
      </c>
      <c r="F324">
        <v>2</v>
      </c>
      <c r="G324">
        <v>34</v>
      </c>
      <c r="H324">
        <v>36</v>
      </c>
    </row>
    <row r="325" spans="1:8" x14ac:dyDescent="0.3">
      <c r="A325">
        <v>323</v>
      </c>
      <c r="B325">
        <v>324</v>
      </c>
      <c r="C325">
        <v>0.2424</v>
      </c>
      <c r="D325">
        <v>0.55000000000000004</v>
      </c>
      <c r="E325">
        <v>0</v>
      </c>
      <c r="F325">
        <v>1</v>
      </c>
      <c r="G325">
        <v>26</v>
      </c>
      <c r="H325">
        <v>27</v>
      </c>
    </row>
    <row r="326" spans="1:8" x14ac:dyDescent="0.3">
      <c r="A326">
        <v>324</v>
      </c>
      <c r="B326">
        <v>325</v>
      </c>
      <c r="C326">
        <v>0.2424</v>
      </c>
      <c r="D326">
        <v>0.55000000000000004</v>
      </c>
      <c r="E326">
        <v>0</v>
      </c>
      <c r="F326">
        <v>3</v>
      </c>
      <c r="G326">
        <v>25</v>
      </c>
      <c r="H326">
        <v>28</v>
      </c>
    </row>
    <row r="327" spans="1:8" x14ac:dyDescent="0.3">
      <c r="A327">
        <v>325</v>
      </c>
      <c r="B327">
        <v>326</v>
      </c>
      <c r="C327">
        <v>0.19700000000000001</v>
      </c>
      <c r="D327">
        <v>0.59</v>
      </c>
      <c r="E327">
        <v>8.9599999999999999E-2</v>
      </c>
      <c r="F327">
        <v>2</v>
      </c>
      <c r="G327">
        <v>18</v>
      </c>
      <c r="H327">
        <v>20</v>
      </c>
    </row>
    <row r="328" spans="1:8" x14ac:dyDescent="0.3">
      <c r="A328">
        <v>326</v>
      </c>
      <c r="B328">
        <v>327</v>
      </c>
      <c r="C328">
        <v>0.19700000000000001</v>
      </c>
      <c r="D328">
        <v>0.59</v>
      </c>
      <c r="E328">
        <v>8.9599999999999999E-2</v>
      </c>
      <c r="F328">
        <v>0</v>
      </c>
      <c r="G328">
        <v>12</v>
      </c>
      <c r="H328">
        <v>12</v>
      </c>
    </row>
    <row r="329" spans="1:8" x14ac:dyDescent="0.3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</row>
    <row r="330" spans="1:8" x14ac:dyDescent="0.3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</row>
    <row r="331" spans="1:8" x14ac:dyDescent="0.3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</row>
    <row r="332" spans="1:8" x14ac:dyDescent="0.3">
      <c r="A332">
        <v>330</v>
      </c>
      <c r="B332">
        <v>331</v>
      </c>
      <c r="C332">
        <v>0.16669999999999999</v>
      </c>
      <c r="D332">
        <v>0.63</v>
      </c>
      <c r="E332">
        <v>0.1045</v>
      </c>
      <c r="F332">
        <v>1</v>
      </c>
      <c r="G332">
        <v>2</v>
      </c>
      <c r="H332">
        <v>3</v>
      </c>
    </row>
    <row r="333" spans="1:8" x14ac:dyDescent="0.3">
      <c r="A333">
        <v>331</v>
      </c>
      <c r="B333">
        <v>332</v>
      </c>
      <c r="C333">
        <v>0.21210000000000001</v>
      </c>
      <c r="D333">
        <v>0.63</v>
      </c>
      <c r="E333">
        <v>0</v>
      </c>
      <c r="F333">
        <v>1</v>
      </c>
      <c r="G333">
        <v>9</v>
      </c>
      <c r="H333">
        <v>10</v>
      </c>
    </row>
    <row r="334" spans="1:8" x14ac:dyDescent="0.3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</row>
    <row r="335" spans="1:8" x14ac:dyDescent="0.3">
      <c r="A335">
        <v>333</v>
      </c>
      <c r="B335">
        <v>334</v>
      </c>
      <c r="C335">
        <v>0.18179999999999999</v>
      </c>
      <c r="D335">
        <v>0.64</v>
      </c>
      <c r="E335">
        <v>0.1343</v>
      </c>
      <c r="F335">
        <v>2</v>
      </c>
      <c r="G335">
        <v>31</v>
      </c>
      <c r="H335">
        <v>33</v>
      </c>
    </row>
    <row r="336" spans="1:8" x14ac:dyDescent="0.3">
      <c r="A336">
        <v>334</v>
      </c>
      <c r="B336">
        <v>335</v>
      </c>
      <c r="C336">
        <v>0.19700000000000001</v>
      </c>
      <c r="D336">
        <v>0.59</v>
      </c>
      <c r="E336">
        <v>0.16420000000000001</v>
      </c>
      <c r="F336">
        <v>2</v>
      </c>
      <c r="G336">
        <v>57</v>
      </c>
      <c r="H336">
        <v>59</v>
      </c>
    </row>
    <row r="337" spans="1:8" x14ac:dyDescent="0.3">
      <c r="A337">
        <v>335</v>
      </c>
      <c r="B337">
        <v>336</v>
      </c>
      <c r="C337">
        <v>0.19700000000000001</v>
      </c>
      <c r="D337">
        <v>0.55000000000000004</v>
      </c>
      <c r="E337">
        <v>0.22389999999999999</v>
      </c>
      <c r="F337">
        <v>18</v>
      </c>
      <c r="G337">
        <v>54</v>
      </c>
      <c r="H337">
        <v>72</v>
      </c>
    </row>
    <row r="338" spans="1:8" x14ac:dyDescent="0.3">
      <c r="A338">
        <v>336</v>
      </c>
      <c r="B338">
        <v>337</v>
      </c>
      <c r="C338">
        <v>0.2273</v>
      </c>
      <c r="D338">
        <v>0.48</v>
      </c>
      <c r="E338">
        <v>0.22389999999999999</v>
      </c>
      <c r="F338">
        <v>15</v>
      </c>
      <c r="G338">
        <v>74</v>
      </c>
      <c r="H338">
        <v>89</v>
      </c>
    </row>
    <row r="339" spans="1:8" x14ac:dyDescent="0.3">
      <c r="A339">
        <v>337</v>
      </c>
      <c r="B339">
        <v>338</v>
      </c>
      <c r="C339">
        <v>0.2576</v>
      </c>
      <c r="D339">
        <v>0.38</v>
      </c>
      <c r="E339">
        <v>0.29849999999999999</v>
      </c>
      <c r="F339">
        <v>21</v>
      </c>
      <c r="G339">
        <v>80</v>
      </c>
      <c r="H339">
        <v>101</v>
      </c>
    </row>
    <row r="340" spans="1:8" x14ac:dyDescent="0.3">
      <c r="A340">
        <v>338</v>
      </c>
      <c r="B340">
        <v>339</v>
      </c>
      <c r="C340">
        <v>0.28789999999999999</v>
      </c>
      <c r="D340">
        <v>0.39</v>
      </c>
      <c r="E340">
        <v>0.28360000000000002</v>
      </c>
      <c r="F340">
        <v>26</v>
      </c>
      <c r="G340">
        <v>92</v>
      </c>
      <c r="H340">
        <v>118</v>
      </c>
    </row>
    <row r="341" spans="1:8" x14ac:dyDescent="0.3">
      <c r="A341">
        <v>339</v>
      </c>
      <c r="B341">
        <v>340</v>
      </c>
      <c r="C341">
        <v>0.31819999999999998</v>
      </c>
      <c r="D341">
        <v>0.36</v>
      </c>
      <c r="E341">
        <v>0.19400000000000001</v>
      </c>
      <c r="F341">
        <v>21</v>
      </c>
      <c r="G341">
        <v>108</v>
      </c>
      <c r="H341">
        <v>129</v>
      </c>
    </row>
    <row r="342" spans="1:8" x14ac:dyDescent="0.3">
      <c r="A342">
        <v>340</v>
      </c>
      <c r="B342">
        <v>341</v>
      </c>
      <c r="C342">
        <v>0.33329999999999999</v>
      </c>
      <c r="D342">
        <v>0.34</v>
      </c>
      <c r="E342">
        <v>0.19400000000000001</v>
      </c>
      <c r="F342">
        <v>33</v>
      </c>
      <c r="G342">
        <v>95</v>
      </c>
      <c r="H342">
        <v>128</v>
      </c>
    </row>
    <row r="343" spans="1:8" x14ac:dyDescent="0.3">
      <c r="A343">
        <v>341</v>
      </c>
      <c r="B343">
        <v>342</v>
      </c>
      <c r="C343">
        <v>0.30299999999999999</v>
      </c>
      <c r="D343">
        <v>0.36</v>
      </c>
      <c r="E343">
        <v>0.28360000000000002</v>
      </c>
      <c r="F343">
        <v>29</v>
      </c>
      <c r="G343">
        <v>54</v>
      </c>
      <c r="H343">
        <v>83</v>
      </c>
    </row>
    <row r="344" spans="1:8" x14ac:dyDescent="0.3">
      <c r="A344">
        <v>342</v>
      </c>
      <c r="B344">
        <v>343</v>
      </c>
      <c r="C344">
        <v>0.28789999999999999</v>
      </c>
      <c r="D344">
        <v>0.45</v>
      </c>
      <c r="E344">
        <v>0.25369999999999998</v>
      </c>
      <c r="F344">
        <v>15</v>
      </c>
      <c r="G344">
        <v>69</v>
      </c>
      <c r="H344">
        <v>84</v>
      </c>
    </row>
    <row r="345" spans="1:8" x14ac:dyDescent="0.3">
      <c r="A345">
        <v>343</v>
      </c>
      <c r="B345">
        <v>344</v>
      </c>
      <c r="C345">
        <v>0.30299999999999999</v>
      </c>
      <c r="D345">
        <v>0.39</v>
      </c>
      <c r="E345">
        <v>0.25369999999999998</v>
      </c>
      <c r="F345">
        <v>14</v>
      </c>
      <c r="G345">
        <v>60</v>
      </c>
      <c r="H345">
        <v>74</v>
      </c>
    </row>
    <row r="346" spans="1:8" x14ac:dyDescent="0.3">
      <c r="A346">
        <v>344</v>
      </c>
      <c r="B346">
        <v>345</v>
      </c>
      <c r="C346">
        <v>0.30299999999999999</v>
      </c>
      <c r="D346">
        <v>0.39</v>
      </c>
      <c r="E346">
        <v>0.25369999999999998</v>
      </c>
      <c r="F346">
        <v>6</v>
      </c>
      <c r="G346">
        <v>35</v>
      </c>
      <c r="H346">
        <v>41</v>
      </c>
    </row>
    <row r="347" spans="1:8" x14ac:dyDescent="0.3">
      <c r="A347">
        <v>345</v>
      </c>
      <c r="B347">
        <v>346</v>
      </c>
      <c r="C347">
        <v>0.30299999999999999</v>
      </c>
      <c r="D347">
        <v>0.39</v>
      </c>
      <c r="E347">
        <v>0.22389999999999999</v>
      </c>
      <c r="F347">
        <v>6</v>
      </c>
      <c r="G347">
        <v>51</v>
      </c>
      <c r="H347">
        <v>57</v>
      </c>
    </row>
    <row r="348" spans="1:8" x14ac:dyDescent="0.3">
      <c r="A348">
        <v>346</v>
      </c>
      <c r="B348">
        <v>347</v>
      </c>
      <c r="C348">
        <v>0.31819999999999998</v>
      </c>
      <c r="D348">
        <v>0.42</v>
      </c>
      <c r="E348">
        <v>0.1045</v>
      </c>
      <c r="F348">
        <v>0</v>
      </c>
      <c r="G348">
        <v>26</v>
      </c>
      <c r="H348">
        <v>26</v>
      </c>
    </row>
    <row r="349" spans="1:8" x14ac:dyDescent="0.3">
      <c r="A349">
        <v>347</v>
      </c>
      <c r="B349">
        <v>348</v>
      </c>
      <c r="C349">
        <v>0.28789999999999999</v>
      </c>
      <c r="D349">
        <v>0.45</v>
      </c>
      <c r="E349">
        <v>0.28360000000000002</v>
      </c>
      <c r="F349">
        <v>5</v>
      </c>
      <c r="G349">
        <v>39</v>
      </c>
      <c r="H349">
        <v>44</v>
      </c>
    </row>
    <row r="350" spans="1:8" x14ac:dyDescent="0.3">
      <c r="A350">
        <v>348</v>
      </c>
      <c r="B350">
        <v>349</v>
      </c>
      <c r="C350">
        <v>0.30299999999999999</v>
      </c>
      <c r="D350">
        <v>0.56000000000000005</v>
      </c>
      <c r="E350">
        <v>0</v>
      </c>
      <c r="F350">
        <v>6</v>
      </c>
      <c r="G350">
        <v>33</v>
      </c>
      <c r="H350">
        <v>39</v>
      </c>
    </row>
    <row r="351" spans="1:8" x14ac:dyDescent="0.3">
      <c r="A351">
        <v>349</v>
      </c>
      <c r="B351">
        <v>350</v>
      </c>
      <c r="C351">
        <v>0.2727</v>
      </c>
      <c r="D351">
        <v>0.56000000000000005</v>
      </c>
      <c r="E351">
        <v>0.1343</v>
      </c>
      <c r="F351">
        <v>4</v>
      </c>
      <c r="G351">
        <v>19</v>
      </c>
      <c r="H351">
        <v>23</v>
      </c>
    </row>
    <row r="352" spans="1:8" x14ac:dyDescent="0.3">
      <c r="A352">
        <v>350</v>
      </c>
      <c r="B352">
        <v>351</v>
      </c>
      <c r="C352">
        <v>0.28789999999999999</v>
      </c>
      <c r="D352">
        <v>0.56000000000000005</v>
      </c>
      <c r="E352">
        <v>8.9599999999999999E-2</v>
      </c>
      <c r="F352">
        <v>3</v>
      </c>
      <c r="G352">
        <v>13</v>
      </c>
      <c r="H352">
        <v>16</v>
      </c>
    </row>
    <row r="353" spans="1:8" x14ac:dyDescent="0.3">
      <c r="A353">
        <v>351</v>
      </c>
      <c r="B353">
        <v>352</v>
      </c>
      <c r="C353">
        <v>0.2727</v>
      </c>
      <c r="D353">
        <v>0.69</v>
      </c>
      <c r="E353">
        <v>0</v>
      </c>
      <c r="F353">
        <v>9</v>
      </c>
      <c r="G353">
        <v>6</v>
      </c>
      <c r="H353">
        <v>15</v>
      </c>
    </row>
    <row r="354" spans="1:8" x14ac:dyDescent="0.3">
      <c r="A354">
        <v>352</v>
      </c>
      <c r="B354">
        <v>353</v>
      </c>
      <c r="C354">
        <v>0.2576</v>
      </c>
      <c r="D354">
        <v>0.56000000000000005</v>
      </c>
      <c r="E354">
        <v>0.16420000000000001</v>
      </c>
      <c r="F354">
        <v>0</v>
      </c>
      <c r="G354">
        <v>1</v>
      </c>
      <c r="H354">
        <v>1</v>
      </c>
    </row>
    <row r="355" spans="1:8" x14ac:dyDescent="0.3">
      <c r="A355">
        <v>353</v>
      </c>
      <c r="B355">
        <v>354</v>
      </c>
      <c r="C355">
        <v>0.2576</v>
      </c>
      <c r="D355">
        <v>0.56000000000000005</v>
      </c>
      <c r="E355">
        <v>0.16420000000000001</v>
      </c>
      <c r="F355">
        <v>1</v>
      </c>
      <c r="G355">
        <v>1</v>
      </c>
      <c r="H355">
        <v>2</v>
      </c>
    </row>
    <row r="356" spans="1:8" x14ac:dyDescent="0.3">
      <c r="A356">
        <v>354</v>
      </c>
      <c r="B356">
        <v>355</v>
      </c>
      <c r="C356">
        <v>0.2576</v>
      </c>
      <c r="D356">
        <v>0.56000000000000005</v>
      </c>
      <c r="E356">
        <v>0.16420000000000001</v>
      </c>
      <c r="F356">
        <v>0</v>
      </c>
      <c r="G356">
        <v>1</v>
      </c>
      <c r="H356">
        <v>1</v>
      </c>
    </row>
    <row r="357" spans="1:8" x14ac:dyDescent="0.3">
      <c r="A357">
        <v>355</v>
      </c>
      <c r="B357">
        <v>356</v>
      </c>
      <c r="C357">
        <v>0.21210000000000001</v>
      </c>
      <c r="D357">
        <v>0.56000000000000005</v>
      </c>
      <c r="E357">
        <v>0.29849999999999999</v>
      </c>
      <c r="F357">
        <v>0</v>
      </c>
      <c r="G357">
        <v>3</v>
      </c>
      <c r="H357">
        <v>3</v>
      </c>
    </row>
    <row r="358" spans="1:8" x14ac:dyDescent="0.3">
      <c r="A358">
        <v>356</v>
      </c>
      <c r="B358">
        <v>357</v>
      </c>
      <c r="C358">
        <v>0.21210000000000001</v>
      </c>
      <c r="D358">
        <v>0.55000000000000004</v>
      </c>
      <c r="E358">
        <v>0.28360000000000002</v>
      </c>
      <c r="F358">
        <v>0</v>
      </c>
      <c r="G358">
        <v>18</v>
      </c>
      <c r="H358">
        <v>18</v>
      </c>
    </row>
    <row r="359" spans="1:8" x14ac:dyDescent="0.3">
      <c r="A359">
        <v>357</v>
      </c>
      <c r="B359">
        <v>358</v>
      </c>
      <c r="C359">
        <v>0.21210000000000001</v>
      </c>
      <c r="D359">
        <v>0.51</v>
      </c>
      <c r="E359">
        <v>0.25369999999999998</v>
      </c>
      <c r="F359">
        <v>3</v>
      </c>
      <c r="G359">
        <v>29</v>
      </c>
      <c r="H359">
        <v>32</v>
      </c>
    </row>
    <row r="360" spans="1:8" x14ac:dyDescent="0.3">
      <c r="A360">
        <v>358</v>
      </c>
      <c r="B360">
        <v>359</v>
      </c>
      <c r="C360">
        <v>0.21210000000000001</v>
      </c>
      <c r="D360">
        <v>0.51</v>
      </c>
      <c r="E360">
        <v>0.28360000000000002</v>
      </c>
      <c r="F360">
        <v>8</v>
      </c>
      <c r="G360">
        <v>71</v>
      </c>
      <c r="H360">
        <v>79</v>
      </c>
    </row>
    <row r="361" spans="1:8" x14ac:dyDescent="0.3">
      <c r="A361">
        <v>359</v>
      </c>
      <c r="B361">
        <v>360</v>
      </c>
      <c r="C361">
        <v>0.2273</v>
      </c>
      <c r="D361">
        <v>0.44</v>
      </c>
      <c r="E361">
        <v>0.25369999999999998</v>
      </c>
      <c r="F361">
        <v>23</v>
      </c>
      <c r="G361">
        <v>70</v>
      </c>
      <c r="H361">
        <v>93</v>
      </c>
    </row>
    <row r="362" spans="1:8" x14ac:dyDescent="0.3">
      <c r="A362">
        <v>360</v>
      </c>
      <c r="B362">
        <v>361</v>
      </c>
      <c r="C362">
        <v>0.21210000000000001</v>
      </c>
      <c r="D362">
        <v>0.41</v>
      </c>
      <c r="E362">
        <v>0.28360000000000002</v>
      </c>
      <c r="F362">
        <v>29</v>
      </c>
      <c r="G362">
        <v>75</v>
      </c>
      <c r="H362">
        <v>104</v>
      </c>
    </row>
    <row r="363" spans="1:8" x14ac:dyDescent="0.3">
      <c r="A363">
        <v>361</v>
      </c>
      <c r="B363">
        <v>362</v>
      </c>
      <c r="C363">
        <v>0.2273</v>
      </c>
      <c r="D363">
        <v>0.35</v>
      </c>
      <c r="E363">
        <v>0.29849999999999999</v>
      </c>
      <c r="F363">
        <v>23</v>
      </c>
      <c r="G363">
        <v>95</v>
      </c>
      <c r="H363">
        <v>118</v>
      </c>
    </row>
    <row r="364" spans="1:8" x14ac:dyDescent="0.3">
      <c r="A364">
        <v>362</v>
      </c>
      <c r="B364">
        <v>363</v>
      </c>
      <c r="C364">
        <v>0.2727</v>
      </c>
      <c r="D364">
        <v>0.36</v>
      </c>
      <c r="E364">
        <v>0.25369999999999998</v>
      </c>
      <c r="F364">
        <v>22</v>
      </c>
      <c r="G364">
        <v>69</v>
      </c>
      <c r="H364">
        <v>91</v>
      </c>
    </row>
    <row r="365" spans="1:8" x14ac:dyDescent="0.3">
      <c r="A365">
        <v>363</v>
      </c>
      <c r="B365">
        <v>364</v>
      </c>
      <c r="C365">
        <v>0.2424</v>
      </c>
      <c r="D365">
        <v>0.38</v>
      </c>
      <c r="E365">
        <v>0.25369999999999998</v>
      </c>
      <c r="F365">
        <v>35</v>
      </c>
      <c r="G365">
        <v>78</v>
      </c>
      <c r="H365">
        <v>113</v>
      </c>
    </row>
    <row r="366" spans="1:8" x14ac:dyDescent="0.3">
      <c r="A366">
        <v>364</v>
      </c>
      <c r="B366">
        <v>365</v>
      </c>
      <c r="C366">
        <v>0.2273</v>
      </c>
      <c r="D366">
        <v>0.38</v>
      </c>
      <c r="E366">
        <v>0.22389999999999999</v>
      </c>
      <c r="F366">
        <v>22</v>
      </c>
      <c r="G366">
        <v>77</v>
      </c>
      <c r="H366">
        <v>99</v>
      </c>
    </row>
    <row r="367" spans="1:8" x14ac:dyDescent="0.3">
      <c r="A367">
        <v>365</v>
      </c>
      <c r="B367">
        <v>366</v>
      </c>
      <c r="C367">
        <v>0.21210000000000001</v>
      </c>
      <c r="D367">
        <v>0.37</v>
      </c>
      <c r="E367">
        <v>0.25369999999999998</v>
      </c>
      <c r="F367">
        <v>23</v>
      </c>
      <c r="G367">
        <v>82</v>
      </c>
      <c r="H367">
        <v>105</v>
      </c>
    </row>
    <row r="368" spans="1:8" x14ac:dyDescent="0.3">
      <c r="A368">
        <v>366</v>
      </c>
      <c r="B368">
        <v>367</v>
      </c>
      <c r="C368">
        <v>0.21210000000000001</v>
      </c>
      <c r="D368">
        <v>0.4</v>
      </c>
      <c r="E368">
        <v>0.16420000000000001</v>
      </c>
      <c r="F368">
        <v>11</v>
      </c>
      <c r="G368">
        <v>56</v>
      </c>
      <c r="H368">
        <v>67</v>
      </c>
    </row>
    <row r="369" spans="1:8" x14ac:dyDescent="0.3">
      <c r="A369">
        <v>367</v>
      </c>
      <c r="B369">
        <v>368</v>
      </c>
      <c r="C369">
        <v>0.19700000000000001</v>
      </c>
      <c r="D369">
        <v>0.47</v>
      </c>
      <c r="E369">
        <v>0.1343</v>
      </c>
      <c r="F369">
        <v>14</v>
      </c>
      <c r="G369">
        <v>47</v>
      </c>
      <c r="H369">
        <v>61</v>
      </c>
    </row>
    <row r="370" spans="1:8" x14ac:dyDescent="0.3">
      <c r="A370">
        <v>368</v>
      </c>
      <c r="B370">
        <v>369</v>
      </c>
      <c r="C370">
        <v>0.19700000000000001</v>
      </c>
      <c r="D370">
        <v>0.47</v>
      </c>
      <c r="E370">
        <v>0.16420000000000001</v>
      </c>
      <c r="F370">
        <v>7</v>
      </c>
      <c r="G370">
        <v>50</v>
      </c>
      <c r="H370">
        <v>57</v>
      </c>
    </row>
    <row r="371" spans="1:8" x14ac:dyDescent="0.3">
      <c r="A371">
        <v>369</v>
      </c>
      <c r="B371">
        <v>370</v>
      </c>
      <c r="C371">
        <v>0.19700000000000001</v>
      </c>
      <c r="D371">
        <v>0.51</v>
      </c>
      <c r="E371">
        <v>0.16420000000000001</v>
      </c>
      <c r="F371">
        <v>6</v>
      </c>
      <c r="G371">
        <v>22</v>
      </c>
      <c r="H371">
        <v>28</v>
      </c>
    </row>
    <row r="372" spans="1:8" x14ac:dyDescent="0.3">
      <c r="A372">
        <v>370</v>
      </c>
      <c r="B372">
        <v>371</v>
      </c>
      <c r="C372">
        <v>0.21210000000000001</v>
      </c>
      <c r="D372">
        <v>0.49</v>
      </c>
      <c r="E372">
        <v>0.1343</v>
      </c>
      <c r="F372">
        <v>2</v>
      </c>
      <c r="G372">
        <v>19</v>
      </c>
      <c r="H372">
        <v>21</v>
      </c>
    </row>
    <row r="373" spans="1:8" x14ac:dyDescent="0.3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</row>
    <row r="374" spans="1:8" x14ac:dyDescent="0.3">
      <c r="A374">
        <v>372</v>
      </c>
      <c r="B374">
        <v>373</v>
      </c>
      <c r="C374">
        <v>0.19700000000000001</v>
      </c>
      <c r="D374">
        <v>0.47</v>
      </c>
      <c r="E374">
        <v>0.22389999999999999</v>
      </c>
      <c r="F374">
        <v>1</v>
      </c>
      <c r="G374">
        <v>16</v>
      </c>
      <c r="H374">
        <v>17</v>
      </c>
    </row>
    <row r="375" spans="1:8" x14ac:dyDescent="0.3">
      <c r="A375">
        <v>373</v>
      </c>
      <c r="B375">
        <v>374</v>
      </c>
      <c r="C375">
        <v>0.19700000000000001</v>
      </c>
      <c r="D375">
        <v>0.44</v>
      </c>
      <c r="E375">
        <v>0.19400000000000001</v>
      </c>
      <c r="F375">
        <v>1</v>
      </c>
      <c r="G375">
        <v>15</v>
      </c>
      <c r="H375">
        <v>16</v>
      </c>
    </row>
    <row r="376" spans="1:8" x14ac:dyDescent="0.3">
      <c r="A376">
        <v>374</v>
      </c>
      <c r="B376">
        <v>375</v>
      </c>
      <c r="C376">
        <v>0.16669999999999999</v>
      </c>
      <c r="D376">
        <v>0.43</v>
      </c>
      <c r="E376">
        <v>0.25369999999999998</v>
      </c>
      <c r="F376">
        <v>0</v>
      </c>
      <c r="G376">
        <v>8</v>
      </c>
      <c r="H376">
        <v>8</v>
      </c>
    </row>
    <row r="377" spans="1:8" x14ac:dyDescent="0.3">
      <c r="A377">
        <v>375</v>
      </c>
      <c r="B377">
        <v>376</v>
      </c>
      <c r="C377">
        <v>0.18179999999999999</v>
      </c>
      <c r="D377">
        <v>0.43</v>
      </c>
      <c r="E377">
        <v>0.19400000000000001</v>
      </c>
      <c r="F377">
        <v>0</v>
      </c>
      <c r="G377">
        <v>2</v>
      </c>
      <c r="H377">
        <v>2</v>
      </c>
    </row>
    <row r="378" spans="1:8" x14ac:dyDescent="0.3">
      <c r="A378">
        <v>376</v>
      </c>
      <c r="B378">
        <v>377</v>
      </c>
      <c r="C378">
        <v>0.19700000000000001</v>
      </c>
      <c r="D378">
        <v>0.43</v>
      </c>
      <c r="E378">
        <v>0.1343</v>
      </c>
      <c r="F378">
        <v>1</v>
      </c>
      <c r="G378">
        <v>2</v>
      </c>
      <c r="H378">
        <v>3</v>
      </c>
    </row>
    <row r="379" spans="1:8" x14ac:dyDescent="0.3">
      <c r="A379">
        <v>377</v>
      </c>
      <c r="B379">
        <v>378</v>
      </c>
      <c r="C379">
        <v>0.19700000000000001</v>
      </c>
      <c r="D379">
        <v>0.43</v>
      </c>
      <c r="E379">
        <v>0.16420000000000001</v>
      </c>
      <c r="F379">
        <v>0</v>
      </c>
      <c r="G379">
        <v>1</v>
      </c>
      <c r="H379">
        <v>1</v>
      </c>
    </row>
    <row r="380" spans="1:8" x14ac:dyDescent="0.3">
      <c r="A380">
        <v>378</v>
      </c>
      <c r="B380">
        <v>379</v>
      </c>
      <c r="C380">
        <v>0.18179999999999999</v>
      </c>
      <c r="D380">
        <v>0.43</v>
      </c>
      <c r="E380">
        <v>0.19400000000000001</v>
      </c>
      <c r="F380">
        <v>0</v>
      </c>
      <c r="G380">
        <v>5</v>
      </c>
      <c r="H380">
        <v>5</v>
      </c>
    </row>
    <row r="381" spans="1:8" x14ac:dyDescent="0.3">
      <c r="A381">
        <v>379</v>
      </c>
      <c r="B381">
        <v>380</v>
      </c>
      <c r="C381">
        <v>0.18179999999999999</v>
      </c>
      <c r="D381">
        <v>0.5</v>
      </c>
      <c r="E381">
        <v>0.1343</v>
      </c>
      <c r="F381">
        <v>4</v>
      </c>
      <c r="G381">
        <v>9</v>
      </c>
      <c r="H381">
        <v>13</v>
      </c>
    </row>
    <row r="382" spans="1:8" x14ac:dyDescent="0.3">
      <c r="A382">
        <v>380</v>
      </c>
      <c r="B382">
        <v>381</v>
      </c>
      <c r="C382">
        <v>0.1515</v>
      </c>
      <c r="D382">
        <v>0.47</v>
      </c>
      <c r="E382">
        <v>0.22389999999999999</v>
      </c>
      <c r="F382">
        <v>3</v>
      </c>
      <c r="G382">
        <v>30</v>
      </c>
      <c r="H382">
        <v>33</v>
      </c>
    </row>
    <row r="383" spans="1:8" x14ac:dyDescent="0.3">
      <c r="A383">
        <v>381</v>
      </c>
      <c r="B383">
        <v>382</v>
      </c>
      <c r="C383">
        <v>0.1515</v>
      </c>
      <c r="D383">
        <v>0.47</v>
      </c>
      <c r="E383">
        <v>0.22389999999999999</v>
      </c>
      <c r="F383">
        <v>8</v>
      </c>
      <c r="G383">
        <v>39</v>
      </c>
      <c r="H383">
        <v>47</v>
      </c>
    </row>
    <row r="384" spans="1:8" x14ac:dyDescent="0.3">
      <c r="A384">
        <v>382</v>
      </c>
      <c r="B384">
        <v>383</v>
      </c>
      <c r="C384">
        <v>0.1515</v>
      </c>
      <c r="D384">
        <v>0.5</v>
      </c>
      <c r="E384">
        <v>0.25369999999999998</v>
      </c>
      <c r="F384">
        <v>7</v>
      </c>
      <c r="G384">
        <v>50</v>
      </c>
      <c r="H384">
        <v>57</v>
      </c>
    </row>
    <row r="385" spans="1:8" x14ac:dyDescent="0.3">
      <c r="A385">
        <v>383</v>
      </c>
      <c r="B385">
        <v>384</v>
      </c>
      <c r="C385">
        <v>0.1515</v>
      </c>
      <c r="D385">
        <v>0.55000000000000004</v>
      </c>
      <c r="E385">
        <v>0.19400000000000001</v>
      </c>
      <c r="F385">
        <v>9</v>
      </c>
      <c r="G385">
        <v>55</v>
      </c>
      <c r="H385">
        <v>64</v>
      </c>
    </row>
    <row r="386" spans="1:8" x14ac:dyDescent="0.3">
      <c r="A386">
        <v>384</v>
      </c>
      <c r="B386">
        <v>385</v>
      </c>
      <c r="C386">
        <v>0.19700000000000001</v>
      </c>
      <c r="D386">
        <v>0.47</v>
      </c>
      <c r="E386">
        <v>0.1343</v>
      </c>
      <c r="F386">
        <v>10</v>
      </c>
      <c r="G386">
        <v>70</v>
      </c>
      <c r="H386">
        <v>80</v>
      </c>
    </row>
    <row r="387" spans="1:8" x14ac:dyDescent="0.3">
      <c r="A387">
        <v>385</v>
      </c>
      <c r="B387">
        <v>386</v>
      </c>
      <c r="C387">
        <v>0.19700000000000001</v>
      </c>
      <c r="D387">
        <v>0.47</v>
      </c>
      <c r="E387">
        <v>0.1343</v>
      </c>
      <c r="F387">
        <v>13</v>
      </c>
      <c r="G387">
        <v>80</v>
      </c>
      <c r="H387">
        <v>93</v>
      </c>
    </row>
    <row r="388" spans="1:8" x14ac:dyDescent="0.3">
      <c r="A388">
        <v>386</v>
      </c>
      <c r="B388">
        <v>387</v>
      </c>
      <c r="C388">
        <v>0.21210000000000001</v>
      </c>
      <c r="D388">
        <v>0.43</v>
      </c>
      <c r="E388">
        <v>0.1045</v>
      </c>
      <c r="F388">
        <v>12</v>
      </c>
      <c r="G388">
        <v>74</v>
      </c>
      <c r="H388">
        <v>86</v>
      </c>
    </row>
    <row r="389" spans="1:8" x14ac:dyDescent="0.3">
      <c r="A389">
        <v>387</v>
      </c>
      <c r="B389">
        <v>388</v>
      </c>
      <c r="C389">
        <v>0.21210000000000001</v>
      </c>
      <c r="D389">
        <v>0.47</v>
      </c>
      <c r="E389">
        <v>0.16420000000000001</v>
      </c>
      <c r="F389">
        <v>21</v>
      </c>
      <c r="G389">
        <v>72</v>
      </c>
      <c r="H389">
        <v>93</v>
      </c>
    </row>
    <row r="390" spans="1:8" x14ac:dyDescent="0.3">
      <c r="A390">
        <v>388</v>
      </c>
      <c r="B390">
        <v>389</v>
      </c>
      <c r="C390">
        <v>0.21210000000000001</v>
      </c>
      <c r="D390">
        <v>0.47</v>
      </c>
      <c r="E390">
        <v>0.16420000000000001</v>
      </c>
      <c r="F390">
        <v>6</v>
      </c>
      <c r="G390">
        <v>76</v>
      </c>
      <c r="H390">
        <v>82</v>
      </c>
    </row>
    <row r="391" spans="1:8" x14ac:dyDescent="0.3">
      <c r="A391">
        <v>389</v>
      </c>
      <c r="B391">
        <v>390</v>
      </c>
      <c r="C391">
        <v>0.19700000000000001</v>
      </c>
      <c r="D391">
        <v>0.51</v>
      </c>
      <c r="E391">
        <v>0.19400000000000001</v>
      </c>
      <c r="F391">
        <v>4</v>
      </c>
      <c r="G391">
        <v>67</v>
      </c>
      <c r="H391">
        <v>71</v>
      </c>
    </row>
    <row r="392" spans="1:8" x14ac:dyDescent="0.3">
      <c r="A392">
        <v>390</v>
      </c>
      <c r="B392">
        <v>391</v>
      </c>
      <c r="C392">
        <v>0.16669999999999999</v>
      </c>
      <c r="D392">
        <v>0.55000000000000004</v>
      </c>
      <c r="E392">
        <v>0.25369999999999998</v>
      </c>
      <c r="F392">
        <v>7</v>
      </c>
      <c r="G392">
        <v>85</v>
      </c>
      <c r="H392">
        <v>92</v>
      </c>
    </row>
    <row r="393" spans="1:8" x14ac:dyDescent="0.3">
      <c r="A393">
        <v>391</v>
      </c>
      <c r="B393">
        <v>392</v>
      </c>
      <c r="C393">
        <v>0.18179999999999999</v>
      </c>
      <c r="D393">
        <v>0.59</v>
      </c>
      <c r="E393">
        <v>0.19400000000000001</v>
      </c>
      <c r="F393">
        <v>2</v>
      </c>
      <c r="G393">
        <v>58</v>
      </c>
      <c r="H393">
        <v>60</v>
      </c>
    </row>
    <row r="394" spans="1:8" x14ac:dyDescent="0.3">
      <c r="A394">
        <v>392</v>
      </c>
      <c r="B394">
        <v>393</v>
      </c>
      <c r="C394">
        <v>0.1515</v>
      </c>
      <c r="D394">
        <v>0.8</v>
      </c>
      <c r="E394">
        <v>0.19400000000000001</v>
      </c>
      <c r="F394">
        <v>4</v>
      </c>
      <c r="G394">
        <v>29</v>
      </c>
      <c r="H394">
        <v>33</v>
      </c>
    </row>
    <row r="395" spans="1:8" x14ac:dyDescent="0.3">
      <c r="A395">
        <v>393</v>
      </c>
      <c r="B395">
        <v>394</v>
      </c>
      <c r="C395">
        <v>0.1515</v>
      </c>
      <c r="D395">
        <v>0.8</v>
      </c>
      <c r="E395">
        <v>0.19400000000000001</v>
      </c>
      <c r="F395">
        <v>3</v>
      </c>
      <c r="G395">
        <v>24</v>
      </c>
      <c r="H395">
        <v>27</v>
      </c>
    </row>
    <row r="396" spans="1:8" x14ac:dyDescent="0.3">
      <c r="A396">
        <v>394</v>
      </c>
      <c r="B396">
        <v>395</v>
      </c>
      <c r="C396">
        <v>0.1212</v>
      </c>
      <c r="D396">
        <v>0.93</v>
      </c>
      <c r="E396">
        <v>0.25369999999999998</v>
      </c>
      <c r="F396">
        <v>0</v>
      </c>
      <c r="G396">
        <v>13</v>
      </c>
      <c r="H396">
        <v>13</v>
      </c>
    </row>
    <row r="397" spans="1:8" x14ac:dyDescent="0.3">
      <c r="A397">
        <v>395</v>
      </c>
      <c r="B397">
        <v>396</v>
      </c>
      <c r="C397">
        <v>0.13639999999999999</v>
      </c>
      <c r="D397">
        <v>0.86</v>
      </c>
      <c r="E397">
        <v>0.28360000000000002</v>
      </c>
      <c r="F397">
        <v>1</v>
      </c>
      <c r="G397">
        <v>3</v>
      </c>
      <c r="H397">
        <v>4</v>
      </c>
    </row>
    <row r="398" spans="1:8" x14ac:dyDescent="0.3">
      <c r="A398">
        <v>396</v>
      </c>
      <c r="B398">
        <v>397</v>
      </c>
      <c r="C398">
        <v>0.18179999999999999</v>
      </c>
      <c r="D398">
        <v>0.86</v>
      </c>
      <c r="E398">
        <v>0.32840000000000003</v>
      </c>
      <c r="F398">
        <v>0</v>
      </c>
      <c r="G398">
        <v>3</v>
      </c>
      <c r="H398">
        <v>3</v>
      </c>
    </row>
    <row r="399" spans="1:8" x14ac:dyDescent="0.3">
      <c r="A399">
        <v>397</v>
      </c>
      <c r="B399">
        <v>398</v>
      </c>
      <c r="C399">
        <v>0.19700000000000001</v>
      </c>
      <c r="D399">
        <v>0.86</v>
      </c>
      <c r="E399">
        <v>0.22389999999999999</v>
      </c>
      <c r="F399">
        <v>0</v>
      </c>
      <c r="G399">
        <v>22</v>
      </c>
      <c r="H399">
        <v>22</v>
      </c>
    </row>
    <row r="400" spans="1:8" x14ac:dyDescent="0.3">
      <c r="A400">
        <v>398</v>
      </c>
      <c r="B400">
        <v>399</v>
      </c>
      <c r="C400">
        <v>0.2273</v>
      </c>
      <c r="D400">
        <v>0.8</v>
      </c>
      <c r="E400">
        <v>0.16420000000000001</v>
      </c>
      <c r="F400">
        <v>2</v>
      </c>
      <c r="G400">
        <v>26</v>
      </c>
      <c r="H400">
        <v>28</v>
      </c>
    </row>
    <row r="401" spans="1:8" x14ac:dyDescent="0.3">
      <c r="A401">
        <v>399</v>
      </c>
      <c r="B401">
        <v>400</v>
      </c>
      <c r="C401">
        <v>0.2273</v>
      </c>
      <c r="D401">
        <v>0.87</v>
      </c>
      <c r="E401">
        <v>0.16420000000000001</v>
      </c>
      <c r="F401">
        <v>3</v>
      </c>
      <c r="G401">
        <v>32</v>
      </c>
      <c r="H401">
        <v>35</v>
      </c>
    </row>
    <row r="402" spans="1:8" x14ac:dyDescent="0.3">
      <c r="A402">
        <v>400</v>
      </c>
      <c r="B402">
        <v>401</v>
      </c>
      <c r="C402">
        <v>0.2273</v>
      </c>
      <c r="D402">
        <v>0.87</v>
      </c>
      <c r="E402">
        <v>0.19400000000000001</v>
      </c>
      <c r="F402">
        <v>0</v>
      </c>
      <c r="G402">
        <v>61</v>
      </c>
      <c r="H402">
        <v>61</v>
      </c>
    </row>
    <row r="403" spans="1:8" x14ac:dyDescent="0.3">
      <c r="A403">
        <v>401</v>
      </c>
      <c r="B403">
        <v>402</v>
      </c>
      <c r="C403">
        <v>0.2273</v>
      </c>
      <c r="D403">
        <v>0.82</v>
      </c>
      <c r="E403">
        <v>0.19400000000000001</v>
      </c>
      <c r="F403">
        <v>1</v>
      </c>
      <c r="G403">
        <v>124</v>
      </c>
      <c r="H403">
        <v>125</v>
      </c>
    </row>
    <row r="404" spans="1:8" x14ac:dyDescent="0.3">
      <c r="A404">
        <v>402</v>
      </c>
      <c r="B404">
        <v>403</v>
      </c>
      <c r="C404">
        <v>0.2273</v>
      </c>
      <c r="D404">
        <v>0.8</v>
      </c>
      <c r="E404">
        <v>0.16420000000000001</v>
      </c>
      <c r="F404">
        <v>1</v>
      </c>
      <c r="G404">
        <v>132</v>
      </c>
      <c r="H404">
        <v>133</v>
      </c>
    </row>
    <row r="405" spans="1:8" x14ac:dyDescent="0.3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</row>
    <row r="406" spans="1:8" x14ac:dyDescent="0.3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</row>
    <row r="407" spans="1:8" x14ac:dyDescent="0.3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</row>
    <row r="408" spans="1:8" x14ac:dyDescent="0.3">
      <c r="A408">
        <v>406</v>
      </c>
      <c r="B408">
        <v>407</v>
      </c>
      <c r="C408">
        <v>0.2576</v>
      </c>
      <c r="D408">
        <v>0.93</v>
      </c>
      <c r="E408">
        <v>8.9599999999999999E-2</v>
      </c>
      <c r="F408">
        <v>0</v>
      </c>
      <c r="G408">
        <v>33</v>
      </c>
      <c r="H408">
        <v>33</v>
      </c>
    </row>
    <row r="409" spans="1:8" x14ac:dyDescent="0.3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</row>
    <row r="410" spans="1:8" x14ac:dyDescent="0.3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</row>
    <row r="411" spans="1:8" x14ac:dyDescent="0.3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</row>
    <row r="412" spans="1:8" x14ac:dyDescent="0.3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</row>
    <row r="413" spans="1:8" x14ac:dyDescent="0.3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</row>
    <row r="414" spans="1:8" x14ac:dyDescent="0.3">
      <c r="A414">
        <v>412</v>
      </c>
      <c r="B414">
        <v>413</v>
      </c>
      <c r="C414">
        <v>0.2576</v>
      </c>
      <c r="D414">
        <v>0.93</v>
      </c>
      <c r="E414">
        <v>8.9599999999999999E-2</v>
      </c>
      <c r="F414">
        <v>0</v>
      </c>
      <c r="G414">
        <v>7</v>
      </c>
      <c r="H414">
        <v>7</v>
      </c>
    </row>
    <row r="415" spans="1:8" x14ac:dyDescent="0.3">
      <c r="A415">
        <v>413</v>
      </c>
      <c r="B415">
        <v>414</v>
      </c>
      <c r="C415">
        <v>0.2576</v>
      </c>
      <c r="D415">
        <v>0.93</v>
      </c>
      <c r="E415">
        <v>8.9599999999999999E-2</v>
      </c>
      <c r="F415">
        <v>0</v>
      </c>
      <c r="G415">
        <v>32</v>
      </c>
      <c r="H415">
        <v>32</v>
      </c>
    </row>
    <row r="416" spans="1:8" x14ac:dyDescent="0.3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</row>
    <row r="417" spans="1:8" x14ac:dyDescent="0.3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</row>
    <row r="418" spans="1:8" x14ac:dyDescent="0.3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</row>
    <row r="419" spans="1:8" x14ac:dyDescent="0.3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</row>
    <row r="420" spans="1:8" x14ac:dyDescent="0.3">
      <c r="A420">
        <v>418</v>
      </c>
      <c r="B420">
        <v>419</v>
      </c>
      <c r="C420">
        <v>0.30299999999999999</v>
      </c>
      <c r="D420">
        <v>0.87</v>
      </c>
      <c r="E420">
        <v>8.9599999999999999E-2</v>
      </c>
      <c r="F420">
        <v>5</v>
      </c>
      <c r="G420">
        <v>47</v>
      </c>
      <c r="H420">
        <v>52</v>
      </c>
    </row>
    <row r="421" spans="1:8" x14ac:dyDescent="0.3">
      <c r="A421">
        <v>419</v>
      </c>
      <c r="B421">
        <v>420</v>
      </c>
      <c r="C421">
        <v>0.31819999999999998</v>
      </c>
      <c r="D421">
        <v>0.81</v>
      </c>
      <c r="E421">
        <v>8.9599999999999999E-2</v>
      </c>
      <c r="F421">
        <v>5</v>
      </c>
      <c r="G421">
        <v>65</v>
      </c>
      <c r="H421">
        <v>70</v>
      </c>
    </row>
    <row r="422" spans="1:8" x14ac:dyDescent="0.3">
      <c r="A422">
        <v>420</v>
      </c>
      <c r="B422">
        <v>421</v>
      </c>
      <c r="C422">
        <v>0.40910000000000002</v>
      </c>
      <c r="D422">
        <v>0.62</v>
      </c>
      <c r="E422">
        <v>0.28360000000000002</v>
      </c>
      <c r="F422">
        <v>11</v>
      </c>
      <c r="G422">
        <v>67</v>
      </c>
      <c r="H422">
        <v>78</v>
      </c>
    </row>
    <row r="423" spans="1:8" x14ac:dyDescent="0.3">
      <c r="A423">
        <v>421</v>
      </c>
      <c r="B423">
        <v>422</v>
      </c>
      <c r="C423">
        <v>0.40910000000000002</v>
      </c>
      <c r="D423">
        <v>0.57999999999999996</v>
      </c>
      <c r="E423">
        <v>0.25369999999999998</v>
      </c>
      <c r="F423">
        <v>7</v>
      </c>
      <c r="G423">
        <v>68</v>
      </c>
      <c r="H423">
        <v>75</v>
      </c>
    </row>
    <row r="424" spans="1:8" x14ac:dyDescent="0.3">
      <c r="A424">
        <v>422</v>
      </c>
      <c r="B424">
        <v>423</v>
      </c>
      <c r="C424">
        <v>0.40910000000000002</v>
      </c>
      <c r="D424">
        <v>0.54</v>
      </c>
      <c r="E424">
        <v>0.28360000000000002</v>
      </c>
      <c r="F424">
        <v>4</v>
      </c>
      <c r="G424">
        <v>78</v>
      </c>
      <c r="H424">
        <v>82</v>
      </c>
    </row>
    <row r="425" spans="1:8" x14ac:dyDescent="0.3">
      <c r="A425">
        <v>423</v>
      </c>
      <c r="B425">
        <v>424</v>
      </c>
      <c r="C425">
        <v>0.39389999999999997</v>
      </c>
      <c r="D425">
        <v>0.57999999999999996</v>
      </c>
      <c r="E425">
        <v>0.3881</v>
      </c>
      <c r="F425">
        <v>10</v>
      </c>
      <c r="G425">
        <v>94</v>
      </c>
      <c r="H425">
        <v>104</v>
      </c>
    </row>
    <row r="426" spans="1:8" x14ac:dyDescent="0.3">
      <c r="A426">
        <v>424</v>
      </c>
      <c r="B426">
        <v>425</v>
      </c>
      <c r="C426">
        <v>0.33329999999999999</v>
      </c>
      <c r="D426">
        <v>0.56999999999999995</v>
      </c>
      <c r="E426">
        <v>0.32840000000000003</v>
      </c>
      <c r="F426">
        <v>7</v>
      </c>
      <c r="G426">
        <v>190</v>
      </c>
      <c r="H426">
        <v>197</v>
      </c>
    </row>
    <row r="427" spans="1:8" x14ac:dyDescent="0.3">
      <c r="A427">
        <v>425</v>
      </c>
      <c r="B427">
        <v>426</v>
      </c>
      <c r="C427">
        <v>0.31819999999999998</v>
      </c>
      <c r="D427">
        <v>0.61</v>
      </c>
      <c r="E427">
        <v>0.28360000000000002</v>
      </c>
      <c r="F427">
        <v>5</v>
      </c>
      <c r="G427">
        <v>156</v>
      </c>
      <c r="H427">
        <v>161</v>
      </c>
    </row>
    <row r="428" spans="1:8" x14ac:dyDescent="0.3">
      <c r="A428">
        <v>426</v>
      </c>
      <c r="B428">
        <v>427</v>
      </c>
      <c r="C428">
        <v>0.28789999999999999</v>
      </c>
      <c r="D428">
        <v>0.56999999999999995</v>
      </c>
      <c r="E428">
        <v>0.41789999999999999</v>
      </c>
      <c r="F428">
        <v>4</v>
      </c>
      <c r="G428">
        <v>108</v>
      </c>
      <c r="H428">
        <v>112</v>
      </c>
    </row>
    <row r="429" spans="1:8" x14ac:dyDescent="0.3">
      <c r="A429">
        <v>427</v>
      </c>
      <c r="B429">
        <v>428</v>
      </c>
      <c r="C429">
        <v>0.30299999999999999</v>
      </c>
      <c r="D429">
        <v>0.49</v>
      </c>
      <c r="E429">
        <v>0.29849999999999999</v>
      </c>
      <c r="F429">
        <v>2</v>
      </c>
      <c r="G429">
        <v>74</v>
      </c>
      <c r="H429">
        <v>76</v>
      </c>
    </row>
    <row r="430" spans="1:8" x14ac:dyDescent="0.3">
      <c r="A430">
        <v>428</v>
      </c>
      <c r="B430">
        <v>429</v>
      </c>
      <c r="C430">
        <v>0.28789999999999999</v>
      </c>
      <c r="D430">
        <v>0.49</v>
      </c>
      <c r="E430">
        <v>0.41789999999999999</v>
      </c>
      <c r="F430">
        <v>4</v>
      </c>
      <c r="G430">
        <v>55</v>
      </c>
      <c r="H430">
        <v>59</v>
      </c>
    </row>
    <row r="431" spans="1:8" x14ac:dyDescent="0.3">
      <c r="A431">
        <v>429</v>
      </c>
      <c r="B431">
        <v>430</v>
      </c>
      <c r="C431">
        <v>0.30299999999999999</v>
      </c>
      <c r="D431">
        <v>0.52</v>
      </c>
      <c r="E431">
        <v>0.16420000000000001</v>
      </c>
      <c r="F431">
        <v>6</v>
      </c>
      <c r="G431">
        <v>53</v>
      </c>
      <c r="H431">
        <v>59</v>
      </c>
    </row>
    <row r="432" spans="1:8" x14ac:dyDescent="0.3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</row>
    <row r="433" spans="1:8" x14ac:dyDescent="0.3">
      <c r="A433">
        <v>431</v>
      </c>
      <c r="B433">
        <v>432</v>
      </c>
      <c r="C433">
        <v>0.2273</v>
      </c>
      <c r="D433">
        <v>0.56000000000000005</v>
      </c>
      <c r="E433">
        <v>0.3881</v>
      </c>
      <c r="F433">
        <v>5</v>
      </c>
      <c r="G433">
        <v>8</v>
      </c>
      <c r="H433">
        <v>13</v>
      </c>
    </row>
    <row r="434" spans="1:8" x14ac:dyDescent="0.3">
      <c r="A434">
        <v>432</v>
      </c>
      <c r="B434">
        <v>433</v>
      </c>
      <c r="C434">
        <v>0.2727</v>
      </c>
      <c r="D434">
        <v>0.56000000000000005</v>
      </c>
      <c r="E434">
        <v>0</v>
      </c>
      <c r="F434">
        <v>2</v>
      </c>
      <c r="G434">
        <v>3</v>
      </c>
      <c r="H434">
        <v>5</v>
      </c>
    </row>
    <row r="435" spans="1:8" x14ac:dyDescent="0.3">
      <c r="A435">
        <v>433</v>
      </c>
      <c r="B435">
        <v>434</v>
      </c>
      <c r="C435">
        <v>0.2727</v>
      </c>
      <c r="D435">
        <v>0.56000000000000005</v>
      </c>
      <c r="E435">
        <v>0</v>
      </c>
      <c r="F435">
        <v>0</v>
      </c>
      <c r="G435">
        <v>2</v>
      </c>
      <c r="H435">
        <v>2</v>
      </c>
    </row>
    <row r="436" spans="1:8" x14ac:dyDescent="0.3">
      <c r="A436">
        <v>434</v>
      </c>
      <c r="B436">
        <v>435</v>
      </c>
      <c r="C436">
        <v>0.2576</v>
      </c>
      <c r="D436">
        <v>0.56000000000000005</v>
      </c>
      <c r="E436">
        <v>0.16420000000000001</v>
      </c>
      <c r="F436">
        <v>0</v>
      </c>
      <c r="G436">
        <v>1</v>
      </c>
      <c r="H436">
        <v>1</v>
      </c>
    </row>
    <row r="437" spans="1:8" x14ac:dyDescent="0.3">
      <c r="A437">
        <v>435</v>
      </c>
      <c r="B437">
        <v>436</v>
      </c>
      <c r="C437">
        <v>0.2576</v>
      </c>
      <c r="D437">
        <v>0.56000000000000005</v>
      </c>
      <c r="E437">
        <v>0.16420000000000001</v>
      </c>
      <c r="F437">
        <v>0</v>
      </c>
      <c r="G437">
        <v>1</v>
      </c>
      <c r="H437">
        <v>1</v>
      </c>
    </row>
    <row r="438" spans="1:8" x14ac:dyDescent="0.3">
      <c r="A438">
        <v>436</v>
      </c>
      <c r="B438">
        <v>437</v>
      </c>
      <c r="C438">
        <v>0.2273</v>
      </c>
      <c r="D438">
        <v>0.6</v>
      </c>
      <c r="E438">
        <v>0.22389999999999999</v>
      </c>
      <c r="F438">
        <v>0</v>
      </c>
      <c r="G438">
        <v>6</v>
      </c>
      <c r="H438">
        <v>6</v>
      </c>
    </row>
    <row r="439" spans="1:8" x14ac:dyDescent="0.3">
      <c r="A439">
        <v>437</v>
      </c>
      <c r="B439">
        <v>438</v>
      </c>
      <c r="C439">
        <v>0.21210000000000001</v>
      </c>
      <c r="D439">
        <v>0.6</v>
      </c>
      <c r="E439">
        <v>0.22389999999999999</v>
      </c>
      <c r="F439">
        <v>0</v>
      </c>
      <c r="G439">
        <v>35</v>
      </c>
      <c r="H439">
        <v>35</v>
      </c>
    </row>
    <row r="440" spans="1:8" x14ac:dyDescent="0.3">
      <c r="A440">
        <v>438</v>
      </c>
      <c r="B440">
        <v>439</v>
      </c>
      <c r="C440">
        <v>0.21210000000000001</v>
      </c>
      <c r="D440">
        <v>0.55000000000000004</v>
      </c>
      <c r="E440">
        <v>0.22389999999999999</v>
      </c>
      <c r="F440">
        <v>1</v>
      </c>
      <c r="G440">
        <v>100</v>
      </c>
      <c r="H440">
        <v>101</v>
      </c>
    </row>
    <row r="441" spans="1:8" x14ac:dyDescent="0.3">
      <c r="A441">
        <v>439</v>
      </c>
      <c r="B441">
        <v>440</v>
      </c>
      <c r="C441">
        <v>0.21210000000000001</v>
      </c>
      <c r="D441">
        <v>0.55000000000000004</v>
      </c>
      <c r="E441">
        <v>0.28360000000000002</v>
      </c>
      <c r="F441">
        <v>2</v>
      </c>
      <c r="G441">
        <v>247</v>
      </c>
      <c r="H441">
        <v>249</v>
      </c>
    </row>
    <row r="442" spans="1:8" x14ac:dyDescent="0.3">
      <c r="A442">
        <v>440</v>
      </c>
      <c r="B442">
        <v>441</v>
      </c>
      <c r="C442">
        <v>0.2273</v>
      </c>
      <c r="D442">
        <v>0.52</v>
      </c>
      <c r="E442">
        <v>0.22389999999999999</v>
      </c>
      <c r="F442">
        <v>3</v>
      </c>
      <c r="G442">
        <v>140</v>
      </c>
      <c r="H442">
        <v>143</v>
      </c>
    </row>
    <row r="443" spans="1:8" x14ac:dyDescent="0.3">
      <c r="A443">
        <v>441</v>
      </c>
      <c r="B443">
        <v>442</v>
      </c>
      <c r="C443">
        <v>0.2273</v>
      </c>
      <c r="D443">
        <v>0.48</v>
      </c>
      <c r="E443">
        <v>0.29849999999999999</v>
      </c>
      <c r="F443">
        <v>1</v>
      </c>
      <c r="G443">
        <v>56</v>
      </c>
      <c r="H443">
        <v>57</v>
      </c>
    </row>
    <row r="444" spans="1:8" x14ac:dyDescent="0.3">
      <c r="A444">
        <v>442</v>
      </c>
      <c r="B444">
        <v>443</v>
      </c>
      <c r="C444">
        <v>0.2727</v>
      </c>
      <c r="D444">
        <v>0.45</v>
      </c>
      <c r="E444">
        <v>0.16420000000000001</v>
      </c>
      <c r="F444">
        <v>5</v>
      </c>
      <c r="G444">
        <v>63</v>
      </c>
      <c r="H444">
        <v>68</v>
      </c>
    </row>
    <row r="445" spans="1:8" x14ac:dyDescent="0.3">
      <c r="A445">
        <v>443</v>
      </c>
      <c r="B445">
        <v>444</v>
      </c>
      <c r="C445">
        <v>0.33329999999999999</v>
      </c>
      <c r="D445">
        <v>0.42</v>
      </c>
      <c r="E445">
        <v>0</v>
      </c>
      <c r="F445">
        <v>7</v>
      </c>
      <c r="G445">
        <v>77</v>
      </c>
      <c r="H445">
        <v>84</v>
      </c>
    </row>
    <row r="446" spans="1:8" x14ac:dyDescent="0.3">
      <c r="A446">
        <v>444</v>
      </c>
      <c r="B446">
        <v>445</v>
      </c>
      <c r="C446">
        <v>0.28789999999999999</v>
      </c>
      <c r="D446">
        <v>0.45</v>
      </c>
      <c r="E446">
        <v>0.1045</v>
      </c>
      <c r="F446">
        <v>12</v>
      </c>
      <c r="G446">
        <v>86</v>
      </c>
      <c r="H446">
        <v>98</v>
      </c>
    </row>
    <row r="447" spans="1:8" x14ac:dyDescent="0.3">
      <c r="A447">
        <v>445</v>
      </c>
      <c r="B447">
        <v>446</v>
      </c>
      <c r="C447">
        <v>0.30299999999999999</v>
      </c>
      <c r="D447">
        <v>0.45</v>
      </c>
      <c r="E447">
        <v>0.1343</v>
      </c>
      <c r="F447">
        <v>6</v>
      </c>
      <c r="G447">
        <v>75</v>
      </c>
      <c r="H447">
        <v>81</v>
      </c>
    </row>
    <row r="448" spans="1:8" x14ac:dyDescent="0.3">
      <c r="A448">
        <v>446</v>
      </c>
      <c r="B448">
        <v>447</v>
      </c>
      <c r="C448">
        <v>0.31819999999999998</v>
      </c>
      <c r="D448">
        <v>0.45</v>
      </c>
      <c r="E448">
        <v>0.19400000000000001</v>
      </c>
      <c r="F448">
        <v>8</v>
      </c>
      <c r="G448">
        <v>62</v>
      </c>
      <c r="H448">
        <v>70</v>
      </c>
    </row>
    <row r="449" spans="1:8" x14ac:dyDescent="0.3">
      <c r="A449">
        <v>447</v>
      </c>
      <c r="B449">
        <v>448</v>
      </c>
      <c r="C449">
        <v>0.30299999999999999</v>
      </c>
      <c r="D449">
        <v>0.49</v>
      </c>
      <c r="E449">
        <v>0.1343</v>
      </c>
      <c r="F449">
        <v>8</v>
      </c>
      <c r="G449">
        <v>83</v>
      </c>
      <c r="H449">
        <v>91</v>
      </c>
    </row>
    <row r="450" spans="1:8" x14ac:dyDescent="0.3">
      <c r="A450">
        <v>448</v>
      </c>
      <c r="B450">
        <v>449</v>
      </c>
      <c r="C450">
        <v>0.31819999999999998</v>
      </c>
      <c r="D450">
        <v>0.49</v>
      </c>
      <c r="E450">
        <v>0.1045</v>
      </c>
      <c r="F450">
        <v>8</v>
      </c>
      <c r="G450">
        <v>207</v>
      </c>
      <c r="H450">
        <v>215</v>
      </c>
    </row>
    <row r="451" spans="1:8" x14ac:dyDescent="0.3">
      <c r="A451">
        <v>449</v>
      </c>
      <c r="B451">
        <v>450</v>
      </c>
      <c r="C451">
        <v>0.2576</v>
      </c>
      <c r="D451">
        <v>0.56000000000000005</v>
      </c>
      <c r="E451">
        <v>0.19400000000000001</v>
      </c>
      <c r="F451">
        <v>1</v>
      </c>
      <c r="G451">
        <v>184</v>
      </c>
      <c r="H451">
        <v>185</v>
      </c>
    </row>
    <row r="452" spans="1:8" x14ac:dyDescent="0.3">
      <c r="A452">
        <v>450</v>
      </c>
      <c r="B452">
        <v>451</v>
      </c>
      <c r="C452">
        <v>0.2273</v>
      </c>
      <c r="D452">
        <v>0.56000000000000005</v>
      </c>
      <c r="E452">
        <v>0.32840000000000003</v>
      </c>
      <c r="F452">
        <v>6</v>
      </c>
      <c r="G452">
        <v>146</v>
      </c>
      <c r="H452">
        <v>152</v>
      </c>
    </row>
    <row r="453" spans="1:8" x14ac:dyDescent="0.3">
      <c r="A453">
        <v>451</v>
      </c>
      <c r="B453">
        <v>452</v>
      </c>
      <c r="C453">
        <v>0.2424</v>
      </c>
      <c r="D453">
        <v>0.6</v>
      </c>
      <c r="E453">
        <v>0.28360000000000002</v>
      </c>
      <c r="F453">
        <v>2</v>
      </c>
      <c r="G453">
        <v>124</v>
      </c>
      <c r="H453">
        <v>126</v>
      </c>
    </row>
    <row r="454" spans="1:8" x14ac:dyDescent="0.3">
      <c r="A454">
        <v>452</v>
      </c>
      <c r="B454">
        <v>453</v>
      </c>
      <c r="C454">
        <v>0.2273</v>
      </c>
      <c r="D454">
        <v>0.6</v>
      </c>
      <c r="E454">
        <v>0.25369999999999998</v>
      </c>
      <c r="F454">
        <v>3</v>
      </c>
      <c r="G454">
        <v>54</v>
      </c>
      <c r="H454">
        <v>57</v>
      </c>
    </row>
    <row r="455" spans="1:8" x14ac:dyDescent="0.3">
      <c r="A455">
        <v>453</v>
      </c>
      <c r="B455">
        <v>454</v>
      </c>
      <c r="C455">
        <v>0.21210000000000001</v>
      </c>
      <c r="D455">
        <v>0.65</v>
      </c>
      <c r="E455">
        <v>0.28360000000000002</v>
      </c>
      <c r="F455">
        <v>0</v>
      </c>
      <c r="G455">
        <v>56</v>
      </c>
      <c r="H455">
        <v>56</v>
      </c>
    </row>
    <row r="456" spans="1:8" x14ac:dyDescent="0.3">
      <c r="A456">
        <v>454</v>
      </c>
      <c r="B456">
        <v>455</v>
      </c>
      <c r="C456">
        <v>0.21210000000000001</v>
      </c>
      <c r="D456">
        <v>0.65</v>
      </c>
      <c r="E456">
        <v>0.32840000000000003</v>
      </c>
      <c r="F456">
        <v>3</v>
      </c>
      <c r="G456">
        <v>28</v>
      </c>
      <c r="H456">
        <v>31</v>
      </c>
    </row>
    <row r="457" spans="1:8" x14ac:dyDescent="0.3">
      <c r="A457">
        <v>455</v>
      </c>
      <c r="B457">
        <v>456</v>
      </c>
      <c r="C457">
        <v>0.2273</v>
      </c>
      <c r="D457">
        <v>0.7</v>
      </c>
      <c r="E457">
        <v>0.25369999999999998</v>
      </c>
      <c r="F457">
        <v>1</v>
      </c>
      <c r="G457">
        <v>20</v>
      </c>
      <c r="H457">
        <v>21</v>
      </c>
    </row>
    <row r="458" spans="1:8" x14ac:dyDescent="0.3">
      <c r="A458">
        <v>456</v>
      </c>
      <c r="B458">
        <v>457</v>
      </c>
      <c r="C458">
        <v>0.2273</v>
      </c>
      <c r="D458">
        <v>0.7</v>
      </c>
      <c r="E458">
        <v>0.25369999999999998</v>
      </c>
      <c r="F458">
        <v>0</v>
      </c>
      <c r="G458">
        <v>6</v>
      </c>
      <c r="H458">
        <v>6</v>
      </c>
    </row>
    <row r="459" spans="1:8" x14ac:dyDescent="0.3">
      <c r="A459">
        <v>457</v>
      </c>
      <c r="B459">
        <v>458</v>
      </c>
      <c r="C459">
        <v>0.2424</v>
      </c>
      <c r="D459">
        <v>0.75</v>
      </c>
      <c r="E459">
        <v>0.16420000000000001</v>
      </c>
      <c r="F459">
        <v>0</v>
      </c>
      <c r="G459">
        <v>2</v>
      </c>
      <c r="H459">
        <v>2</v>
      </c>
    </row>
    <row r="460" spans="1:8" x14ac:dyDescent="0.3">
      <c r="A460">
        <v>458</v>
      </c>
      <c r="B460">
        <v>459</v>
      </c>
      <c r="C460">
        <v>0.21210000000000001</v>
      </c>
      <c r="D460">
        <v>0.8</v>
      </c>
      <c r="E460">
        <v>0.29849999999999999</v>
      </c>
      <c r="F460">
        <v>0</v>
      </c>
      <c r="G460">
        <v>1</v>
      </c>
      <c r="H460">
        <v>1</v>
      </c>
    </row>
    <row r="461" spans="1:8" x14ac:dyDescent="0.3">
      <c r="A461">
        <v>459</v>
      </c>
      <c r="B461">
        <v>460</v>
      </c>
      <c r="C461">
        <v>0.2576</v>
      </c>
      <c r="D461">
        <v>0.87</v>
      </c>
      <c r="E461">
        <v>8.9599999999999999E-2</v>
      </c>
      <c r="F461">
        <v>0</v>
      </c>
      <c r="G461">
        <v>1</v>
      </c>
      <c r="H461">
        <v>1</v>
      </c>
    </row>
    <row r="462" spans="1:8" x14ac:dyDescent="0.3">
      <c r="A462">
        <v>460</v>
      </c>
      <c r="B462">
        <v>461</v>
      </c>
      <c r="C462">
        <v>0.19700000000000001</v>
      </c>
      <c r="D462">
        <v>0.6</v>
      </c>
      <c r="E462">
        <v>0.41789999999999999</v>
      </c>
      <c r="F462">
        <v>1</v>
      </c>
      <c r="G462">
        <v>4</v>
      </c>
      <c r="H462">
        <v>5</v>
      </c>
    </row>
    <row r="463" spans="1:8" x14ac:dyDescent="0.3">
      <c r="A463">
        <v>461</v>
      </c>
      <c r="B463">
        <v>462</v>
      </c>
      <c r="C463">
        <v>0.21210000000000001</v>
      </c>
      <c r="D463">
        <v>0.55000000000000004</v>
      </c>
      <c r="E463">
        <v>0.25369999999999998</v>
      </c>
      <c r="F463">
        <v>0</v>
      </c>
      <c r="G463">
        <v>27</v>
      </c>
      <c r="H463">
        <v>27</v>
      </c>
    </row>
    <row r="464" spans="1:8" x14ac:dyDescent="0.3">
      <c r="A464">
        <v>462</v>
      </c>
      <c r="B464">
        <v>463</v>
      </c>
      <c r="C464">
        <v>0.18179999999999999</v>
      </c>
      <c r="D464">
        <v>0.51</v>
      </c>
      <c r="E464">
        <v>0.28360000000000002</v>
      </c>
      <c r="F464">
        <v>2</v>
      </c>
      <c r="G464">
        <v>66</v>
      </c>
      <c r="H464">
        <v>68</v>
      </c>
    </row>
    <row r="465" spans="1:8" x14ac:dyDescent="0.3">
      <c r="A465">
        <v>463</v>
      </c>
      <c r="B465">
        <v>464</v>
      </c>
      <c r="C465">
        <v>0.18179999999999999</v>
      </c>
      <c r="D465">
        <v>0.47</v>
      </c>
      <c r="E465">
        <v>0.32840000000000003</v>
      </c>
      <c r="F465">
        <v>7</v>
      </c>
      <c r="G465">
        <v>210</v>
      </c>
      <c r="H465">
        <v>217</v>
      </c>
    </row>
    <row r="466" spans="1:8" x14ac:dyDescent="0.3">
      <c r="A466">
        <v>464</v>
      </c>
      <c r="B466">
        <v>465</v>
      </c>
      <c r="C466">
        <v>0.18179999999999999</v>
      </c>
      <c r="D466">
        <v>0.51</v>
      </c>
      <c r="E466">
        <v>0.35820000000000002</v>
      </c>
      <c r="F466">
        <v>7</v>
      </c>
      <c r="G466">
        <v>159</v>
      </c>
      <c r="H466">
        <v>166</v>
      </c>
    </row>
    <row r="467" spans="1:8" x14ac:dyDescent="0.3">
      <c r="A467">
        <v>465</v>
      </c>
      <c r="B467">
        <v>466</v>
      </c>
      <c r="C467">
        <v>0.16669999999999999</v>
      </c>
      <c r="D467">
        <v>0.47</v>
      </c>
      <c r="E467">
        <v>0.4627</v>
      </c>
      <c r="F467">
        <v>6</v>
      </c>
      <c r="G467">
        <v>57</v>
      </c>
      <c r="H467">
        <v>63</v>
      </c>
    </row>
    <row r="468" spans="1:8" x14ac:dyDescent="0.3">
      <c r="A468">
        <v>466</v>
      </c>
      <c r="B468">
        <v>467</v>
      </c>
      <c r="C468">
        <v>0.18179999999999999</v>
      </c>
      <c r="D468">
        <v>0.41</v>
      </c>
      <c r="E468">
        <v>0.4627</v>
      </c>
      <c r="F468">
        <v>6</v>
      </c>
      <c r="G468">
        <v>53</v>
      </c>
      <c r="H468">
        <v>59</v>
      </c>
    </row>
    <row r="469" spans="1:8" x14ac:dyDescent="0.3">
      <c r="A469">
        <v>467</v>
      </c>
      <c r="B469">
        <v>468</v>
      </c>
      <c r="C469">
        <v>0.18179999999999999</v>
      </c>
      <c r="D469">
        <v>0.27</v>
      </c>
      <c r="E469">
        <v>0.58209999999999995</v>
      </c>
      <c r="F469">
        <v>11</v>
      </c>
      <c r="G469">
        <v>67</v>
      </c>
      <c r="H469">
        <v>78</v>
      </c>
    </row>
    <row r="470" spans="1:8" x14ac:dyDescent="0.3">
      <c r="A470">
        <v>468</v>
      </c>
      <c r="B470">
        <v>469</v>
      </c>
      <c r="C470">
        <v>0.1515</v>
      </c>
      <c r="D470">
        <v>0.21</v>
      </c>
      <c r="E470">
        <v>0.58209999999999995</v>
      </c>
      <c r="F470">
        <v>8</v>
      </c>
      <c r="G470">
        <v>65</v>
      </c>
      <c r="H470">
        <v>73</v>
      </c>
    </row>
    <row r="471" spans="1:8" x14ac:dyDescent="0.3">
      <c r="A471">
        <v>469</v>
      </c>
      <c r="B471">
        <v>470</v>
      </c>
      <c r="C471">
        <v>0.1515</v>
      </c>
      <c r="D471">
        <v>0.25</v>
      </c>
      <c r="E471">
        <v>0.52239999999999998</v>
      </c>
      <c r="F471">
        <v>6</v>
      </c>
      <c r="G471">
        <v>56</v>
      </c>
      <c r="H471">
        <v>62</v>
      </c>
    </row>
    <row r="472" spans="1:8" x14ac:dyDescent="0.3">
      <c r="A472">
        <v>470</v>
      </c>
      <c r="B472">
        <v>471</v>
      </c>
      <c r="C472">
        <v>0.1212</v>
      </c>
      <c r="D472">
        <v>0.26</v>
      </c>
      <c r="E472">
        <v>0.44779999999999998</v>
      </c>
      <c r="F472">
        <v>4</v>
      </c>
      <c r="G472">
        <v>61</v>
      </c>
      <c r="H472">
        <v>65</v>
      </c>
    </row>
    <row r="473" spans="1:8" x14ac:dyDescent="0.3">
      <c r="A473">
        <v>471</v>
      </c>
      <c r="B473">
        <v>472</v>
      </c>
      <c r="C473">
        <v>0.13639999999999999</v>
      </c>
      <c r="D473">
        <v>0.26</v>
      </c>
      <c r="E473">
        <v>0.35820000000000002</v>
      </c>
      <c r="F473">
        <v>0</v>
      </c>
      <c r="G473">
        <v>97</v>
      </c>
      <c r="H473">
        <v>97</v>
      </c>
    </row>
    <row r="474" spans="1:8" x14ac:dyDescent="0.3">
      <c r="A474">
        <v>472</v>
      </c>
      <c r="B474">
        <v>473</v>
      </c>
      <c r="C474">
        <v>0.1212</v>
      </c>
      <c r="D474">
        <v>0.28000000000000003</v>
      </c>
      <c r="E474">
        <v>0.35820000000000002</v>
      </c>
      <c r="F474">
        <v>10</v>
      </c>
      <c r="G474">
        <v>151</v>
      </c>
      <c r="H474">
        <v>161</v>
      </c>
    </row>
    <row r="475" spans="1:8" x14ac:dyDescent="0.3">
      <c r="A475">
        <v>473</v>
      </c>
      <c r="B475">
        <v>474</v>
      </c>
      <c r="C475">
        <v>0.1212</v>
      </c>
      <c r="D475">
        <v>0.3</v>
      </c>
      <c r="E475">
        <v>0.25369999999999998</v>
      </c>
      <c r="F475">
        <v>1</v>
      </c>
      <c r="G475">
        <v>119</v>
      </c>
      <c r="H475">
        <v>120</v>
      </c>
    </row>
    <row r="476" spans="1:8" x14ac:dyDescent="0.3">
      <c r="A476">
        <v>474</v>
      </c>
      <c r="B476">
        <v>475</v>
      </c>
      <c r="C476">
        <v>0.1061</v>
      </c>
      <c r="D476">
        <v>0.3</v>
      </c>
      <c r="E476">
        <v>0.32840000000000003</v>
      </c>
      <c r="F476">
        <v>3</v>
      </c>
      <c r="G476">
        <v>93</v>
      </c>
      <c r="H476">
        <v>96</v>
      </c>
    </row>
    <row r="477" spans="1:8" x14ac:dyDescent="0.3">
      <c r="A477">
        <v>475</v>
      </c>
      <c r="B477">
        <v>476</v>
      </c>
      <c r="C477">
        <v>7.5800000000000006E-2</v>
      </c>
      <c r="D477">
        <v>0.33</v>
      </c>
      <c r="E477">
        <v>0.41789999999999999</v>
      </c>
      <c r="F477">
        <v>1</v>
      </c>
      <c r="G477">
        <v>52</v>
      </c>
      <c r="H477">
        <v>53</v>
      </c>
    </row>
    <row r="478" spans="1:8" x14ac:dyDescent="0.3">
      <c r="A478">
        <v>476</v>
      </c>
      <c r="B478">
        <v>477</v>
      </c>
      <c r="C478">
        <v>7.5800000000000006E-2</v>
      </c>
      <c r="D478">
        <v>0.38</v>
      </c>
      <c r="E478">
        <v>0.28360000000000002</v>
      </c>
      <c r="F478">
        <v>0</v>
      </c>
      <c r="G478">
        <v>41</v>
      </c>
      <c r="H478">
        <v>41</v>
      </c>
    </row>
    <row r="479" spans="1:8" x14ac:dyDescent="0.3">
      <c r="A479">
        <v>477</v>
      </c>
      <c r="B479">
        <v>478</v>
      </c>
      <c r="C479">
        <v>3.0300000000000001E-2</v>
      </c>
      <c r="D479">
        <v>0.41</v>
      </c>
      <c r="E479">
        <v>0.3881</v>
      </c>
      <c r="F479">
        <v>1</v>
      </c>
      <c r="G479">
        <v>33</v>
      </c>
      <c r="H479">
        <v>34</v>
      </c>
    </row>
    <row r="480" spans="1:8" x14ac:dyDescent="0.3">
      <c r="A480">
        <v>478</v>
      </c>
      <c r="B480">
        <v>479</v>
      </c>
      <c r="C480">
        <v>4.5499999999999999E-2</v>
      </c>
      <c r="D480">
        <v>0.38</v>
      </c>
      <c r="E480">
        <v>0.32840000000000003</v>
      </c>
      <c r="F480">
        <v>0</v>
      </c>
      <c r="G480">
        <v>27</v>
      </c>
      <c r="H480">
        <v>27</v>
      </c>
    </row>
    <row r="481" spans="1:8" x14ac:dyDescent="0.3">
      <c r="A481">
        <v>479</v>
      </c>
      <c r="B481">
        <v>480</v>
      </c>
      <c r="C481">
        <v>3.0300000000000001E-2</v>
      </c>
      <c r="D481">
        <v>0.45</v>
      </c>
      <c r="E481">
        <v>0.25369999999999998</v>
      </c>
      <c r="F481">
        <v>0</v>
      </c>
      <c r="G481">
        <v>13</v>
      </c>
      <c r="H481">
        <v>13</v>
      </c>
    </row>
    <row r="482" spans="1:8" x14ac:dyDescent="0.3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</row>
    <row r="483" spans="1:8" x14ac:dyDescent="0.3">
      <c r="A483">
        <v>481</v>
      </c>
      <c r="B483">
        <v>482</v>
      </c>
      <c r="C483">
        <v>3.0300000000000001E-2</v>
      </c>
      <c r="D483">
        <v>0.41</v>
      </c>
      <c r="E483">
        <v>0.25369999999999998</v>
      </c>
      <c r="F483">
        <v>0</v>
      </c>
      <c r="G483">
        <v>11</v>
      </c>
      <c r="H483">
        <v>11</v>
      </c>
    </row>
    <row r="484" spans="1:8" x14ac:dyDescent="0.3">
      <c r="A484">
        <v>482</v>
      </c>
      <c r="B484">
        <v>483</v>
      </c>
      <c r="C484">
        <v>3.0300000000000001E-2</v>
      </c>
      <c r="D484">
        <v>0.41</v>
      </c>
      <c r="E484">
        <v>0.28360000000000002</v>
      </c>
      <c r="F484">
        <v>1</v>
      </c>
      <c r="G484">
        <v>6</v>
      </c>
      <c r="H484">
        <v>7</v>
      </c>
    </row>
    <row r="485" spans="1:8" x14ac:dyDescent="0.3">
      <c r="A485">
        <v>483</v>
      </c>
      <c r="B485">
        <v>484</v>
      </c>
      <c r="C485">
        <v>1.52E-2</v>
      </c>
      <c r="D485">
        <v>0.48</v>
      </c>
      <c r="E485">
        <v>0.29849999999999999</v>
      </c>
      <c r="F485">
        <v>0</v>
      </c>
      <c r="G485">
        <v>3</v>
      </c>
      <c r="H485">
        <v>3</v>
      </c>
    </row>
    <row r="486" spans="1:8" x14ac:dyDescent="0.3">
      <c r="A486">
        <v>484</v>
      </c>
      <c r="B486">
        <v>485</v>
      </c>
      <c r="C486">
        <v>3.0300000000000001E-2</v>
      </c>
      <c r="D486">
        <v>0.44</v>
      </c>
      <c r="E486">
        <v>0.22389999999999999</v>
      </c>
      <c r="F486">
        <v>0</v>
      </c>
      <c r="G486">
        <v>2</v>
      </c>
      <c r="H486">
        <v>2</v>
      </c>
    </row>
    <row r="487" spans="1:8" x14ac:dyDescent="0.3">
      <c r="A487">
        <v>485</v>
      </c>
      <c r="B487">
        <v>486</v>
      </c>
      <c r="C487">
        <v>1.52E-2</v>
      </c>
      <c r="D487">
        <v>0.44</v>
      </c>
      <c r="E487">
        <v>0.28360000000000002</v>
      </c>
      <c r="F487">
        <v>0</v>
      </c>
      <c r="G487">
        <v>8</v>
      </c>
      <c r="H487">
        <v>8</v>
      </c>
    </row>
    <row r="488" spans="1:8" x14ac:dyDescent="0.3">
      <c r="A488">
        <v>486</v>
      </c>
      <c r="B488">
        <v>487</v>
      </c>
      <c r="C488">
        <v>0</v>
      </c>
      <c r="D488">
        <v>0.44</v>
      </c>
      <c r="E488">
        <v>0.32840000000000003</v>
      </c>
      <c r="F488">
        <v>1</v>
      </c>
      <c r="G488">
        <v>26</v>
      </c>
      <c r="H488">
        <v>27</v>
      </c>
    </row>
    <row r="489" spans="1:8" x14ac:dyDescent="0.3">
      <c r="A489">
        <v>487</v>
      </c>
      <c r="B489">
        <v>488</v>
      </c>
      <c r="C489">
        <v>3.0300000000000001E-2</v>
      </c>
      <c r="D489">
        <v>0.41</v>
      </c>
      <c r="E489">
        <v>0.25369999999999998</v>
      </c>
      <c r="F489">
        <v>3</v>
      </c>
      <c r="G489">
        <v>37</v>
      </c>
      <c r="H489">
        <v>40</v>
      </c>
    </row>
    <row r="490" spans="1:8" x14ac:dyDescent="0.3">
      <c r="A490">
        <v>488</v>
      </c>
      <c r="B490">
        <v>489</v>
      </c>
      <c r="C490">
        <v>6.0600000000000001E-2</v>
      </c>
      <c r="D490">
        <v>0.41</v>
      </c>
      <c r="E490">
        <v>0.16420000000000001</v>
      </c>
      <c r="F490">
        <v>3</v>
      </c>
      <c r="G490">
        <v>50</v>
      </c>
      <c r="H490">
        <v>53</v>
      </c>
    </row>
    <row r="491" spans="1:8" x14ac:dyDescent="0.3">
      <c r="A491">
        <v>489</v>
      </c>
      <c r="B491">
        <v>490</v>
      </c>
      <c r="C491">
        <v>7.5800000000000006E-2</v>
      </c>
      <c r="D491">
        <v>0.38</v>
      </c>
      <c r="E491">
        <v>0.1343</v>
      </c>
      <c r="F491">
        <v>4</v>
      </c>
      <c r="G491">
        <v>59</v>
      </c>
      <c r="H491">
        <v>63</v>
      </c>
    </row>
    <row r="492" spans="1:8" x14ac:dyDescent="0.3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</row>
    <row r="493" spans="1:8" x14ac:dyDescent="0.3">
      <c r="A493">
        <v>491</v>
      </c>
      <c r="B493">
        <v>492</v>
      </c>
      <c r="C493">
        <v>0.16669999999999999</v>
      </c>
      <c r="D493">
        <v>0.35</v>
      </c>
      <c r="E493">
        <v>0</v>
      </c>
      <c r="F493">
        <v>12</v>
      </c>
      <c r="G493">
        <v>72</v>
      </c>
      <c r="H493">
        <v>84</v>
      </c>
    </row>
    <row r="494" spans="1:8" x14ac:dyDescent="0.3">
      <c r="A494">
        <v>492</v>
      </c>
      <c r="B494">
        <v>493</v>
      </c>
      <c r="C494">
        <v>0.13639999999999999</v>
      </c>
      <c r="D494">
        <v>0.33</v>
      </c>
      <c r="E494">
        <v>0.1045</v>
      </c>
      <c r="F494">
        <v>11</v>
      </c>
      <c r="G494">
        <v>64</v>
      </c>
      <c r="H494">
        <v>75</v>
      </c>
    </row>
    <row r="495" spans="1:8" x14ac:dyDescent="0.3">
      <c r="A495">
        <v>493</v>
      </c>
      <c r="B495">
        <v>494</v>
      </c>
      <c r="C495">
        <v>0.1515</v>
      </c>
      <c r="D495">
        <v>0.28000000000000003</v>
      </c>
      <c r="E495">
        <v>0</v>
      </c>
      <c r="F495">
        <v>10</v>
      </c>
      <c r="G495">
        <v>93</v>
      </c>
      <c r="H495">
        <v>103</v>
      </c>
    </row>
    <row r="496" spans="1:8" x14ac:dyDescent="0.3">
      <c r="A496">
        <v>494</v>
      </c>
      <c r="B496">
        <v>495</v>
      </c>
      <c r="C496">
        <v>0.13639999999999999</v>
      </c>
      <c r="D496">
        <v>0.28000000000000003</v>
      </c>
      <c r="E496">
        <v>0.19400000000000001</v>
      </c>
      <c r="F496">
        <v>11</v>
      </c>
      <c r="G496">
        <v>72</v>
      </c>
      <c r="H496">
        <v>83</v>
      </c>
    </row>
    <row r="497" spans="1:8" x14ac:dyDescent="0.3">
      <c r="A497">
        <v>495</v>
      </c>
      <c r="B497">
        <v>496</v>
      </c>
      <c r="C497">
        <v>0.19700000000000001</v>
      </c>
      <c r="D497">
        <v>0.28000000000000003</v>
      </c>
      <c r="E497">
        <v>0</v>
      </c>
      <c r="F497">
        <v>8</v>
      </c>
      <c r="G497">
        <v>59</v>
      </c>
      <c r="H497">
        <v>67</v>
      </c>
    </row>
    <row r="498" spans="1:8" x14ac:dyDescent="0.3">
      <c r="A498">
        <v>496</v>
      </c>
      <c r="B498">
        <v>497</v>
      </c>
      <c r="C498">
        <v>9.0899999999999995E-2</v>
      </c>
      <c r="D498">
        <v>0.35</v>
      </c>
      <c r="E498">
        <v>0.19400000000000001</v>
      </c>
      <c r="F498">
        <v>0</v>
      </c>
      <c r="G498">
        <v>54</v>
      </c>
      <c r="H498">
        <v>54</v>
      </c>
    </row>
    <row r="499" spans="1:8" x14ac:dyDescent="0.3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</row>
    <row r="500" spans="1:8" x14ac:dyDescent="0.3">
      <c r="A500">
        <v>498</v>
      </c>
      <c r="B500">
        <v>499</v>
      </c>
      <c r="C500">
        <v>7.5800000000000006E-2</v>
      </c>
      <c r="D500">
        <v>0.45</v>
      </c>
      <c r="E500">
        <v>0.16420000000000001</v>
      </c>
      <c r="F500">
        <v>1</v>
      </c>
      <c r="G500">
        <v>44</v>
      </c>
      <c r="H500">
        <v>45</v>
      </c>
    </row>
    <row r="501" spans="1:8" x14ac:dyDescent="0.3">
      <c r="A501">
        <v>499</v>
      </c>
      <c r="B501">
        <v>500</v>
      </c>
      <c r="C501">
        <v>0.1061</v>
      </c>
      <c r="D501">
        <v>0.41</v>
      </c>
      <c r="E501">
        <v>8.9599999999999999E-2</v>
      </c>
      <c r="F501">
        <v>0</v>
      </c>
      <c r="G501">
        <v>39</v>
      </c>
      <c r="H501">
        <v>39</v>
      </c>
    </row>
    <row r="502" spans="1:8" x14ac:dyDescent="0.3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</row>
    <row r="503" spans="1:8" x14ac:dyDescent="0.3">
      <c r="A503">
        <v>501</v>
      </c>
      <c r="B503">
        <v>502</v>
      </c>
      <c r="C503">
        <v>7.5800000000000006E-2</v>
      </c>
      <c r="D503">
        <v>0.56999999999999995</v>
      </c>
      <c r="E503">
        <v>0.1045</v>
      </c>
      <c r="F503">
        <v>2</v>
      </c>
      <c r="G503">
        <v>31</v>
      </c>
      <c r="H503">
        <v>33</v>
      </c>
    </row>
    <row r="504" spans="1:8" x14ac:dyDescent="0.3">
      <c r="A504">
        <v>502</v>
      </c>
      <c r="B504">
        <v>503</v>
      </c>
      <c r="C504">
        <v>7.5800000000000006E-2</v>
      </c>
      <c r="D504">
        <v>0.56999999999999995</v>
      </c>
      <c r="E504">
        <v>0.1045</v>
      </c>
      <c r="F504">
        <v>2</v>
      </c>
      <c r="G504">
        <v>20</v>
      </c>
      <c r="H504">
        <v>22</v>
      </c>
    </row>
    <row r="505" spans="1:8" x14ac:dyDescent="0.3">
      <c r="A505">
        <v>503</v>
      </c>
      <c r="B505">
        <v>504</v>
      </c>
      <c r="C505">
        <v>7.5800000000000006E-2</v>
      </c>
      <c r="D505">
        <v>0.56999999999999995</v>
      </c>
      <c r="E505">
        <v>0.1045</v>
      </c>
      <c r="F505">
        <v>1</v>
      </c>
      <c r="G505">
        <v>12</v>
      </c>
      <c r="H505">
        <v>13</v>
      </c>
    </row>
    <row r="506" spans="1:8" x14ac:dyDescent="0.3">
      <c r="A506">
        <v>504</v>
      </c>
      <c r="B506">
        <v>505</v>
      </c>
      <c r="C506">
        <v>6.0600000000000001E-2</v>
      </c>
      <c r="D506">
        <v>0.62</v>
      </c>
      <c r="E506">
        <v>0.1343</v>
      </c>
      <c r="F506">
        <v>3</v>
      </c>
      <c r="G506">
        <v>15</v>
      </c>
      <c r="H506">
        <v>18</v>
      </c>
    </row>
    <row r="507" spans="1:8" x14ac:dyDescent="0.3">
      <c r="A507">
        <v>505</v>
      </c>
      <c r="B507">
        <v>506</v>
      </c>
      <c r="C507">
        <v>6.0600000000000001E-2</v>
      </c>
      <c r="D507">
        <v>0.62</v>
      </c>
      <c r="E507">
        <v>0.1343</v>
      </c>
      <c r="F507">
        <v>1</v>
      </c>
      <c r="G507">
        <v>4</v>
      </c>
      <c r="H507">
        <v>5</v>
      </c>
    </row>
    <row r="508" spans="1:8" x14ac:dyDescent="0.3">
      <c r="A508">
        <v>506</v>
      </c>
      <c r="B508">
        <v>507</v>
      </c>
      <c r="C508">
        <v>7.5800000000000006E-2</v>
      </c>
      <c r="D508">
        <v>0.56999999999999995</v>
      </c>
      <c r="E508">
        <v>0.1045</v>
      </c>
      <c r="F508">
        <v>0</v>
      </c>
      <c r="G508">
        <v>3</v>
      </c>
      <c r="H508">
        <v>3</v>
      </c>
    </row>
    <row r="509" spans="1:8" x14ac:dyDescent="0.3">
      <c r="A509">
        <v>507</v>
      </c>
      <c r="B509">
        <v>508</v>
      </c>
      <c r="C509">
        <v>7.5800000000000006E-2</v>
      </c>
      <c r="D509">
        <v>0.56999999999999995</v>
      </c>
      <c r="E509">
        <v>0.1045</v>
      </c>
      <c r="F509">
        <v>0</v>
      </c>
      <c r="G509">
        <v>1</v>
      </c>
      <c r="H509">
        <v>1</v>
      </c>
    </row>
    <row r="510" spans="1:8" x14ac:dyDescent="0.3">
      <c r="A510">
        <v>508</v>
      </c>
      <c r="B510">
        <v>509</v>
      </c>
      <c r="C510">
        <v>0.1061</v>
      </c>
      <c r="D510">
        <v>0.57999999999999996</v>
      </c>
      <c r="E510">
        <v>0.16420000000000001</v>
      </c>
      <c r="F510">
        <v>1</v>
      </c>
      <c r="G510">
        <v>1</v>
      </c>
      <c r="H510">
        <v>2</v>
      </c>
    </row>
    <row r="511" spans="1:8" x14ac:dyDescent="0.3">
      <c r="A511">
        <v>509</v>
      </c>
      <c r="B511">
        <v>510</v>
      </c>
      <c r="C511">
        <v>7.5800000000000006E-2</v>
      </c>
      <c r="D511">
        <v>0.62</v>
      </c>
      <c r="E511">
        <v>0.16420000000000001</v>
      </c>
      <c r="F511">
        <v>2</v>
      </c>
      <c r="G511">
        <v>17</v>
      </c>
      <c r="H511">
        <v>19</v>
      </c>
    </row>
    <row r="512" spans="1:8" x14ac:dyDescent="0.3">
      <c r="A512">
        <v>510</v>
      </c>
      <c r="B512">
        <v>511</v>
      </c>
      <c r="C512">
        <v>7.5800000000000006E-2</v>
      </c>
      <c r="D512">
        <v>0.54</v>
      </c>
      <c r="E512">
        <v>0.35820000000000002</v>
      </c>
      <c r="F512">
        <v>3</v>
      </c>
      <c r="G512">
        <v>25</v>
      </c>
      <c r="H512">
        <v>28</v>
      </c>
    </row>
    <row r="513" spans="1:8" x14ac:dyDescent="0.3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</row>
    <row r="514" spans="1:8" x14ac:dyDescent="0.3">
      <c r="A514">
        <v>512</v>
      </c>
      <c r="B514">
        <v>513</v>
      </c>
      <c r="C514">
        <v>0.13639999999999999</v>
      </c>
      <c r="D514">
        <v>0.43</v>
      </c>
      <c r="E514">
        <v>0.22389999999999999</v>
      </c>
      <c r="F514">
        <v>22</v>
      </c>
      <c r="G514">
        <v>77</v>
      </c>
      <c r="H514">
        <v>99</v>
      </c>
    </row>
    <row r="515" spans="1:8" x14ac:dyDescent="0.3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</row>
    <row r="516" spans="1:8" x14ac:dyDescent="0.3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</row>
    <row r="517" spans="1:8" x14ac:dyDescent="0.3">
      <c r="A517">
        <v>515</v>
      </c>
      <c r="B517">
        <v>516</v>
      </c>
      <c r="C517">
        <v>0.13639999999999999</v>
      </c>
      <c r="D517">
        <v>0.28000000000000003</v>
      </c>
      <c r="E517">
        <v>0.35820000000000002</v>
      </c>
      <c r="F517">
        <v>17</v>
      </c>
      <c r="G517">
        <v>93</v>
      </c>
      <c r="H517">
        <v>110</v>
      </c>
    </row>
    <row r="518" spans="1:8" x14ac:dyDescent="0.3">
      <c r="A518">
        <v>516</v>
      </c>
      <c r="B518">
        <v>517</v>
      </c>
      <c r="C518">
        <v>0.13639999999999999</v>
      </c>
      <c r="D518">
        <v>0.28000000000000003</v>
      </c>
      <c r="E518">
        <v>0.35820000000000002</v>
      </c>
      <c r="F518">
        <v>13</v>
      </c>
      <c r="G518">
        <v>64</v>
      </c>
      <c r="H518">
        <v>77</v>
      </c>
    </row>
    <row r="519" spans="1:8" x14ac:dyDescent="0.3">
      <c r="A519">
        <v>517</v>
      </c>
      <c r="B519">
        <v>518</v>
      </c>
      <c r="C519">
        <v>0.13639999999999999</v>
      </c>
      <c r="D519">
        <v>0.26</v>
      </c>
      <c r="E519">
        <v>0.32840000000000003</v>
      </c>
      <c r="F519">
        <v>9</v>
      </c>
      <c r="G519">
        <v>56</v>
      </c>
      <c r="H519">
        <v>65</v>
      </c>
    </row>
    <row r="520" spans="1:8" x14ac:dyDescent="0.3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</row>
    <row r="521" spans="1:8" x14ac:dyDescent="0.3">
      <c r="A521">
        <v>519</v>
      </c>
      <c r="B521">
        <v>520</v>
      </c>
      <c r="C521">
        <v>0.1212</v>
      </c>
      <c r="D521">
        <v>0.3</v>
      </c>
      <c r="E521">
        <v>0.25369999999999998</v>
      </c>
      <c r="F521">
        <v>5</v>
      </c>
      <c r="G521">
        <v>44</v>
      </c>
      <c r="H521">
        <v>49</v>
      </c>
    </row>
    <row r="522" spans="1:8" x14ac:dyDescent="0.3">
      <c r="A522">
        <v>520</v>
      </c>
      <c r="B522">
        <v>521</v>
      </c>
      <c r="C522">
        <v>0.1212</v>
      </c>
      <c r="D522">
        <v>0.3</v>
      </c>
      <c r="E522">
        <v>0.28360000000000002</v>
      </c>
      <c r="F522">
        <v>5</v>
      </c>
      <c r="G522">
        <v>45</v>
      </c>
      <c r="H522">
        <v>50</v>
      </c>
    </row>
    <row r="523" spans="1:8" x14ac:dyDescent="0.3">
      <c r="A523">
        <v>521</v>
      </c>
      <c r="B523">
        <v>522</v>
      </c>
      <c r="C523">
        <v>0.1061</v>
      </c>
      <c r="D523">
        <v>0.36</v>
      </c>
      <c r="E523">
        <v>0.25369999999999998</v>
      </c>
      <c r="F523">
        <v>4</v>
      </c>
      <c r="G523">
        <v>31</v>
      </c>
      <c r="H523">
        <v>35</v>
      </c>
    </row>
    <row r="524" spans="1:8" x14ac:dyDescent="0.3">
      <c r="A524">
        <v>522</v>
      </c>
      <c r="B524">
        <v>523</v>
      </c>
      <c r="C524">
        <v>0.1061</v>
      </c>
      <c r="D524">
        <v>0.36</v>
      </c>
      <c r="E524">
        <v>0.19400000000000001</v>
      </c>
      <c r="F524">
        <v>5</v>
      </c>
      <c r="G524">
        <v>20</v>
      </c>
      <c r="H524">
        <v>25</v>
      </c>
    </row>
    <row r="525" spans="1:8" x14ac:dyDescent="0.3">
      <c r="A525">
        <v>523</v>
      </c>
      <c r="B525">
        <v>524</v>
      </c>
      <c r="C525">
        <v>9.0899999999999995E-2</v>
      </c>
      <c r="D525">
        <v>0.38</v>
      </c>
      <c r="E525">
        <v>0.19400000000000001</v>
      </c>
      <c r="F525">
        <v>5</v>
      </c>
      <c r="G525">
        <v>23</v>
      </c>
      <c r="H525">
        <v>28</v>
      </c>
    </row>
    <row r="526" spans="1:8" x14ac:dyDescent="0.3">
      <c r="A526">
        <v>524</v>
      </c>
      <c r="B526">
        <v>525</v>
      </c>
      <c r="C526">
        <v>6.0600000000000001E-2</v>
      </c>
      <c r="D526">
        <v>0.41</v>
      </c>
      <c r="E526">
        <v>0.22389999999999999</v>
      </c>
      <c r="F526">
        <v>4</v>
      </c>
      <c r="G526">
        <v>17</v>
      </c>
      <c r="H526">
        <v>21</v>
      </c>
    </row>
    <row r="527" spans="1:8" x14ac:dyDescent="0.3">
      <c r="A527">
        <v>525</v>
      </c>
      <c r="B527">
        <v>526</v>
      </c>
      <c r="C527">
        <v>6.0600000000000001E-2</v>
      </c>
      <c r="D527">
        <v>0.41</v>
      </c>
      <c r="E527">
        <v>0.19400000000000001</v>
      </c>
      <c r="F527">
        <v>0</v>
      </c>
      <c r="G527">
        <v>7</v>
      </c>
      <c r="H527">
        <v>7</v>
      </c>
    </row>
    <row r="528" spans="1:8" x14ac:dyDescent="0.3">
      <c r="A528">
        <v>526</v>
      </c>
      <c r="B528">
        <v>527</v>
      </c>
      <c r="C528">
        <v>4.5499999999999999E-2</v>
      </c>
      <c r="D528">
        <v>0.45</v>
      </c>
      <c r="E528">
        <v>0.19400000000000001</v>
      </c>
      <c r="F528">
        <v>0</v>
      </c>
      <c r="G528">
        <v>1</v>
      </c>
      <c r="H528">
        <v>1</v>
      </c>
    </row>
    <row r="529" spans="1:8" x14ac:dyDescent="0.3">
      <c r="A529">
        <v>527</v>
      </c>
      <c r="B529">
        <v>528</v>
      </c>
      <c r="C529">
        <v>3.0300000000000001E-2</v>
      </c>
      <c r="D529">
        <v>0.45</v>
      </c>
      <c r="E529">
        <v>0.25369999999999998</v>
      </c>
      <c r="F529">
        <v>0</v>
      </c>
      <c r="G529">
        <v>1</v>
      </c>
      <c r="H529">
        <v>1</v>
      </c>
    </row>
    <row r="530" spans="1:8" x14ac:dyDescent="0.3">
      <c r="A530">
        <v>528</v>
      </c>
      <c r="B530">
        <v>529</v>
      </c>
      <c r="C530">
        <v>6.0600000000000001E-2</v>
      </c>
      <c r="D530">
        <v>0.48</v>
      </c>
      <c r="E530">
        <v>0.1343</v>
      </c>
      <c r="F530">
        <v>0</v>
      </c>
      <c r="G530">
        <v>1</v>
      </c>
      <c r="H530">
        <v>1</v>
      </c>
    </row>
    <row r="531" spans="1:8" x14ac:dyDescent="0.3">
      <c r="A531">
        <v>529</v>
      </c>
      <c r="B531">
        <v>530</v>
      </c>
      <c r="C531">
        <v>6.0600000000000001E-2</v>
      </c>
      <c r="D531">
        <v>0.48</v>
      </c>
      <c r="E531">
        <v>0.1343</v>
      </c>
      <c r="F531">
        <v>0</v>
      </c>
      <c r="G531">
        <v>5</v>
      </c>
      <c r="H531">
        <v>5</v>
      </c>
    </row>
    <row r="532" spans="1:8" x14ac:dyDescent="0.3">
      <c r="A532">
        <v>530</v>
      </c>
      <c r="B532">
        <v>531</v>
      </c>
      <c r="C532">
        <v>7.5800000000000006E-2</v>
      </c>
      <c r="D532">
        <v>0.48</v>
      </c>
      <c r="E532">
        <v>8.9599999999999999E-2</v>
      </c>
      <c r="F532">
        <v>0</v>
      </c>
      <c r="G532">
        <v>15</v>
      </c>
      <c r="H532">
        <v>15</v>
      </c>
    </row>
    <row r="533" spans="1:8" x14ac:dyDescent="0.3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</row>
    <row r="534" spans="1:8" x14ac:dyDescent="0.3">
      <c r="A534">
        <v>532</v>
      </c>
      <c r="B534">
        <v>533</v>
      </c>
      <c r="C534">
        <v>0.13639999999999999</v>
      </c>
      <c r="D534">
        <v>0.49</v>
      </c>
      <c r="E534">
        <v>0</v>
      </c>
      <c r="F534">
        <v>6</v>
      </c>
      <c r="G534">
        <v>171</v>
      </c>
      <c r="H534">
        <v>177</v>
      </c>
    </row>
    <row r="535" spans="1:8" x14ac:dyDescent="0.3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</row>
    <row r="536" spans="1:8" x14ac:dyDescent="0.3">
      <c r="A536">
        <v>534</v>
      </c>
      <c r="B536">
        <v>535</v>
      </c>
      <c r="C536">
        <v>0.13639999999999999</v>
      </c>
      <c r="D536">
        <v>0.42</v>
      </c>
      <c r="E536">
        <v>0</v>
      </c>
      <c r="F536">
        <v>6</v>
      </c>
      <c r="G536">
        <v>34</v>
      </c>
      <c r="H536">
        <v>40</v>
      </c>
    </row>
    <row r="537" spans="1:8" x14ac:dyDescent="0.3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</row>
    <row r="538" spans="1:8" x14ac:dyDescent="0.3">
      <c r="A538">
        <v>536</v>
      </c>
      <c r="B538">
        <v>537</v>
      </c>
      <c r="C538">
        <v>0.13639999999999999</v>
      </c>
      <c r="D538">
        <v>0.42</v>
      </c>
      <c r="E538">
        <v>0.19400000000000001</v>
      </c>
      <c r="F538">
        <v>11</v>
      </c>
      <c r="G538">
        <v>52</v>
      </c>
      <c r="H538">
        <v>63</v>
      </c>
    </row>
    <row r="539" spans="1:8" x14ac:dyDescent="0.3">
      <c r="A539">
        <v>537</v>
      </c>
      <c r="B539">
        <v>538</v>
      </c>
      <c r="C539">
        <v>0.13639999999999999</v>
      </c>
      <c r="D539">
        <v>0.43</v>
      </c>
      <c r="E539">
        <v>0.22389999999999999</v>
      </c>
      <c r="F539">
        <v>6</v>
      </c>
      <c r="G539">
        <v>54</v>
      </c>
      <c r="H539">
        <v>60</v>
      </c>
    </row>
    <row r="540" spans="1:8" x14ac:dyDescent="0.3">
      <c r="A540">
        <v>538</v>
      </c>
      <c r="B540">
        <v>539</v>
      </c>
      <c r="C540">
        <v>0.13639999999999999</v>
      </c>
      <c r="D540">
        <v>0.46</v>
      </c>
      <c r="E540">
        <v>0.22389999999999999</v>
      </c>
      <c r="F540">
        <v>2</v>
      </c>
      <c r="G540">
        <v>43</v>
      </c>
      <c r="H540">
        <v>45</v>
      </c>
    </row>
    <row r="541" spans="1:8" x14ac:dyDescent="0.3">
      <c r="A541">
        <v>539</v>
      </c>
      <c r="B541">
        <v>540</v>
      </c>
      <c r="C541">
        <v>0.16669999999999999</v>
      </c>
      <c r="D541">
        <v>0.4</v>
      </c>
      <c r="E541">
        <v>0.16420000000000001</v>
      </c>
      <c r="F541">
        <v>7</v>
      </c>
      <c r="G541">
        <v>50</v>
      </c>
      <c r="H541">
        <v>57</v>
      </c>
    </row>
    <row r="542" spans="1:8" x14ac:dyDescent="0.3">
      <c r="A542">
        <v>540</v>
      </c>
      <c r="B542">
        <v>541</v>
      </c>
      <c r="C542">
        <v>0.1515</v>
      </c>
      <c r="D542">
        <v>0.47</v>
      </c>
      <c r="E542">
        <v>0.25369999999999998</v>
      </c>
      <c r="F542">
        <v>4</v>
      </c>
      <c r="G542">
        <v>66</v>
      </c>
      <c r="H542">
        <v>70</v>
      </c>
    </row>
    <row r="543" spans="1:8" x14ac:dyDescent="0.3">
      <c r="A543">
        <v>541</v>
      </c>
      <c r="B543">
        <v>542</v>
      </c>
      <c r="C543">
        <v>0.1212</v>
      </c>
      <c r="D543">
        <v>0.5</v>
      </c>
      <c r="E543">
        <v>0.25369999999999998</v>
      </c>
      <c r="F543">
        <v>6</v>
      </c>
      <c r="G543">
        <v>178</v>
      </c>
      <c r="H543">
        <v>184</v>
      </c>
    </row>
    <row r="544" spans="1:8" x14ac:dyDescent="0.3">
      <c r="A544">
        <v>542</v>
      </c>
      <c r="B544">
        <v>543</v>
      </c>
      <c r="C544">
        <v>0.13639999999999999</v>
      </c>
      <c r="D544">
        <v>0.59</v>
      </c>
      <c r="E544">
        <v>0.19400000000000001</v>
      </c>
      <c r="F544">
        <v>8</v>
      </c>
      <c r="G544">
        <v>145</v>
      </c>
      <c r="H544">
        <v>153</v>
      </c>
    </row>
    <row r="545" spans="1:8" x14ac:dyDescent="0.3">
      <c r="A545">
        <v>543</v>
      </c>
      <c r="B545">
        <v>544</v>
      </c>
      <c r="C545">
        <v>0.1515</v>
      </c>
      <c r="D545">
        <v>0.54</v>
      </c>
      <c r="E545">
        <v>0.16420000000000001</v>
      </c>
      <c r="F545">
        <v>5</v>
      </c>
      <c r="G545">
        <v>101</v>
      </c>
      <c r="H545">
        <v>106</v>
      </c>
    </row>
    <row r="546" spans="1:8" x14ac:dyDescent="0.3">
      <c r="A546">
        <v>544</v>
      </c>
      <c r="B546">
        <v>545</v>
      </c>
      <c r="C546">
        <v>0.13639999999999999</v>
      </c>
      <c r="D546">
        <v>0.59</v>
      </c>
      <c r="E546">
        <v>0.19400000000000001</v>
      </c>
      <c r="F546">
        <v>1</v>
      </c>
      <c r="G546">
        <v>80</v>
      </c>
      <c r="H546">
        <v>81</v>
      </c>
    </row>
    <row r="547" spans="1:8" x14ac:dyDescent="0.3">
      <c r="A547">
        <v>545</v>
      </c>
      <c r="B547">
        <v>546</v>
      </c>
      <c r="C547">
        <v>0.1515</v>
      </c>
      <c r="D547">
        <v>0.63</v>
      </c>
      <c r="E547">
        <v>0.16420000000000001</v>
      </c>
      <c r="F547">
        <v>6</v>
      </c>
      <c r="G547">
        <v>53</v>
      </c>
      <c r="H547">
        <v>59</v>
      </c>
    </row>
    <row r="548" spans="1:8" x14ac:dyDescent="0.3">
      <c r="A548">
        <v>546</v>
      </c>
      <c r="B548">
        <v>547</v>
      </c>
      <c r="C548">
        <v>0.13639999999999999</v>
      </c>
      <c r="D548">
        <v>0.63</v>
      </c>
      <c r="E548">
        <v>0.22389999999999999</v>
      </c>
      <c r="F548">
        <v>3</v>
      </c>
      <c r="G548">
        <v>32</v>
      </c>
      <c r="H548">
        <v>35</v>
      </c>
    </row>
    <row r="549" spans="1:8" x14ac:dyDescent="0.3">
      <c r="A549">
        <v>547</v>
      </c>
      <c r="B549">
        <v>548</v>
      </c>
      <c r="C549">
        <v>0.1515</v>
      </c>
      <c r="D549">
        <v>0.64</v>
      </c>
      <c r="E549">
        <v>0.25369999999999998</v>
      </c>
      <c r="F549">
        <v>3</v>
      </c>
      <c r="G549">
        <v>21</v>
      </c>
      <c r="H549">
        <v>24</v>
      </c>
    </row>
    <row r="550" spans="1:8" x14ac:dyDescent="0.3">
      <c r="A550">
        <v>548</v>
      </c>
      <c r="B550">
        <v>549</v>
      </c>
      <c r="C550">
        <v>0.13639999999999999</v>
      </c>
      <c r="D550">
        <v>0.69</v>
      </c>
      <c r="E550">
        <v>0.28360000000000002</v>
      </c>
      <c r="F550">
        <v>3</v>
      </c>
      <c r="G550">
        <v>6</v>
      </c>
      <c r="H550">
        <v>9</v>
      </c>
    </row>
    <row r="551" spans="1:8" x14ac:dyDescent="0.3">
      <c r="A551">
        <v>549</v>
      </c>
      <c r="B551">
        <v>550</v>
      </c>
      <c r="C551">
        <v>0.16669999999999999</v>
      </c>
      <c r="D551">
        <v>0.69</v>
      </c>
      <c r="E551">
        <v>0.16420000000000001</v>
      </c>
      <c r="F551">
        <v>0</v>
      </c>
      <c r="G551">
        <v>5</v>
      </c>
      <c r="H551">
        <v>5</v>
      </c>
    </row>
    <row r="552" spans="1:8" x14ac:dyDescent="0.3">
      <c r="A552">
        <v>550</v>
      </c>
      <c r="B552">
        <v>551</v>
      </c>
      <c r="C552">
        <v>0.1515</v>
      </c>
      <c r="D552">
        <v>0.69</v>
      </c>
      <c r="E552">
        <v>0.22389999999999999</v>
      </c>
      <c r="F552">
        <v>0</v>
      </c>
      <c r="G552">
        <v>2</v>
      </c>
      <c r="H552">
        <v>2</v>
      </c>
    </row>
    <row r="553" spans="1:8" x14ac:dyDescent="0.3">
      <c r="A553">
        <v>551</v>
      </c>
      <c r="B553">
        <v>552</v>
      </c>
      <c r="C553">
        <v>0.16669999999999999</v>
      </c>
      <c r="D553">
        <v>0.74</v>
      </c>
      <c r="E553">
        <v>0.1045</v>
      </c>
      <c r="F553">
        <v>0</v>
      </c>
      <c r="G553">
        <v>1</v>
      </c>
      <c r="H553">
        <v>1</v>
      </c>
    </row>
    <row r="554" spans="1:8" x14ac:dyDescent="0.3">
      <c r="A554">
        <v>552</v>
      </c>
      <c r="B554">
        <v>553</v>
      </c>
      <c r="C554">
        <v>0.13639999999999999</v>
      </c>
      <c r="D554">
        <v>0.74</v>
      </c>
      <c r="E554">
        <v>0.22389999999999999</v>
      </c>
      <c r="F554">
        <v>0</v>
      </c>
      <c r="G554">
        <v>9</v>
      </c>
      <c r="H554">
        <v>9</v>
      </c>
    </row>
    <row r="555" spans="1:8" x14ac:dyDescent="0.3">
      <c r="A555">
        <v>553</v>
      </c>
      <c r="B555">
        <v>554</v>
      </c>
      <c r="C555">
        <v>0.18179999999999999</v>
      </c>
      <c r="D555">
        <v>0.74</v>
      </c>
      <c r="E555">
        <v>0.1045</v>
      </c>
      <c r="F555">
        <v>1</v>
      </c>
      <c r="G555">
        <v>35</v>
      </c>
      <c r="H555">
        <v>36</v>
      </c>
    </row>
    <row r="556" spans="1:8" x14ac:dyDescent="0.3">
      <c r="A556">
        <v>554</v>
      </c>
      <c r="B556">
        <v>555</v>
      </c>
      <c r="C556">
        <v>0.1515</v>
      </c>
      <c r="D556">
        <v>0.74</v>
      </c>
      <c r="E556">
        <v>0.22389999999999999</v>
      </c>
      <c r="F556">
        <v>5</v>
      </c>
      <c r="G556">
        <v>103</v>
      </c>
      <c r="H556">
        <v>108</v>
      </c>
    </row>
    <row r="557" spans="1:8" x14ac:dyDescent="0.3">
      <c r="A557">
        <v>555</v>
      </c>
      <c r="B557">
        <v>556</v>
      </c>
      <c r="C557">
        <v>0.18179999999999999</v>
      </c>
      <c r="D557">
        <v>0.74</v>
      </c>
      <c r="E557">
        <v>0.1343</v>
      </c>
      <c r="F557">
        <v>5</v>
      </c>
      <c r="G557">
        <v>233</v>
      </c>
      <c r="H557">
        <v>238</v>
      </c>
    </row>
    <row r="558" spans="1:8" x14ac:dyDescent="0.3">
      <c r="A558">
        <v>556</v>
      </c>
      <c r="B558">
        <v>557</v>
      </c>
      <c r="C558">
        <v>0.2273</v>
      </c>
      <c r="D558">
        <v>0.64</v>
      </c>
      <c r="E558">
        <v>8.9599999999999999E-2</v>
      </c>
      <c r="F558">
        <v>10</v>
      </c>
      <c r="G558">
        <v>134</v>
      </c>
      <c r="H558">
        <v>144</v>
      </c>
    </row>
    <row r="559" spans="1:8" x14ac:dyDescent="0.3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</row>
    <row r="560" spans="1:8" x14ac:dyDescent="0.3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</row>
    <row r="561" spans="1:8" x14ac:dyDescent="0.3">
      <c r="A561">
        <v>559</v>
      </c>
      <c r="B561">
        <v>560</v>
      </c>
      <c r="C561">
        <v>0.28789999999999999</v>
      </c>
      <c r="D561">
        <v>0.56000000000000005</v>
      </c>
      <c r="E561">
        <v>8.9599999999999999E-2</v>
      </c>
      <c r="F561">
        <v>21</v>
      </c>
      <c r="G561">
        <v>85</v>
      </c>
      <c r="H561">
        <v>106</v>
      </c>
    </row>
    <row r="562" spans="1:8" x14ac:dyDescent="0.3">
      <c r="A562">
        <v>560</v>
      </c>
      <c r="B562">
        <v>561</v>
      </c>
      <c r="C562">
        <v>0.2727</v>
      </c>
      <c r="D562">
        <v>0.56000000000000005</v>
      </c>
      <c r="E562">
        <v>0.1343</v>
      </c>
      <c r="F562">
        <v>21</v>
      </c>
      <c r="G562">
        <v>72</v>
      </c>
      <c r="H562">
        <v>93</v>
      </c>
    </row>
    <row r="563" spans="1:8" x14ac:dyDescent="0.3">
      <c r="A563">
        <v>561</v>
      </c>
      <c r="B563">
        <v>562</v>
      </c>
      <c r="C563">
        <v>0.33329999999999999</v>
      </c>
      <c r="D563">
        <v>0.45</v>
      </c>
      <c r="E563">
        <v>0</v>
      </c>
      <c r="F563">
        <v>11</v>
      </c>
      <c r="G563">
        <v>57</v>
      </c>
      <c r="H563">
        <v>68</v>
      </c>
    </row>
    <row r="564" spans="1:8" x14ac:dyDescent="0.3">
      <c r="A564">
        <v>562</v>
      </c>
      <c r="B564">
        <v>563</v>
      </c>
      <c r="C564">
        <v>0.34849999999999998</v>
      </c>
      <c r="D564">
        <v>0.42</v>
      </c>
      <c r="E564">
        <v>0</v>
      </c>
      <c r="F564">
        <v>21</v>
      </c>
      <c r="G564">
        <v>63</v>
      </c>
      <c r="H564">
        <v>84</v>
      </c>
    </row>
    <row r="565" spans="1:8" x14ac:dyDescent="0.3">
      <c r="A565">
        <v>563</v>
      </c>
      <c r="B565">
        <v>564</v>
      </c>
      <c r="C565">
        <v>0.34849999999999998</v>
      </c>
      <c r="D565">
        <v>0.42</v>
      </c>
      <c r="E565">
        <v>0</v>
      </c>
      <c r="F565">
        <v>14</v>
      </c>
      <c r="G565">
        <v>102</v>
      </c>
      <c r="H565">
        <v>116</v>
      </c>
    </row>
    <row r="566" spans="1:8" x14ac:dyDescent="0.3">
      <c r="A566">
        <v>564</v>
      </c>
      <c r="B566">
        <v>565</v>
      </c>
      <c r="C566">
        <v>0.33329999999999999</v>
      </c>
      <c r="D566">
        <v>0.45</v>
      </c>
      <c r="E566">
        <v>0</v>
      </c>
      <c r="F566">
        <v>14</v>
      </c>
      <c r="G566">
        <v>208</v>
      </c>
      <c r="H566">
        <v>222</v>
      </c>
    </row>
    <row r="567" spans="1:8" x14ac:dyDescent="0.3">
      <c r="A567">
        <v>565</v>
      </c>
      <c r="B567">
        <v>566</v>
      </c>
      <c r="C567">
        <v>0.31819999999999998</v>
      </c>
      <c r="D567">
        <v>0.49</v>
      </c>
      <c r="E567">
        <v>8.9599999999999999E-2</v>
      </c>
      <c r="F567">
        <v>7</v>
      </c>
      <c r="G567">
        <v>218</v>
      </c>
      <c r="H567">
        <v>225</v>
      </c>
    </row>
    <row r="568" spans="1:8" x14ac:dyDescent="0.3">
      <c r="A568">
        <v>566</v>
      </c>
      <c r="B568">
        <v>567</v>
      </c>
      <c r="C568">
        <v>0.2576</v>
      </c>
      <c r="D568">
        <v>0.65</v>
      </c>
      <c r="E568">
        <v>0.16420000000000001</v>
      </c>
      <c r="F568">
        <v>13</v>
      </c>
      <c r="G568">
        <v>133</v>
      </c>
      <c r="H568">
        <v>146</v>
      </c>
    </row>
    <row r="569" spans="1:8" x14ac:dyDescent="0.3">
      <c r="A569">
        <v>567</v>
      </c>
      <c r="B569">
        <v>568</v>
      </c>
      <c r="C569">
        <v>0.2273</v>
      </c>
      <c r="D569">
        <v>0.65</v>
      </c>
      <c r="E569">
        <v>0.19400000000000001</v>
      </c>
      <c r="F569">
        <v>16</v>
      </c>
      <c r="G569">
        <v>103</v>
      </c>
      <c r="H569">
        <v>119</v>
      </c>
    </row>
    <row r="570" spans="1:8" x14ac:dyDescent="0.3">
      <c r="A570">
        <v>568</v>
      </c>
      <c r="B570">
        <v>569</v>
      </c>
      <c r="C570">
        <v>0.2273</v>
      </c>
      <c r="D570">
        <v>0.65</v>
      </c>
      <c r="E570">
        <v>0.19400000000000001</v>
      </c>
      <c r="F570">
        <v>5</v>
      </c>
      <c r="G570">
        <v>40</v>
      </c>
      <c r="H570">
        <v>45</v>
      </c>
    </row>
    <row r="571" spans="1:8" x14ac:dyDescent="0.3">
      <c r="A571">
        <v>569</v>
      </c>
      <c r="B571">
        <v>570</v>
      </c>
      <c r="C571">
        <v>0.2273</v>
      </c>
      <c r="D571">
        <v>0.64</v>
      </c>
      <c r="E571">
        <v>0.16420000000000001</v>
      </c>
      <c r="F571">
        <v>4</v>
      </c>
      <c r="G571">
        <v>49</v>
      </c>
      <c r="H571">
        <v>53</v>
      </c>
    </row>
    <row r="572" spans="1:8" x14ac:dyDescent="0.3">
      <c r="A572">
        <v>570</v>
      </c>
      <c r="B572">
        <v>571</v>
      </c>
      <c r="C572">
        <v>0.2273</v>
      </c>
      <c r="D572">
        <v>0.64</v>
      </c>
      <c r="E572">
        <v>0.16420000000000001</v>
      </c>
      <c r="F572">
        <v>3</v>
      </c>
      <c r="G572">
        <v>37</v>
      </c>
      <c r="H572">
        <v>40</v>
      </c>
    </row>
    <row r="573" spans="1:8" x14ac:dyDescent="0.3">
      <c r="A573">
        <v>571</v>
      </c>
      <c r="B573">
        <v>572</v>
      </c>
      <c r="C573">
        <v>0.2273</v>
      </c>
      <c r="D573">
        <v>0.69</v>
      </c>
      <c r="E573">
        <v>0.1343</v>
      </c>
      <c r="F573">
        <v>3</v>
      </c>
      <c r="G573">
        <v>14</v>
      </c>
      <c r="H573">
        <v>17</v>
      </c>
    </row>
    <row r="574" spans="1:8" x14ac:dyDescent="0.3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</row>
    <row r="575" spans="1:8" x14ac:dyDescent="0.3">
      <c r="A575">
        <v>573</v>
      </c>
      <c r="B575">
        <v>574</v>
      </c>
      <c r="C575">
        <v>0.2273</v>
      </c>
      <c r="D575">
        <v>0.69</v>
      </c>
      <c r="E575">
        <v>0.19400000000000001</v>
      </c>
      <c r="F575">
        <v>3</v>
      </c>
      <c r="G575">
        <v>7</v>
      </c>
      <c r="H575">
        <v>10</v>
      </c>
    </row>
    <row r="576" spans="1:8" x14ac:dyDescent="0.3">
      <c r="A576">
        <v>574</v>
      </c>
      <c r="B576">
        <v>575</v>
      </c>
      <c r="C576">
        <v>0.18179999999999999</v>
      </c>
      <c r="D576">
        <v>0.86</v>
      </c>
      <c r="E576">
        <v>0.28360000000000002</v>
      </c>
      <c r="F576">
        <v>0</v>
      </c>
      <c r="G576">
        <v>1</v>
      </c>
      <c r="H576">
        <v>1</v>
      </c>
    </row>
    <row r="577" spans="1:8" x14ac:dyDescent="0.3">
      <c r="A577">
        <v>575</v>
      </c>
      <c r="B577">
        <v>576</v>
      </c>
      <c r="C577">
        <v>0.18179999999999999</v>
      </c>
      <c r="D577">
        <v>0.86</v>
      </c>
      <c r="E577">
        <v>0.28360000000000002</v>
      </c>
      <c r="F577">
        <v>0</v>
      </c>
      <c r="G577">
        <v>8</v>
      </c>
      <c r="H577">
        <v>8</v>
      </c>
    </row>
    <row r="578" spans="1:8" x14ac:dyDescent="0.3">
      <c r="A578">
        <v>576</v>
      </c>
      <c r="B578">
        <v>577</v>
      </c>
      <c r="C578">
        <v>0.21210000000000001</v>
      </c>
      <c r="D578">
        <v>0.87</v>
      </c>
      <c r="E578">
        <v>0.29849999999999999</v>
      </c>
      <c r="F578">
        <v>1</v>
      </c>
      <c r="G578">
        <v>29</v>
      </c>
      <c r="H578">
        <v>30</v>
      </c>
    </row>
    <row r="579" spans="1:8" x14ac:dyDescent="0.3">
      <c r="A579">
        <v>577</v>
      </c>
      <c r="B579">
        <v>578</v>
      </c>
      <c r="C579">
        <v>0.21210000000000001</v>
      </c>
      <c r="D579">
        <v>0.87</v>
      </c>
      <c r="E579">
        <v>0.29849999999999999</v>
      </c>
      <c r="F579">
        <v>3</v>
      </c>
      <c r="G579">
        <v>69</v>
      </c>
      <c r="H579">
        <v>72</v>
      </c>
    </row>
    <row r="580" spans="1:8" x14ac:dyDescent="0.3">
      <c r="A580">
        <v>578</v>
      </c>
      <c r="B580">
        <v>579</v>
      </c>
      <c r="C580">
        <v>0.21210000000000001</v>
      </c>
      <c r="D580">
        <v>0.87</v>
      </c>
      <c r="E580">
        <v>0.29849999999999999</v>
      </c>
      <c r="F580">
        <v>3</v>
      </c>
      <c r="G580">
        <v>55</v>
      </c>
      <c r="H580">
        <v>58</v>
      </c>
    </row>
    <row r="581" spans="1:8" x14ac:dyDescent="0.3">
      <c r="A581">
        <v>579</v>
      </c>
      <c r="B581">
        <v>580</v>
      </c>
      <c r="C581">
        <v>0.21210000000000001</v>
      </c>
      <c r="D581">
        <v>0.93</v>
      </c>
      <c r="E581">
        <v>0.28360000000000002</v>
      </c>
      <c r="F581">
        <v>2</v>
      </c>
      <c r="G581">
        <v>26</v>
      </c>
      <c r="H581">
        <v>28</v>
      </c>
    </row>
    <row r="582" spans="1:8" x14ac:dyDescent="0.3">
      <c r="A582">
        <v>580</v>
      </c>
      <c r="B582">
        <v>581</v>
      </c>
      <c r="C582">
        <v>0.19700000000000001</v>
      </c>
      <c r="D582">
        <v>0.93</v>
      </c>
      <c r="E582">
        <v>0.32840000000000003</v>
      </c>
      <c r="F582">
        <v>6</v>
      </c>
      <c r="G582">
        <v>35</v>
      </c>
      <c r="H582">
        <v>41</v>
      </c>
    </row>
    <row r="583" spans="1:8" x14ac:dyDescent="0.3">
      <c r="A583">
        <v>581</v>
      </c>
      <c r="B583">
        <v>582</v>
      </c>
      <c r="C583">
        <v>0.19700000000000001</v>
      </c>
      <c r="D583">
        <v>0.93</v>
      </c>
      <c r="E583">
        <v>0.32840000000000003</v>
      </c>
      <c r="F583">
        <v>7</v>
      </c>
      <c r="G583">
        <v>41</v>
      </c>
      <c r="H583">
        <v>48</v>
      </c>
    </row>
    <row r="584" spans="1:8" x14ac:dyDescent="0.3">
      <c r="A584">
        <v>582</v>
      </c>
      <c r="B584">
        <v>583</v>
      </c>
      <c r="C584">
        <v>0.19700000000000001</v>
      </c>
      <c r="D584">
        <v>0.93</v>
      </c>
      <c r="E584">
        <v>0.32840000000000003</v>
      </c>
      <c r="F584">
        <v>4</v>
      </c>
      <c r="G584">
        <v>43</v>
      </c>
      <c r="H584">
        <v>47</v>
      </c>
    </row>
    <row r="585" spans="1:8" x14ac:dyDescent="0.3">
      <c r="A585">
        <v>583</v>
      </c>
      <c r="B585">
        <v>584</v>
      </c>
      <c r="C585">
        <v>0.19700000000000001</v>
      </c>
      <c r="D585">
        <v>0.93</v>
      </c>
      <c r="E585">
        <v>0.35820000000000002</v>
      </c>
      <c r="F585">
        <v>0</v>
      </c>
      <c r="G585">
        <v>36</v>
      </c>
      <c r="H585">
        <v>36</v>
      </c>
    </row>
    <row r="586" spans="1:8" x14ac:dyDescent="0.3">
      <c r="A586">
        <v>584</v>
      </c>
      <c r="B586">
        <v>585</v>
      </c>
      <c r="C586">
        <v>0.18179999999999999</v>
      </c>
      <c r="D586">
        <v>0.93</v>
      </c>
      <c r="E586">
        <v>0.4627</v>
      </c>
      <c r="F586">
        <v>1</v>
      </c>
      <c r="G586">
        <v>42</v>
      </c>
      <c r="H586">
        <v>43</v>
      </c>
    </row>
    <row r="587" spans="1:8" x14ac:dyDescent="0.3">
      <c r="A587">
        <v>585</v>
      </c>
      <c r="B587">
        <v>586</v>
      </c>
      <c r="C587">
        <v>0.19700000000000001</v>
      </c>
      <c r="D587">
        <v>0.93</v>
      </c>
      <c r="E587">
        <v>0.32840000000000003</v>
      </c>
      <c r="F587">
        <v>1</v>
      </c>
      <c r="G587">
        <v>35</v>
      </c>
      <c r="H587">
        <v>36</v>
      </c>
    </row>
    <row r="588" spans="1:8" x14ac:dyDescent="0.3">
      <c r="A588">
        <v>586</v>
      </c>
      <c r="B588">
        <v>587</v>
      </c>
      <c r="C588">
        <v>0.18179999999999999</v>
      </c>
      <c r="D588">
        <v>0.93</v>
      </c>
      <c r="E588">
        <v>0.35820000000000002</v>
      </c>
      <c r="F588">
        <v>0</v>
      </c>
      <c r="G588">
        <v>26</v>
      </c>
      <c r="H588">
        <v>26</v>
      </c>
    </row>
    <row r="589" spans="1:8" x14ac:dyDescent="0.3">
      <c r="A589">
        <v>587</v>
      </c>
      <c r="B589">
        <v>588</v>
      </c>
      <c r="C589">
        <v>0.2273</v>
      </c>
      <c r="D589">
        <v>0.55000000000000004</v>
      </c>
      <c r="E589">
        <v>0.19400000000000001</v>
      </c>
      <c r="F589">
        <v>1</v>
      </c>
      <c r="G589">
        <v>23</v>
      </c>
      <c r="H589">
        <v>24</v>
      </c>
    </row>
    <row r="590" spans="1:8" x14ac:dyDescent="0.3">
      <c r="A590">
        <v>588</v>
      </c>
      <c r="B590">
        <v>589</v>
      </c>
      <c r="C590">
        <v>0.2424</v>
      </c>
      <c r="D590">
        <v>0.55000000000000004</v>
      </c>
      <c r="E590">
        <v>0.1045</v>
      </c>
      <c r="F590">
        <v>2</v>
      </c>
      <c r="G590">
        <v>82</v>
      </c>
      <c r="H590">
        <v>84</v>
      </c>
    </row>
    <row r="591" spans="1:8" x14ac:dyDescent="0.3">
      <c r="A591">
        <v>589</v>
      </c>
      <c r="B591">
        <v>590</v>
      </c>
      <c r="C591">
        <v>0.2273</v>
      </c>
      <c r="D591">
        <v>0.69</v>
      </c>
      <c r="E591">
        <v>8.9599999999999999E-2</v>
      </c>
      <c r="F591">
        <v>3</v>
      </c>
      <c r="G591">
        <v>101</v>
      </c>
      <c r="H591">
        <v>104</v>
      </c>
    </row>
    <row r="592" spans="1:8" x14ac:dyDescent="0.3">
      <c r="A592">
        <v>590</v>
      </c>
      <c r="B592">
        <v>591</v>
      </c>
      <c r="C592">
        <v>0.2273</v>
      </c>
      <c r="D592">
        <v>0.69</v>
      </c>
      <c r="E592">
        <v>8.9599999999999999E-2</v>
      </c>
      <c r="F592">
        <v>3</v>
      </c>
      <c r="G592">
        <v>76</v>
      </c>
      <c r="H592">
        <v>79</v>
      </c>
    </row>
    <row r="593" spans="1:8" x14ac:dyDescent="0.3">
      <c r="A593">
        <v>591</v>
      </c>
      <c r="B593">
        <v>592</v>
      </c>
      <c r="C593">
        <v>0.21210000000000001</v>
      </c>
      <c r="D593">
        <v>0.74</v>
      </c>
      <c r="E593">
        <v>8.9599999999999999E-2</v>
      </c>
      <c r="F593">
        <v>4</v>
      </c>
      <c r="G593">
        <v>55</v>
      </c>
      <c r="H593">
        <v>59</v>
      </c>
    </row>
    <row r="594" spans="1:8" x14ac:dyDescent="0.3">
      <c r="A594">
        <v>592</v>
      </c>
      <c r="B594">
        <v>593</v>
      </c>
      <c r="C594">
        <v>0.21210000000000001</v>
      </c>
      <c r="D594">
        <v>0.74</v>
      </c>
      <c r="E594">
        <v>8.9599999999999999E-2</v>
      </c>
      <c r="F594">
        <v>2</v>
      </c>
      <c r="G594">
        <v>36</v>
      </c>
      <c r="H594">
        <v>38</v>
      </c>
    </row>
    <row r="595" spans="1:8" x14ac:dyDescent="0.3">
      <c r="A595">
        <v>593</v>
      </c>
      <c r="B595">
        <v>594</v>
      </c>
      <c r="C595">
        <v>0.21210000000000001</v>
      </c>
      <c r="D595">
        <v>0.74</v>
      </c>
      <c r="E595">
        <v>8.9599999999999999E-2</v>
      </c>
      <c r="F595">
        <v>0</v>
      </c>
      <c r="G595">
        <v>27</v>
      </c>
      <c r="H595">
        <v>27</v>
      </c>
    </row>
    <row r="596" spans="1:8" x14ac:dyDescent="0.3">
      <c r="A596">
        <v>594</v>
      </c>
      <c r="B596">
        <v>595</v>
      </c>
      <c r="C596">
        <v>0.19700000000000001</v>
      </c>
      <c r="D596">
        <v>0.8</v>
      </c>
      <c r="E596">
        <v>0.16420000000000001</v>
      </c>
      <c r="F596">
        <v>0</v>
      </c>
      <c r="G596">
        <v>16</v>
      </c>
      <c r="H596">
        <v>16</v>
      </c>
    </row>
    <row r="597" spans="1:8" x14ac:dyDescent="0.3">
      <c r="A597">
        <v>595</v>
      </c>
      <c r="B597">
        <v>596</v>
      </c>
      <c r="C597">
        <v>0.21210000000000001</v>
      </c>
      <c r="D597">
        <v>0.75</v>
      </c>
      <c r="E597">
        <v>0.1343</v>
      </c>
      <c r="F597">
        <v>0</v>
      </c>
      <c r="G597">
        <v>9</v>
      </c>
      <c r="H597">
        <v>9</v>
      </c>
    </row>
    <row r="598" spans="1:8" x14ac:dyDescent="0.3">
      <c r="A598">
        <v>596</v>
      </c>
      <c r="B598">
        <v>597</v>
      </c>
      <c r="C598">
        <v>0.21210000000000001</v>
      </c>
      <c r="D598">
        <v>0.75</v>
      </c>
      <c r="E598">
        <v>0.1343</v>
      </c>
      <c r="F598">
        <v>1</v>
      </c>
      <c r="G598">
        <v>2</v>
      </c>
      <c r="H598">
        <v>3</v>
      </c>
    </row>
    <row r="599" spans="1:8" x14ac:dyDescent="0.3">
      <c r="A599">
        <v>597</v>
      </c>
      <c r="B599">
        <v>598</v>
      </c>
      <c r="C599">
        <v>0.21210000000000001</v>
      </c>
      <c r="D599">
        <v>0.75</v>
      </c>
      <c r="E599">
        <v>0.16420000000000001</v>
      </c>
      <c r="F599">
        <v>0</v>
      </c>
      <c r="G599">
        <v>2</v>
      </c>
      <c r="H599">
        <v>2</v>
      </c>
    </row>
    <row r="600" spans="1:8" x14ac:dyDescent="0.3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</row>
    <row r="601" spans="1:8" x14ac:dyDescent="0.3">
      <c r="A601">
        <v>599</v>
      </c>
      <c r="B601">
        <v>600</v>
      </c>
      <c r="C601">
        <v>0.21210000000000001</v>
      </c>
      <c r="D601">
        <v>0.8</v>
      </c>
      <c r="E601">
        <v>0.1045</v>
      </c>
      <c r="F601">
        <v>0</v>
      </c>
      <c r="G601">
        <v>4</v>
      </c>
      <c r="H601">
        <v>4</v>
      </c>
    </row>
    <row r="602" spans="1:8" x14ac:dyDescent="0.3">
      <c r="A602">
        <v>600</v>
      </c>
      <c r="B602">
        <v>601</v>
      </c>
      <c r="C602">
        <v>0.19700000000000001</v>
      </c>
      <c r="D602">
        <v>0.8</v>
      </c>
      <c r="E602">
        <v>0.1343</v>
      </c>
      <c r="F602">
        <v>0</v>
      </c>
      <c r="G602">
        <v>16</v>
      </c>
      <c r="H602">
        <v>16</v>
      </c>
    </row>
    <row r="603" spans="1:8" x14ac:dyDescent="0.3">
      <c r="A603">
        <v>601</v>
      </c>
      <c r="B603">
        <v>602</v>
      </c>
      <c r="C603">
        <v>0.19700000000000001</v>
      </c>
      <c r="D603">
        <v>0.86</v>
      </c>
      <c r="E603">
        <v>8.9599999999999999E-2</v>
      </c>
      <c r="F603">
        <v>2</v>
      </c>
      <c r="G603">
        <v>58</v>
      </c>
      <c r="H603">
        <v>60</v>
      </c>
    </row>
    <row r="604" spans="1:8" x14ac:dyDescent="0.3">
      <c r="A604">
        <v>602</v>
      </c>
      <c r="B604">
        <v>603</v>
      </c>
      <c r="C604">
        <v>0.19700000000000001</v>
      </c>
      <c r="D604">
        <v>0.86</v>
      </c>
      <c r="E604">
        <v>8.9599999999999999E-2</v>
      </c>
      <c r="F604">
        <v>2</v>
      </c>
      <c r="G604">
        <v>155</v>
      </c>
      <c r="H604">
        <v>157</v>
      </c>
    </row>
    <row r="605" spans="1:8" x14ac:dyDescent="0.3">
      <c r="A605">
        <v>603</v>
      </c>
      <c r="B605">
        <v>604</v>
      </c>
      <c r="C605">
        <v>0.21210000000000001</v>
      </c>
      <c r="D605">
        <v>0.86</v>
      </c>
      <c r="E605">
        <v>8.9599999999999999E-2</v>
      </c>
      <c r="F605">
        <v>6</v>
      </c>
      <c r="G605">
        <v>95</v>
      </c>
      <c r="H605">
        <v>101</v>
      </c>
    </row>
    <row r="606" spans="1:8" x14ac:dyDescent="0.3">
      <c r="A606">
        <v>604</v>
      </c>
      <c r="B606">
        <v>605</v>
      </c>
      <c r="C606">
        <v>0.21210000000000001</v>
      </c>
      <c r="D606">
        <v>0.86</v>
      </c>
      <c r="E606">
        <v>0.1045</v>
      </c>
      <c r="F606">
        <v>0</v>
      </c>
      <c r="G606">
        <v>49</v>
      </c>
      <c r="H606">
        <v>49</v>
      </c>
    </row>
    <row r="607" spans="1:8" x14ac:dyDescent="0.3">
      <c r="A607">
        <v>605</v>
      </c>
      <c r="B607">
        <v>606</v>
      </c>
      <c r="C607">
        <v>0.21210000000000001</v>
      </c>
      <c r="D607">
        <v>0.93</v>
      </c>
      <c r="E607">
        <v>0.1045</v>
      </c>
      <c r="F607">
        <v>0</v>
      </c>
      <c r="G607">
        <v>30</v>
      </c>
      <c r="H607">
        <v>30</v>
      </c>
    </row>
    <row r="608" spans="1:8" x14ac:dyDescent="0.3">
      <c r="A608">
        <v>606</v>
      </c>
      <c r="B608">
        <v>607</v>
      </c>
      <c r="C608">
        <v>0.21210000000000001</v>
      </c>
      <c r="D608">
        <v>0.93</v>
      </c>
      <c r="E608">
        <v>0.1045</v>
      </c>
      <c r="F608">
        <v>1</v>
      </c>
      <c r="G608">
        <v>28</v>
      </c>
      <c r="H608">
        <v>29</v>
      </c>
    </row>
    <row r="609" spans="1:8" x14ac:dyDescent="0.3">
      <c r="A609">
        <v>607</v>
      </c>
      <c r="B609">
        <v>608</v>
      </c>
      <c r="C609">
        <v>0.21210000000000001</v>
      </c>
      <c r="D609">
        <v>0.93</v>
      </c>
      <c r="E609">
        <v>0.1045</v>
      </c>
      <c r="F609">
        <v>0</v>
      </c>
      <c r="G609">
        <v>31</v>
      </c>
      <c r="H609">
        <v>31</v>
      </c>
    </row>
    <row r="610" spans="1:8" x14ac:dyDescent="0.3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</row>
    <row r="611" spans="1:8" x14ac:dyDescent="0.3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6236-CEDF-4F0A-8C38-F536CE9F0E02}">
  <dimension ref="A1:J611"/>
  <sheetViews>
    <sheetView workbookViewId="0">
      <selection activeCell="M23" sqref="M23"/>
    </sheetView>
  </sheetViews>
  <sheetFormatPr defaultRowHeight="14.4" x14ac:dyDescent="0.3"/>
  <cols>
    <col min="1" max="1" width="9" bestFit="1" customWidth="1"/>
    <col min="2" max="2" width="9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1.5546875" bestFit="1" customWidth="1"/>
    <col min="9" max="9" width="12" bestFit="1" customWidth="1"/>
    <col min="10" max="10" width="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  <c r="I1" t="s">
        <v>8</v>
      </c>
      <c r="J1" t="s">
        <v>9</v>
      </c>
    </row>
    <row r="2" spans="1:10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4C8F-0397-4F3E-9027-86C2D69A735E}">
  <dimension ref="A1:R611"/>
  <sheetViews>
    <sheetView workbookViewId="0">
      <selection activeCell="U12" sqref="U12"/>
    </sheetView>
  </sheetViews>
  <sheetFormatPr defaultRowHeight="14.4" x14ac:dyDescent="0.3"/>
  <cols>
    <col min="1" max="1" width="9" bestFit="1" customWidth="1"/>
    <col min="2" max="2" width="9.33203125" bestFit="1" customWidth="1"/>
    <col min="3" max="3" width="9" bestFit="1" customWidth="1"/>
    <col min="4" max="4" width="4.77734375" bestFit="1" customWidth="1"/>
    <col min="5" max="5" width="7.5546875" bestFit="1" customWidth="1"/>
    <col min="6" max="6" width="4.88671875" bestFit="1" customWidth="1"/>
    <col min="7" max="7" width="9.33203125" bestFit="1" customWidth="1"/>
    <col min="8" max="8" width="10.5546875" bestFit="1" customWidth="1"/>
    <col min="9" max="9" width="12" bestFit="1" customWidth="1"/>
    <col min="10" max="10" width="7.6640625" bestFit="1" customWidth="1"/>
    <col min="11" max="11" width="13.109375" bestFit="1" customWidth="1"/>
    <col min="12" max="12" width="10" bestFit="1" customWidth="1"/>
    <col min="13" max="13" width="8.6640625" bestFit="1" customWidth="1"/>
    <col min="14" max="14" width="6.88671875" bestFit="1" customWidth="1"/>
    <col min="15" max="15" width="12.33203125" bestFit="1" customWidth="1"/>
    <col min="16" max="16" width="8.6640625" bestFit="1" customWidth="1"/>
    <col min="17" max="17" width="11.6640625" bestFit="1" customWidth="1"/>
    <col min="18" max="18" width="5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</v>
      </c>
      <c r="L2">
        <v>1</v>
      </c>
      <c r="M2">
        <v>0.28789999999999999</v>
      </c>
      <c r="N2">
        <v>0.81</v>
      </c>
      <c r="O2">
        <v>0</v>
      </c>
      <c r="P2">
        <v>3</v>
      </c>
      <c r="Q2">
        <v>13</v>
      </c>
      <c r="R2">
        <v>16</v>
      </c>
    </row>
    <row r="3" spans="1:18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1</v>
      </c>
      <c r="L3">
        <v>2</v>
      </c>
      <c r="M3">
        <v>0.2727</v>
      </c>
      <c r="N3">
        <v>0.8</v>
      </c>
      <c r="O3">
        <v>0</v>
      </c>
      <c r="P3">
        <v>8</v>
      </c>
      <c r="Q3">
        <v>32</v>
      </c>
      <c r="R3">
        <v>40</v>
      </c>
    </row>
    <row r="4" spans="1:18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2</v>
      </c>
      <c r="L4">
        <v>3</v>
      </c>
      <c r="M4">
        <v>0.2727</v>
      </c>
      <c r="N4">
        <v>0.8</v>
      </c>
      <c r="O4">
        <v>0</v>
      </c>
      <c r="P4">
        <v>5</v>
      </c>
      <c r="Q4">
        <v>27</v>
      </c>
      <c r="R4">
        <v>32</v>
      </c>
    </row>
    <row r="5" spans="1:18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3</v>
      </c>
      <c r="L5">
        <v>4</v>
      </c>
      <c r="M5">
        <v>0.28789999999999999</v>
      </c>
      <c r="N5">
        <v>0.75</v>
      </c>
      <c r="O5">
        <v>0</v>
      </c>
      <c r="P5">
        <v>3</v>
      </c>
      <c r="Q5">
        <v>10</v>
      </c>
      <c r="R5">
        <v>13</v>
      </c>
    </row>
    <row r="6" spans="1:18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4</v>
      </c>
      <c r="L6">
        <v>5</v>
      </c>
      <c r="M6">
        <v>0.28789999999999999</v>
      </c>
      <c r="N6">
        <v>0.75</v>
      </c>
      <c r="O6">
        <v>0</v>
      </c>
      <c r="P6">
        <v>0</v>
      </c>
      <c r="Q6">
        <v>1</v>
      </c>
      <c r="R6">
        <v>1</v>
      </c>
    </row>
    <row r="7" spans="1:18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5</v>
      </c>
      <c r="L7">
        <v>6</v>
      </c>
      <c r="M7">
        <v>0.2576</v>
      </c>
      <c r="N7">
        <v>0.75</v>
      </c>
      <c r="O7">
        <v>8.9599999999999999E-2</v>
      </c>
      <c r="P7">
        <v>0</v>
      </c>
      <c r="Q7">
        <v>1</v>
      </c>
      <c r="R7">
        <v>1</v>
      </c>
    </row>
    <row r="8" spans="1:18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6</v>
      </c>
      <c r="L8">
        <v>7</v>
      </c>
      <c r="M8">
        <v>0.2727</v>
      </c>
      <c r="N8">
        <v>0.8</v>
      </c>
      <c r="O8">
        <v>0</v>
      </c>
      <c r="P8">
        <v>2</v>
      </c>
      <c r="Q8">
        <v>0</v>
      </c>
      <c r="R8">
        <v>2</v>
      </c>
    </row>
    <row r="9" spans="1:18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7</v>
      </c>
      <c r="L9">
        <v>8</v>
      </c>
      <c r="M9">
        <v>0.2576</v>
      </c>
      <c r="N9">
        <v>0.86</v>
      </c>
      <c r="O9">
        <v>0</v>
      </c>
      <c r="P9">
        <v>1</v>
      </c>
      <c r="Q9">
        <v>2</v>
      </c>
      <c r="R9">
        <v>3</v>
      </c>
    </row>
    <row r="10" spans="1:18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8</v>
      </c>
      <c r="L10">
        <v>9</v>
      </c>
      <c r="M10">
        <v>0.19993</v>
      </c>
      <c r="N10">
        <v>0.75</v>
      </c>
      <c r="O10">
        <v>0</v>
      </c>
      <c r="P10">
        <v>1</v>
      </c>
      <c r="Q10">
        <v>7</v>
      </c>
      <c r="R10">
        <v>8</v>
      </c>
    </row>
    <row r="11" spans="1:18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9</v>
      </c>
      <c r="L11">
        <v>10</v>
      </c>
      <c r="M11">
        <v>0.34849999999999998</v>
      </c>
      <c r="N11">
        <v>0.76</v>
      </c>
      <c r="O11">
        <v>0</v>
      </c>
      <c r="P11">
        <v>8</v>
      </c>
      <c r="Q11">
        <v>6</v>
      </c>
      <c r="R11">
        <v>14</v>
      </c>
    </row>
    <row r="12" spans="1:18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10</v>
      </c>
      <c r="L12">
        <v>11</v>
      </c>
      <c r="M12">
        <v>0.39389999999999997</v>
      </c>
      <c r="N12">
        <v>0.76</v>
      </c>
      <c r="O12">
        <v>0.25369999999999998</v>
      </c>
      <c r="P12">
        <v>12</v>
      </c>
      <c r="Q12">
        <v>24</v>
      </c>
      <c r="R12">
        <v>36</v>
      </c>
    </row>
    <row r="13" spans="1:18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11</v>
      </c>
      <c r="L13">
        <v>12</v>
      </c>
      <c r="M13">
        <v>0.33329999999999999</v>
      </c>
      <c r="N13">
        <v>0.81</v>
      </c>
      <c r="O13">
        <v>0.28360000000000002</v>
      </c>
      <c r="P13">
        <v>26</v>
      </c>
      <c r="Q13">
        <v>30</v>
      </c>
      <c r="R13">
        <v>56</v>
      </c>
    </row>
    <row r="14" spans="1:18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12</v>
      </c>
      <c r="L14">
        <v>13</v>
      </c>
      <c r="M14">
        <v>0.42420000000000002</v>
      </c>
      <c r="N14">
        <v>0.77</v>
      </c>
      <c r="O14">
        <v>0.28360000000000002</v>
      </c>
      <c r="P14">
        <v>29</v>
      </c>
      <c r="Q14">
        <v>55</v>
      </c>
      <c r="R14">
        <v>84</v>
      </c>
    </row>
    <row r="15" spans="1:18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13</v>
      </c>
      <c r="L15">
        <v>14</v>
      </c>
      <c r="M15">
        <v>0.45450000000000002</v>
      </c>
      <c r="N15">
        <v>0.72</v>
      </c>
      <c r="O15">
        <v>0.29849999999999999</v>
      </c>
      <c r="P15">
        <v>47</v>
      </c>
      <c r="Q15">
        <v>47</v>
      </c>
      <c r="R15">
        <v>94</v>
      </c>
    </row>
    <row r="16" spans="1:18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14</v>
      </c>
      <c r="L16">
        <v>15</v>
      </c>
      <c r="M16">
        <v>0.45450000000000002</v>
      </c>
      <c r="N16">
        <v>0.72</v>
      </c>
      <c r="O16">
        <v>0.28360000000000002</v>
      </c>
      <c r="P16">
        <v>35</v>
      </c>
      <c r="Q16">
        <v>71</v>
      </c>
      <c r="R16">
        <v>106</v>
      </c>
    </row>
    <row r="17" spans="1:18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15</v>
      </c>
      <c r="L17">
        <v>16</v>
      </c>
      <c r="M17">
        <v>0.43940000000000001</v>
      </c>
      <c r="N17">
        <v>0.77</v>
      </c>
      <c r="O17">
        <v>0.29849999999999999</v>
      </c>
      <c r="P17">
        <v>40</v>
      </c>
      <c r="Q17">
        <v>70</v>
      </c>
      <c r="R17">
        <v>110</v>
      </c>
    </row>
    <row r="18" spans="1:18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16</v>
      </c>
      <c r="L18">
        <v>17</v>
      </c>
      <c r="M18">
        <v>0.42420000000000002</v>
      </c>
      <c r="N18">
        <v>0.82</v>
      </c>
      <c r="O18">
        <v>0.29849999999999999</v>
      </c>
      <c r="P18">
        <v>41</v>
      </c>
      <c r="Q18">
        <v>52</v>
      </c>
      <c r="R18">
        <v>93</v>
      </c>
    </row>
    <row r="19" spans="1:18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17</v>
      </c>
      <c r="L19">
        <v>18</v>
      </c>
      <c r="M19">
        <v>0.19993</v>
      </c>
      <c r="N19">
        <v>0.82</v>
      </c>
      <c r="O19">
        <v>0.28360000000000002</v>
      </c>
      <c r="P19">
        <v>15</v>
      </c>
      <c r="Q19">
        <v>52</v>
      </c>
      <c r="R19">
        <v>67</v>
      </c>
    </row>
    <row r="20" spans="1:18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18</v>
      </c>
      <c r="L20">
        <v>19</v>
      </c>
      <c r="M20">
        <v>0.42420000000000002</v>
      </c>
      <c r="N20">
        <v>0.88</v>
      </c>
      <c r="O20">
        <v>0.25369999999999998</v>
      </c>
      <c r="P20">
        <v>9</v>
      </c>
      <c r="Q20">
        <v>26</v>
      </c>
      <c r="R20">
        <v>35</v>
      </c>
    </row>
    <row r="21" spans="1:18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19</v>
      </c>
      <c r="L21">
        <v>20</v>
      </c>
      <c r="M21">
        <v>0.42420000000000002</v>
      </c>
      <c r="N21">
        <v>0.88</v>
      </c>
      <c r="O21">
        <v>0.25369999999999998</v>
      </c>
      <c r="P21">
        <v>6</v>
      </c>
      <c r="Q21">
        <v>31</v>
      </c>
      <c r="R21">
        <v>37</v>
      </c>
    </row>
    <row r="22" spans="1:18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20</v>
      </c>
      <c r="L22">
        <v>21</v>
      </c>
      <c r="M22">
        <v>0.40910000000000002</v>
      </c>
      <c r="N22">
        <v>0.87</v>
      </c>
      <c r="O22">
        <v>0.25369999999999998</v>
      </c>
      <c r="P22">
        <v>11</v>
      </c>
      <c r="Q22">
        <v>25</v>
      </c>
      <c r="R22">
        <v>36</v>
      </c>
    </row>
    <row r="23" spans="1:18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21</v>
      </c>
      <c r="L23">
        <v>22</v>
      </c>
      <c r="M23">
        <v>0.40910000000000002</v>
      </c>
      <c r="N23">
        <v>0.87</v>
      </c>
      <c r="O23">
        <v>0.19400000000000001</v>
      </c>
      <c r="P23">
        <v>3</v>
      </c>
      <c r="Q23">
        <v>31</v>
      </c>
      <c r="R23">
        <v>34</v>
      </c>
    </row>
    <row r="24" spans="1:18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22</v>
      </c>
      <c r="L24">
        <v>23</v>
      </c>
      <c r="M24">
        <v>0.40910000000000002</v>
      </c>
      <c r="N24">
        <v>0.94</v>
      </c>
      <c r="O24">
        <v>0.22389999999999999</v>
      </c>
      <c r="P24">
        <v>11</v>
      </c>
      <c r="Q24">
        <v>17</v>
      </c>
      <c r="R24">
        <v>28</v>
      </c>
    </row>
    <row r="25" spans="1:18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23</v>
      </c>
      <c r="L25">
        <v>24</v>
      </c>
      <c r="M25">
        <v>0.19993</v>
      </c>
      <c r="N25">
        <v>0.88</v>
      </c>
      <c r="O25">
        <v>0.29849999999999999</v>
      </c>
      <c r="P25">
        <v>15</v>
      </c>
      <c r="Q25">
        <v>24</v>
      </c>
      <c r="R25">
        <v>39</v>
      </c>
    </row>
    <row r="26" spans="1:18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24</v>
      </c>
      <c r="L26">
        <v>25</v>
      </c>
      <c r="M26">
        <v>0.45450000000000002</v>
      </c>
      <c r="N26">
        <v>0.88</v>
      </c>
      <c r="O26">
        <v>0.29849999999999999</v>
      </c>
      <c r="P26">
        <v>4</v>
      </c>
      <c r="Q26">
        <v>13</v>
      </c>
      <c r="R26">
        <v>17</v>
      </c>
    </row>
    <row r="27" spans="1:18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25</v>
      </c>
      <c r="L27">
        <v>26</v>
      </c>
      <c r="M27">
        <v>0.43940000000000001</v>
      </c>
      <c r="N27">
        <v>0.94</v>
      </c>
      <c r="O27">
        <v>0.25369999999999998</v>
      </c>
      <c r="P27">
        <v>1</v>
      </c>
      <c r="Q27">
        <v>16</v>
      </c>
      <c r="R27">
        <v>17</v>
      </c>
    </row>
    <row r="28" spans="1:18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26</v>
      </c>
      <c r="L28">
        <v>27</v>
      </c>
      <c r="M28">
        <v>0.42420000000000002</v>
      </c>
      <c r="N28">
        <v>1</v>
      </c>
      <c r="O28">
        <v>0.28360000000000002</v>
      </c>
      <c r="P28">
        <v>1</v>
      </c>
      <c r="Q28">
        <v>8</v>
      </c>
      <c r="R28">
        <v>9</v>
      </c>
    </row>
    <row r="29" spans="1:18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27</v>
      </c>
      <c r="L29">
        <v>28</v>
      </c>
      <c r="M29">
        <v>0.45450000000000002</v>
      </c>
      <c r="N29">
        <v>0.94</v>
      </c>
      <c r="O29">
        <v>0.19400000000000001</v>
      </c>
      <c r="P29">
        <v>2</v>
      </c>
      <c r="Q29">
        <v>4</v>
      </c>
      <c r="R29">
        <v>6</v>
      </c>
    </row>
    <row r="30" spans="1:18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28</v>
      </c>
      <c r="L30">
        <v>29</v>
      </c>
      <c r="M30">
        <v>0.19993</v>
      </c>
      <c r="N30">
        <v>0.94</v>
      </c>
      <c r="O30">
        <v>0.19400000000000001</v>
      </c>
      <c r="P30">
        <v>2</v>
      </c>
      <c r="Q30">
        <v>1</v>
      </c>
      <c r="R30">
        <v>3</v>
      </c>
    </row>
    <row r="31" spans="1:18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29</v>
      </c>
      <c r="L31">
        <v>30</v>
      </c>
      <c r="M31">
        <v>0.42420000000000002</v>
      </c>
      <c r="N31">
        <v>0.77</v>
      </c>
      <c r="O31">
        <v>0.29849999999999999</v>
      </c>
      <c r="P31">
        <v>0</v>
      </c>
      <c r="Q31">
        <v>2</v>
      </c>
      <c r="R31">
        <v>2</v>
      </c>
    </row>
    <row r="32" spans="1:18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30</v>
      </c>
      <c r="L32">
        <v>31</v>
      </c>
      <c r="M32">
        <v>0.40910000000000002</v>
      </c>
      <c r="N32">
        <v>0.76</v>
      </c>
      <c r="O32">
        <v>0.19400000000000001</v>
      </c>
      <c r="P32">
        <v>0</v>
      </c>
      <c r="Q32">
        <v>1</v>
      </c>
      <c r="R32">
        <v>1</v>
      </c>
    </row>
    <row r="33" spans="1:18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31</v>
      </c>
      <c r="L33">
        <v>32</v>
      </c>
      <c r="M33">
        <v>0.40910000000000002</v>
      </c>
      <c r="N33">
        <v>0.71</v>
      </c>
      <c r="O33">
        <v>0.22389999999999999</v>
      </c>
      <c r="P33">
        <v>0</v>
      </c>
      <c r="Q33">
        <v>8</v>
      </c>
      <c r="R33">
        <v>8</v>
      </c>
    </row>
    <row r="34" spans="1:18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32</v>
      </c>
      <c r="L34">
        <v>33</v>
      </c>
      <c r="M34">
        <v>0.19993</v>
      </c>
      <c r="N34">
        <v>0.76</v>
      </c>
      <c r="O34">
        <v>0.22389999999999999</v>
      </c>
      <c r="P34">
        <v>1</v>
      </c>
      <c r="Q34">
        <v>19</v>
      </c>
      <c r="R34">
        <v>20</v>
      </c>
    </row>
    <row r="35" spans="1:18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33</v>
      </c>
      <c r="L35">
        <v>34</v>
      </c>
      <c r="M35">
        <v>0.34849999999999998</v>
      </c>
      <c r="N35">
        <v>0.81</v>
      </c>
      <c r="O35">
        <v>0.22389999999999999</v>
      </c>
      <c r="P35">
        <v>7</v>
      </c>
      <c r="Q35">
        <v>46</v>
      </c>
      <c r="R35">
        <v>53</v>
      </c>
    </row>
    <row r="36" spans="1:18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34</v>
      </c>
      <c r="L36">
        <v>35</v>
      </c>
      <c r="M36">
        <v>0.33329999999999999</v>
      </c>
      <c r="N36">
        <v>0.71</v>
      </c>
      <c r="O36">
        <v>0.25369999999999998</v>
      </c>
      <c r="P36">
        <v>16</v>
      </c>
      <c r="Q36">
        <v>54</v>
      </c>
      <c r="R36">
        <v>70</v>
      </c>
    </row>
    <row r="37" spans="1:18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35</v>
      </c>
      <c r="L37">
        <v>36</v>
      </c>
      <c r="M37">
        <v>0.33329999999999999</v>
      </c>
      <c r="N37">
        <v>0.66</v>
      </c>
      <c r="O37">
        <v>0.29849999999999999</v>
      </c>
      <c r="P37">
        <v>20</v>
      </c>
      <c r="Q37">
        <v>73</v>
      </c>
      <c r="R37">
        <v>93</v>
      </c>
    </row>
    <row r="38" spans="1:18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36</v>
      </c>
      <c r="L38">
        <v>37</v>
      </c>
      <c r="M38">
        <v>0.34849999999999998</v>
      </c>
      <c r="N38">
        <v>0.66</v>
      </c>
      <c r="O38">
        <v>0.1343</v>
      </c>
      <c r="P38">
        <v>11</v>
      </c>
      <c r="Q38">
        <v>64</v>
      </c>
      <c r="R38">
        <v>75</v>
      </c>
    </row>
    <row r="39" spans="1:18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37</v>
      </c>
      <c r="L39">
        <v>38</v>
      </c>
      <c r="M39">
        <v>0.19993</v>
      </c>
      <c r="N39">
        <v>0.76</v>
      </c>
      <c r="O39">
        <v>0.19400000000000001</v>
      </c>
      <c r="P39">
        <v>4</v>
      </c>
      <c r="Q39">
        <v>55</v>
      </c>
      <c r="R39">
        <v>59</v>
      </c>
    </row>
    <row r="40" spans="1:18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38</v>
      </c>
      <c r="L40">
        <v>39</v>
      </c>
      <c r="M40">
        <v>0.33329999999999999</v>
      </c>
      <c r="N40">
        <v>0.81</v>
      </c>
      <c r="O40">
        <v>0.16420000000000001</v>
      </c>
      <c r="P40">
        <v>19</v>
      </c>
      <c r="Q40">
        <v>55</v>
      </c>
      <c r="R40">
        <v>74</v>
      </c>
    </row>
    <row r="41" spans="1:18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39</v>
      </c>
      <c r="L41">
        <v>40</v>
      </c>
      <c r="M41">
        <v>0.33329999999999999</v>
      </c>
      <c r="N41">
        <v>0.71</v>
      </c>
      <c r="O41">
        <v>0.16420000000000001</v>
      </c>
      <c r="P41">
        <v>9</v>
      </c>
      <c r="Q41">
        <v>67</v>
      </c>
      <c r="R41">
        <v>76</v>
      </c>
    </row>
    <row r="42" spans="1:18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40</v>
      </c>
      <c r="L42">
        <v>41</v>
      </c>
      <c r="M42">
        <v>0.33329999999999999</v>
      </c>
      <c r="N42">
        <v>0.56999999999999995</v>
      </c>
      <c r="O42">
        <v>0.19400000000000001</v>
      </c>
      <c r="P42">
        <v>7</v>
      </c>
      <c r="Q42">
        <v>58</v>
      </c>
      <c r="R42">
        <v>65</v>
      </c>
    </row>
    <row r="43" spans="1:18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41</v>
      </c>
      <c r="L43">
        <v>42</v>
      </c>
      <c r="M43">
        <v>0.33329999999999999</v>
      </c>
      <c r="N43">
        <v>0.46</v>
      </c>
      <c r="O43">
        <v>0.32840000000000003</v>
      </c>
      <c r="P43">
        <v>10</v>
      </c>
      <c r="Q43">
        <v>43</v>
      </c>
      <c r="R43">
        <v>53</v>
      </c>
    </row>
    <row r="44" spans="1:18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42</v>
      </c>
      <c r="L44">
        <v>43</v>
      </c>
      <c r="M44">
        <v>0.28789999999999999</v>
      </c>
      <c r="N44">
        <v>0.42</v>
      </c>
      <c r="O44">
        <v>0.44779999999999998</v>
      </c>
      <c r="P44">
        <v>1</v>
      </c>
      <c r="Q44">
        <v>29</v>
      </c>
      <c r="R44">
        <v>30</v>
      </c>
    </row>
    <row r="45" spans="1:18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43</v>
      </c>
      <c r="L45">
        <v>44</v>
      </c>
      <c r="M45">
        <v>0.19993</v>
      </c>
      <c r="N45">
        <v>0.39</v>
      </c>
      <c r="O45">
        <v>0.35820000000000002</v>
      </c>
      <c r="P45">
        <v>5</v>
      </c>
      <c r="Q45">
        <v>17</v>
      </c>
      <c r="R45">
        <v>22</v>
      </c>
    </row>
    <row r="46" spans="1:18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44</v>
      </c>
      <c r="L46">
        <v>45</v>
      </c>
      <c r="M46">
        <v>0.2273</v>
      </c>
      <c r="N46">
        <v>0.44</v>
      </c>
      <c r="O46">
        <v>0.32840000000000003</v>
      </c>
      <c r="P46">
        <v>11</v>
      </c>
      <c r="Q46">
        <v>20</v>
      </c>
      <c r="R46">
        <v>31</v>
      </c>
    </row>
    <row r="47" spans="1:18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45</v>
      </c>
      <c r="L47">
        <v>46</v>
      </c>
      <c r="M47">
        <v>0.21210000000000001</v>
      </c>
      <c r="N47">
        <v>0.44</v>
      </c>
      <c r="O47">
        <v>0.29849999999999999</v>
      </c>
      <c r="P47">
        <v>0</v>
      </c>
      <c r="Q47">
        <v>9</v>
      </c>
      <c r="R47">
        <v>9</v>
      </c>
    </row>
    <row r="48" spans="1:18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46</v>
      </c>
      <c r="L48">
        <v>47</v>
      </c>
      <c r="M48">
        <v>0.2273</v>
      </c>
      <c r="N48">
        <v>0.47</v>
      </c>
      <c r="O48">
        <v>0.16420000000000001</v>
      </c>
      <c r="P48">
        <v>0</v>
      </c>
      <c r="Q48">
        <v>8</v>
      </c>
      <c r="R48">
        <v>8</v>
      </c>
    </row>
    <row r="49" spans="1:18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47</v>
      </c>
      <c r="L49">
        <v>48</v>
      </c>
      <c r="M49">
        <v>0.19700000000000001</v>
      </c>
      <c r="N49">
        <v>0.44</v>
      </c>
      <c r="O49">
        <v>0.35820000000000002</v>
      </c>
      <c r="P49">
        <v>0</v>
      </c>
      <c r="Q49">
        <v>5</v>
      </c>
      <c r="R49">
        <v>5</v>
      </c>
    </row>
    <row r="50" spans="1:18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48</v>
      </c>
      <c r="L50">
        <v>49</v>
      </c>
      <c r="M50">
        <v>0.19993</v>
      </c>
      <c r="N50">
        <v>0.44</v>
      </c>
      <c r="O50">
        <v>0.41789999999999999</v>
      </c>
      <c r="P50">
        <v>0</v>
      </c>
      <c r="Q50">
        <v>2</v>
      </c>
      <c r="R50">
        <v>2</v>
      </c>
    </row>
    <row r="51" spans="1:18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49</v>
      </c>
      <c r="L51">
        <v>50</v>
      </c>
      <c r="M51">
        <v>0.13639999999999999</v>
      </c>
      <c r="N51">
        <v>0.47</v>
      </c>
      <c r="O51">
        <v>0.3881</v>
      </c>
      <c r="P51">
        <v>0</v>
      </c>
      <c r="Q51">
        <v>1</v>
      </c>
      <c r="R51">
        <v>1</v>
      </c>
    </row>
    <row r="52" spans="1:18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50</v>
      </c>
      <c r="L52">
        <v>51</v>
      </c>
      <c r="M52">
        <v>0.13639999999999999</v>
      </c>
      <c r="N52">
        <v>0.47</v>
      </c>
      <c r="O52">
        <v>0.28360000000000002</v>
      </c>
      <c r="P52">
        <v>0</v>
      </c>
      <c r="Q52">
        <v>3</v>
      </c>
      <c r="R52">
        <v>3</v>
      </c>
    </row>
    <row r="53" spans="1:18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51</v>
      </c>
      <c r="L53">
        <v>52</v>
      </c>
      <c r="M53">
        <v>0.1061</v>
      </c>
      <c r="N53">
        <v>0.5</v>
      </c>
      <c r="O53">
        <v>0.3881</v>
      </c>
      <c r="P53">
        <v>0</v>
      </c>
      <c r="Q53">
        <v>30</v>
      </c>
      <c r="R53">
        <v>30</v>
      </c>
    </row>
    <row r="54" spans="1:18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52</v>
      </c>
      <c r="L54">
        <v>53</v>
      </c>
      <c r="M54">
        <v>0.13639999999999999</v>
      </c>
      <c r="N54">
        <v>0.5</v>
      </c>
      <c r="O54">
        <v>0.19400000000000001</v>
      </c>
      <c r="P54">
        <v>1</v>
      </c>
      <c r="Q54">
        <v>63</v>
      </c>
      <c r="R54">
        <v>64</v>
      </c>
    </row>
    <row r="55" spans="1:18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53</v>
      </c>
      <c r="L55">
        <v>54</v>
      </c>
      <c r="M55">
        <v>0.1212</v>
      </c>
      <c r="N55">
        <v>0.5</v>
      </c>
      <c r="O55">
        <v>0.28360000000000002</v>
      </c>
      <c r="P55">
        <v>1</v>
      </c>
      <c r="Q55">
        <v>153</v>
      </c>
      <c r="R55">
        <v>154</v>
      </c>
    </row>
    <row r="56" spans="1:18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54</v>
      </c>
      <c r="L56">
        <v>55</v>
      </c>
      <c r="M56">
        <v>0.13639999999999999</v>
      </c>
      <c r="N56">
        <v>0.43</v>
      </c>
      <c r="O56">
        <v>0.3881</v>
      </c>
      <c r="P56">
        <v>7</v>
      </c>
      <c r="Q56">
        <v>81</v>
      </c>
      <c r="R56">
        <v>88</v>
      </c>
    </row>
    <row r="57" spans="1:18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55</v>
      </c>
      <c r="L57">
        <v>56</v>
      </c>
      <c r="M57">
        <v>0.16669999999999999</v>
      </c>
      <c r="N57">
        <v>0.43</v>
      </c>
      <c r="O57">
        <v>0.25369999999999998</v>
      </c>
      <c r="P57">
        <v>11</v>
      </c>
      <c r="Q57">
        <v>33</v>
      </c>
      <c r="R57">
        <v>44</v>
      </c>
    </row>
    <row r="58" spans="1:18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56</v>
      </c>
      <c r="L58">
        <v>57</v>
      </c>
      <c r="M58">
        <v>0.18179999999999999</v>
      </c>
      <c r="N58">
        <v>0.4</v>
      </c>
      <c r="O58">
        <v>0.32840000000000003</v>
      </c>
      <c r="P58">
        <v>10</v>
      </c>
      <c r="Q58">
        <v>41</v>
      </c>
      <c r="R58">
        <v>51</v>
      </c>
    </row>
    <row r="59" spans="1:18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57</v>
      </c>
      <c r="L59">
        <v>58</v>
      </c>
      <c r="M59">
        <v>0.21210000000000001</v>
      </c>
      <c r="N59">
        <v>0.35</v>
      </c>
      <c r="O59">
        <v>0.29849999999999999</v>
      </c>
      <c r="P59">
        <v>13</v>
      </c>
      <c r="Q59">
        <v>48</v>
      </c>
      <c r="R59">
        <v>61</v>
      </c>
    </row>
    <row r="60" spans="1:18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58</v>
      </c>
      <c r="L60">
        <v>59</v>
      </c>
      <c r="M60">
        <v>0.19993</v>
      </c>
      <c r="N60">
        <v>0.35</v>
      </c>
      <c r="O60">
        <v>0.28360000000000002</v>
      </c>
      <c r="P60">
        <v>8</v>
      </c>
      <c r="Q60">
        <v>53</v>
      </c>
      <c r="R60">
        <v>61</v>
      </c>
    </row>
    <row r="61" spans="1:18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59</v>
      </c>
      <c r="L61">
        <v>60</v>
      </c>
      <c r="M61">
        <v>0.2424</v>
      </c>
      <c r="N61">
        <v>0.3</v>
      </c>
      <c r="O61">
        <v>0.28360000000000002</v>
      </c>
      <c r="P61">
        <v>11</v>
      </c>
      <c r="Q61">
        <v>66</v>
      </c>
      <c r="R61">
        <v>77</v>
      </c>
    </row>
    <row r="62" spans="1:18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60</v>
      </c>
      <c r="L62">
        <v>61</v>
      </c>
      <c r="M62">
        <v>0.2424</v>
      </c>
      <c r="N62">
        <v>0.3</v>
      </c>
      <c r="O62">
        <v>0.25369999999999998</v>
      </c>
      <c r="P62">
        <v>14</v>
      </c>
      <c r="Q62">
        <v>58</v>
      </c>
      <c r="R62">
        <v>72</v>
      </c>
    </row>
    <row r="63" spans="1:18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61</v>
      </c>
      <c r="L63">
        <v>62</v>
      </c>
      <c r="M63">
        <v>0.2424</v>
      </c>
      <c r="N63">
        <v>0.3</v>
      </c>
      <c r="O63">
        <v>0.25369999999999998</v>
      </c>
      <c r="P63">
        <v>9</v>
      </c>
      <c r="Q63">
        <v>67</v>
      </c>
      <c r="R63">
        <v>76</v>
      </c>
    </row>
    <row r="64" spans="1:18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62</v>
      </c>
      <c r="L64">
        <v>63</v>
      </c>
      <c r="M64">
        <v>0.2273</v>
      </c>
      <c r="N64">
        <v>0.3</v>
      </c>
      <c r="O64">
        <v>0.22389999999999999</v>
      </c>
      <c r="P64">
        <v>11</v>
      </c>
      <c r="Q64">
        <v>146</v>
      </c>
      <c r="R64">
        <v>157</v>
      </c>
    </row>
    <row r="65" spans="1:18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63</v>
      </c>
      <c r="L65">
        <v>64</v>
      </c>
      <c r="M65">
        <v>0.2576</v>
      </c>
      <c r="N65">
        <v>0.32</v>
      </c>
      <c r="O65">
        <v>0.1045</v>
      </c>
      <c r="P65">
        <v>9</v>
      </c>
      <c r="Q65">
        <v>148</v>
      </c>
      <c r="R65">
        <v>157</v>
      </c>
    </row>
    <row r="66" spans="1:18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64</v>
      </c>
      <c r="L66">
        <v>65</v>
      </c>
      <c r="M66">
        <v>0.2576</v>
      </c>
      <c r="N66">
        <v>0.47</v>
      </c>
      <c r="O66">
        <v>0</v>
      </c>
      <c r="P66">
        <v>8</v>
      </c>
      <c r="Q66">
        <v>102</v>
      </c>
      <c r="R66">
        <v>110</v>
      </c>
    </row>
    <row r="67" spans="1:18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65</v>
      </c>
      <c r="L67">
        <v>66</v>
      </c>
      <c r="M67">
        <v>0.19993</v>
      </c>
      <c r="N67">
        <v>0.47</v>
      </c>
      <c r="O67">
        <v>0.1045</v>
      </c>
      <c r="P67">
        <v>3</v>
      </c>
      <c r="Q67">
        <v>49</v>
      </c>
      <c r="R67">
        <v>52</v>
      </c>
    </row>
    <row r="68" spans="1:18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66</v>
      </c>
      <c r="L68">
        <v>67</v>
      </c>
      <c r="M68">
        <v>0.19700000000000001</v>
      </c>
      <c r="N68">
        <v>0.64</v>
      </c>
      <c r="O68">
        <v>0.1343</v>
      </c>
      <c r="P68">
        <v>3</v>
      </c>
      <c r="Q68">
        <v>49</v>
      </c>
      <c r="R68">
        <v>52</v>
      </c>
    </row>
    <row r="69" spans="1:18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67</v>
      </c>
      <c r="L69">
        <v>68</v>
      </c>
      <c r="M69">
        <v>0.1515</v>
      </c>
      <c r="N69">
        <v>0.69</v>
      </c>
      <c r="O69">
        <v>0.1343</v>
      </c>
      <c r="P69">
        <v>0</v>
      </c>
      <c r="Q69">
        <v>20</v>
      </c>
      <c r="R69">
        <v>20</v>
      </c>
    </row>
    <row r="70" spans="1:18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68</v>
      </c>
      <c r="L70">
        <v>69</v>
      </c>
      <c r="M70">
        <v>0.21210000000000001</v>
      </c>
      <c r="N70">
        <v>0.55000000000000004</v>
      </c>
      <c r="O70">
        <v>0.1045</v>
      </c>
      <c r="P70">
        <v>1</v>
      </c>
      <c r="Q70">
        <v>11</v>
      </c>
      <c r="R70">
        <v>12</v>
      </c>
    </row>
    <row r="71" spans="1:18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69</v>
      </c>
      <c r="L71">
        <v>70</v>
      </c>
      <c r="M71">
        <v>0.19993</v>
      </c>
      <c r="N71">
        <v>0.55000000000000004</v>
      </c>
      <c r="O71">
        <v>0.1045</v>
      </c>
      <c r="P71">
        <v>0</v>
      </c>
      <c r="Q71">
        <v>5</v>
      </c>
      <c r="R71">
        <v>5</v>
      </c>
    </row>
    <row r="72" spans="1:18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70</v>
      </c>
      <c r="L72">
        <v>71</v>
      </c>
      <c r="M72">
        <v>0.18179999999999999</v>
      </c>
      <c r="N72">
        <v>0.59</v>
      </c>
      <c r="O72">
        <v>0.1045</v>
      </c>
      <c r="P72">
        <v>0</v>
      </c>
      <c r="Q72">
        <v>2</v>
      </c>
      <c r="R72">
        <v>2</v>
      </c>
    </row>
    <row r="73" spans="1:18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71</v>
      </c>
      <c r="L73">
        <v>72</v>
      </c>
      <c r="M73">
        <v>0.1515</v>
      </c>
      <c r="N73">
        <v>0.63</v>
      </c>
      <c r="O73">
        <v>0.1343</v>
      </c>
      <c r="P73">
        <v>0</v>
      </c>
      <c r="Q73">
        <v>1</v>
      </c>
      <c r="R73">
        <v>1</v>
      </c>
    </row>
    <row r="74" spans="1:18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72</v>
      </c>
      <c r="L74">
        <v>73</v>
      </c>
      <c r="M74">
        <v>0.18179999999999999</v>
      </c>
      <c r="N74">
        <v>0.63</v>
      </c>
      <c r="O74">
        <v>8.9599999999999999E-2</v>
      </c>
      <c r="P74">
        <v>0</v>
      </c>
      <c r="Q74">
        <v>2</v>
      </c>
      <c r="R74">
        <v>2</v>
      </c>
    </row>
    <row r="75" spans="1:18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73</v>
      </c>
      <c r="L75">
        <v>74</v>
      </c>
      <c r="M75">
        <v>0.1515</v>
      </c>
      <c r="N75">
        <v>0.68</v>
      </c>
      <c r="O75">
        <v>0.1045</v>
      </c>
      <c r="P75">
        <v>0</v>
      </c>
      <c r="Q75">
        <v>4</v>
      </c>
      <c r="R75">
        <v>4</v>
      </c>
    </row>
    <row r="76" spans="1:18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74</v>
      </c>
      <c r="L76">
        <v>75</v>
      </c>
      <c r="M76">
        <v>0.1515</v>
      </c>
      <c r="N76">
        <v>0.74</v>
      </c>
      <c r="O76">
        <v>0.1045</v>
      </c>
      <c r="P76">
        <v>0</v>
      </c>
      <c r="Q76">
        <v>36</v>
      </c>
      <c r="R76">
        <v>36</v>
      </c>
    </row>
    <row r="77" spans="1:18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75</v>
      </c>
      <c r="L77">
        <v>76</v>
      </c>
      <c r="M77">
        <v>0.1515</v>
      </c>
      <c r="N77">
        <v>0.74</v>
      </c>
      <c r="O77">
        <v>0.1343</v>
      </c>
      <c r="P77">
        <v>2</v>
      </c>
      <c r="Q77">
        <v>92</v>
      </c>
      <c r="R77">
        <v>94</v>
      </c>
    </row>
    <row r="78" spans="1:18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76</v>
      </c>
      <c r="L78">
        <v>77</v>
      </c>
      <c r="M78">
        <v>0.1515</v>
      </c>
      <c r="N78">
        <v>0.69</v>
      </c>
      <c r="O78">
        <v>0.16420000000000001</v>
      </c>
      <c r="P78">
        <v>2</v>
      </c>
      <c r="Q78">
        <v>177</v>
      </c>
      <c r="R78">
        <v>179</v>
      </c>
    </row>
    <row r="79" spans="1:18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77</v>
      </c>
      <c r="L79">
        <v>78</v>
      </c>
      <c r="M79">
        <v>0.1515</v>
      </c>
      <c r="N79">
        <v>0.64</v>
      </c>
      <c r="O79">
        <v>0.22389999999999999</v>
      </c>
      <c r="P79">
        <v>2</v>
      </c>
      <c r="Q79">
        <v>98</v>
      </c>
      <c r="R79">
        <v>100</v>
      </c>
    </row>
    <row r="80" spans="1:18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78</v>
      </c>
      <c r="L80">
        <v>79</v>
      </c>
      <c r="M80">
        <v>0.13639999999999999</v>
      </c>
      <c r="N80">
        <v>0.69</v>
      </c>
      <c r="O80">
        <v>0.32840000000000003</v>
      </c>
      <c r="P80">
        <v>5</v>
      </c>
      <c r="Q80">
        <v>37</v>
      </c>
      <c r="R80">
        <v>42</v>
      </c>
    </row>
    <row r="81" spans="1:18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79</v>
      </c>
      <c r="L81">
        <v>80</v>
      </c>
      <c r="M81">
        <v>0.21210000000000001</v>
      </c>
      <c r="N81">
        <v>0.51</v>
      </c>
      <c r="O81">
        <v>0.29849999999999999</v>
      </c>
      <c r="P81">
        <v>7</v>
      </c>
      <c r="Q81">
        <v>50</v>
      </c>
      <c r="R81">
        <v>57</v>
      </c>
    </row>
    <row r="82" spans="1:18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80</v>
      </c>
      <c r="L82">
        <v>81</v>
      </c>
      <c r="M82">
        <v>0.2273</v>
      </c>
      <c r="N82">
        <v>0.51</v>
      </c>
      <c r="O82">
        <v>0.16420000000000001</v>
      </c>
      <c r="P82">
        <v>12</v>
      </c>
      <c r="Q82">
        <v>66</v>
      </c>
      <c r="R82">
        <v>78</v>
      </c>
    </row>
    <row r="83" spans="1:18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81</v>
      </c>
      <c r="L83">
        <v>82</v>
      </c>
      <c r="M83">
        <v>0.2273</v>
      </c>
      <c r="N83">
        <v>0.56000000000000005</v>
      </c>
      <c r="O83">
        <v>0.19400000000000001</v>
      </c>
      <c r="P83">
        <v>18</v>
      </c>
      <c r="Q83">
        <v>79</v>
      </c>
      <c r="R83">
        <v>97</v>
      </c>
    </row>
    <row r="84" spans="1:18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82</v>
      </c>
      <c r="L84">
        <v>83</v>
      </c>
      <c r="M84">
        <v>0.2576</v>
      </c>
      <c r="N84">
        <v>0.52</v>
      </c>
      <c r="O84">
        <v>0.22389999999999999</v>
      </c>
      <c r="P84">
        <v>9</v>
      </c>
      <c r="Q84">
        <v>54</v>
      </c>
      <c r="R84">
        <v>63</v>
      </c>
    </row>
    <row r="85" spans="1:18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83</v>
      </c>
      <c r="L85">
        <v>84</v>
      </c>
      <c r="M85">
        <v>0.2727</v>
      </c>
      <c r="N85">
        <v>0.52</v>
      </c>
      <c r="O85">
        <v>0.25369999999999998</v>
      </c>
      <c r="P85">
        <v>17</v>
      </c>
      <c r="Q85">
        <v>48</v>
      </c>
      <c r="R85">
        <v>65</v>
      </c>
    </row>
    <row r="86" spans="1:18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84</v>
      </c>
      <c r="L86">
        <v>85</v>
      </c>
      <c r="M86">
        <v>0.28789999999999999</v>
      </c>
      <c r="N86">
        <v>0.49</v>
      </c>
      <c r="O86">
        <v>0.25369999999999998</v>
      </c>
      <c r="P86">
        <v>15</v>
      </c>
      <c r="Q86">
        <v>68</v>
      </c>
      <c r="R86">
        <v>83</v>
      </c>
    </row>
    <row r="87" spans="1:18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85</v>
      </c>
      <c r="L87">
        <v>86</v>
      </c>
      <c r="M87">
        <v>0.2727</v>
      </c>
      <c r="N87">
        <v>0.48</v>
      </c>
      <c r="O87">
        <v>0.22389999999999999</v>
      </c>
      <c r="P87">
        <v>10</v>
      </c>
      <c r="Q87">
        <v>202</v>
      </c>
      <c r="R87">
        <v>212</v>
      </c>
    </row>
    <row r="88" spans="1:18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86</v>
      </c>
      <c r="L88">
        <v>87</v>
      </c>
      <c r="M88">
        <v>0.2576</v>
      </c>
      <c r="N88">
        <v>0.48</v>
      </c>
      <c r="O88">
        <v>0.19400000000000001</v>
      </c>
      <c r="P88">
        <v>3</v>
      </c>
      <c r="Q88">
        <v>179</v>
      </c>
      <c r="R88">
        <v>182</v>
      </c>
    </row>
    <row r="89" spans="1:18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87</v>
      </c>
      <c r="L89">
        <v>88</v>
      </c>
      <c r="M89">
        <v>0.2576</v>
      </c>
      <c r="N89">
        <v>0.48</v>
      </c>
      <c r="O89">
        <v>0.1045</v>
      </c>
      <c r="P89">
        <v>2</v>
      </c>
      <c r="Q89">
        <v>110</v>
      </c>
      <c r="R89">
        <v>112</v>
      </c>
    </row>
    <row r="90" spans="1:18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88</v>
      </c>
      <c r="L90">
        <v>89</v>
      </c>
      <c r="M90">
        <v>0.2576</v>
      </c>
      <c r="N90">
        <v>0.48</v>
      </c>
      <c r="O90">
        <v>0.1045</v>
      </c>
      <c r="P90">
        <v>1</v>
      </c>
      <c r="Q90">
        <v>53</v>
      </c>
      <c r="R90">
        <v>54</v>
      </c>
    </row>
    <row r="91" spans="1:18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89</v>
      </c>
      <c r="L91">
        <v>90</v>
      </c>
      <c r="M91">
        <v>0.2727</v>
      </c>
      <c r="N91">
        <v>0.64</v>
      </c>
      <c r="O91">
        <v>0</v>
      </c>
      <c r="P91">
        <v>0</v>
      </c>
      <c r="Q91">
        <v>48</v>
      </c>
      <c r="R91">
        <v>48</v>
      </c>
    </row>
    <row r="92" spans="1:18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90</v>
      </c>
      <c r="L92">
        <v>91</v>
      </c>
      <c r="M92">
        <v>0.2576</v>
      </c>
      <c r="N92">
        <v>0.64</v>
      </c>
      <c r="O92">
        <v>8.9599999999999999E-2</v>
      </c>
      <c r="P92">
        <v>1</v>
      </c>
      <c r="Q92">
        <v>34</v>
      </c>
      <c r="R92">
        <v>35</v>
      </c>
    </row>
    <row r="93" spans="1:18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91</v>
      </c>
      <c r="L93">
        <v>92</v>
      </c>
      <c r="M93">
        <v>0.2273</v>
      </c>
      <c r="N93">
        <v>0.69</v>
      </c>
      <c r="O93">
        <v>8.9599999999999999E-2</v>
      </c>
      <c r="P93">
        <v>2</v>
      </c>
      <c r="Q93">
        <v>9</v>
      </c>
      <c r="R93">
        <v>11</v>
      </c>
    </row>
    <row r="94" spans="1:18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92</v>
      </c>
      <c r="L94">
        <v>93</v>
      </c>
      <c r="M94">
        <v>0.2576</v>
      </c>
      <c r="N94">
        <v>0.64</v>
      </c>
      <c r="O94">
        <v>0</v>
      </c>
      <c r="P94">
        <v>0</v>
      </c>
      <c r="Q94">
        <v>6</v>
      </c>
      <c r="R94">
        <v>6</v>
      </c>
    </row>
    <row r="95" spans="1:18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93</v>
      </c>
      <c r="L95">
        <v>94</v>
      </c>
      <c r="M95">
        <v>0.19700000000000001</v>
      </c>
      <c r="N95">
        <v>0.74</v>
      </c>
      <c r="O95">
        <v>8.9599999999999999E-2</v>
      </c>
      <c r="P95">
        <v>0</v>
      </c>
      <c r="Q95">
        <v>6</v>
      </c>
      <c r="R95">
        <v>6</v>
      </c>
    </row>
    <row r="96" spans="1:18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94</v>
      </c>
      <c r="L96">
        <v>95</v>
      </c>
      <c r="M96">
        <v>0.19700000000000001</v>
      </c>
      <c r="N96">
        <v>0.74</v>
      </c>
      <c r="O96">
        <v>8.9599999999999999E-2</v>
      </c>
      <c r="P96">
        <v>0</v>
      </c>
      <c r="Q96">
        <v>2</v>
      </c>
      <c r="R96">
        <v>2</v>
      </c>
    </row>
    <row r="97" spans="1:18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95</v>
      </c>
      <c r="L97">
        <v>96</v>
      </c>
      <c r="M97">
        <v>0.2273</v>
      </c>
      <c r="N97">
        <v>0.48</v>
      </c>
      <c r="O97">
        <v>0.22389999999999999</v>
      </c>
      <c r="P97">
        <v>0</v>
      </c>
      <c r="Q97">
        <v>2</v>
      </c>
      <c r="R97">
        <v>2</v>
      </c>
    </row>
    <row r="98" spans="1:18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96</v>
      </c>
      <c r="L98">
        <v>97</v>
      </c>
      <c r="M98">
        <v>0.2273</v>
      </c>
      <c r="N98">
        <v>0.47</v>
      </c>
      <c r="O98">
        <v>0.16420000000000001</v>
      </c>
      <c r="P98">
        <v>0</v>
      </c>
      <c r="Q98">
        <v>3</v>
      </c>
      <c r="R98">
        <v>3</v>
      </c>
    </row>
    <row r="99" spans="1:18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97</v>
      </c>
      <c r="L99">
        <v>98</v>
      </c>
      <c r="M99">
        <v>0.19700000000000001</v>
      </c>
      <c r="N99">
        <v>0.47</v>
      </c>
      <c r="O99">
        <v>0.22389999999999999</v>
      </c>
      <c r="P99">
        <v>0</v>
      </c>
      <c r="Q99">
        <v>33</v>
      </c>
      <c r="R99">
        <v>33</v>
      </c>
    </row>
    <row r="100" spans="1:18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98</v>
      </c>
      <c r="L100">
        <v>99</v>
      </c>
      <c r="M100">
        <v>0.18179999999999999</v>
      </c>
      <c r="N100">
        <v>0.43</v>
      </c>
      <c r="O100">
        <v>0.19400000000000001</v>
      </c>
      <c r="P100">
        <v>1</v>
      </c>
      <c r="Q100">
        <v>87</v>
      </c>
      <c r="R100">
        <v>88</v>
      </c>
    </row>
    <row r="101" spans="1:18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99</v>
      </c>
      <c r="L101">
        <v>100</v>
      </c>
      <c r="M101">
        <v>0.18179999999999999</v>
      </c>
      <c r="N101">
        <v>0.4</v>
      </c>
      <c r="O101">
        <v>0.29849999999999999</v>
      </c>
      <c r="P101">
        <v>3</v>
      </c>
      <c r="Q101">
        <v>192</v>
      </c>
      <c r="R101">
        <v>195</v>
      </c>
    </row>
    <row r="102" spans="1:18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100</v>
      </c>
      <c r="L102">
        <v>101</v>
      </c>
      <c r="M102">
        <v>0.19700000000000001</v>
      </c>
      <c r="N102">
        <v>0.37</v>
      </c>
      <c r="O102">
        <v>0.32840000000000003</v>
      </c>
      <c r="P102">
        <v>6</v>
      </c>
      <c r="Q102">
        <v>109</v>
      </c>
      <c r="R102">
        <v>115</v>
      </c>
    </row>
    <row r="103" spans="1:18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101</v>
      </c>
      <c r="L103">
        <v>102</v>
      </c>
      <c r="M103">
        <v>0.19700000000000001</v>
      </c>
      <c r="N103">
        <v>0.37</v>
      </c>
      <c r="O103">
        <v>0.32840000000000003</v>
      </c>
      <c r="P103">
        <v>4</v>
      </c>
      <c r="Q103">
        <v>53</v>
      </c>
      <c r="R103">
        <v>57</v>
      </c>
    </row>
    <row r="104" spans="1:18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102</v>
      </c>
      <c r="L104">
        <v>103</v>
      </c>
      <c r="M104">
        <v>0.2273</v>
      </c>
      <c r="N104">
        <v>0.33</v>
      </c>
      <c r="O104">
        <v>0.32840000000000003</v>
      </c>
      <c r="P104">
        <v>12</v>
      </c>
      <c r="Q104">
        <v>34</v>
      </c>
      <c r="R104">
        <v>46</v>
      </c>
    </row>
    <row r="105" spans="1:18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103</v>
      </c>
      <c r="L105">
        <v>104</v>
      </c>
      <c r="M105">
        <v>0.2273</v>
      </c>
      <c r="N105">
        <v>0.33</v>
      </c>
      <c r="O105">
        <v>0.32840000000000003</v>
      </c>
      <c r="P105">
        <v>5</v>
      </c>
      <c r="Q105">
        <v>74</v>
      </c>
      <c r="R105">
        <v>79</v>
      </c>
    </row>
    <row r="106" spans="1:18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104</v>
      </c>
      <c r="L106">
        <v>105</v>
      </c>
      <c r="M106">
        <v>0.2576</v>
      </c>
      <c r="N106">
        <v>0.3</v>
      </c>
      <c r="O106">
        <v>0.29849999999999999</v>
      </c>
      <c r="P106">
        <v>6</v>
      </c>
      <c r="Q106">
        <v>65</v>
      </c>
      <c r="R106">
        <v>71</v>
      </c>
    </row>
    <row r="107" spans="1:18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105</v>
      </c>
      <c r="L107">
        <v>106</v>
      </c>
      <c r="M107">
        <v>0.28789999999999999</v>
      </c>
      <c r="N107">
        <v>0.28000000000000003</v>
      </c>
      <c r="O107">
        <v>0.19400000000000001</v>
      </c>
      <c r="P107">
        <v>10</v>
      </c>
      <c r="Q107">
        <v>52</v>
      </c>
      <c r="R107">
        <v>62</v>
      </c>
    </row>
    <row r="108" spans="1:18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106</v>
      </c>
      <c r="L108">
        <v>107</v>
      </c>
      <c r="M108">
        <v>0.28789999999999999</v>
      </c>
      <c r="N108">
        <v>0.28000000000000003</v>
      </c>
      <c r="O108">
        <v>0.19400000000000001</v>
      </c>
      <c r="P108">
        <v>7</v>
      </c>
      <c r="Q108">
        <v>55</v>
      </c>
      <c r="R108">
        <v>62</v>
      </c>
    </row>
    <row r="109" spans="1:18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107</v>
      </c>
      <c r="L109">
        <v>108</v>
      </c>
      <c r="M109">
        <v>0.31819999999999998</v>
      </c>
      <c r="N109">
        <v>0.28000000000000003</v>
      </c>
      <c r="O109">
        <v>8.9599999999999999E-2</v>
      </c>
      <c r="P109">
        <v>4</v>
      </c>
      <c r="Q109">
        <v>85</v>
      </c>
      <c r="R109">
        <v>89</v>
      </c>
    </row>
    <row r="110" spans="1:18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108</v>
      </c>
      <c r="L110">
        <v>109</v>
      </c>
      <c r="M110">
        <v>0.2273</v>
      </c>
      <c r="N110">
        <v>0.38</v>
      </c>
      <c r="O110">
        <v>0.19400000000000001</v>
      </c>
      <c r="P110">
        <v>4</v>
      </c>
      <c r="Q110">
        <v>186</v>
      </c>
      <c r="R110">
        <v>190</v>
      </c>
    </row>
    <row r="111" spans="1:18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109</v>
      </c>
      <c r="L111">
        <v>110</v>
      </c>
      <c r="M111">
        <v>0.2424</v>
      </c>
      <c r="N111">
        <v>0.38</v>
      </c>
      <c r="O111">
        <v>0.1343</v>
      </c>
      <c r="P111">
        <v>3</v>
      </c>
      <c r="Q111">
        <v>166</v>
      </c>
      <c r="R111">
        <v>169</v>
      </c>
    </row>
    <row r="112" spans="1:18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110</v>
      </c>
      <c r="L112">
        <v>111</v>
      </c>
      <c r="M112">
        <v>0.2576</v>
      </c>
      <c r="N112">
        <v>0.38</v>
      </c>
      <c r="O112">
        <v>0.1045</v>
      </c>
      <c r="P112">
        <v>5</v>
      </c>
      <c r="Q112">
        <v>127</v>
      </c>
      <c r="R112">
        <v>132</v>
      </c>
    </row>
    <row r="113" spans="1:18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111</v>
      </c>
      <c r="L113">
        <v>112</v>
      </c>
      <c r="M113">
        <v>0.2273</v>
      </c>
      <c r="N113">
        <v>0.47</v>
      </c>
      <c r="O113">
        <v>0.16420000000000001</v>
      </c>
      <c r="P113">
        <v>7</v>
      </c>
      <c r="Q113">
        <v>82</v>
      </c>
      <c r="R113">
        <v>89</v>
      </c>
    </row>
    <row r="114" spans="1:18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112</v>
      </c>
      <c r="L114">
        <v>113</v>
      </c>
      <c r="M114">
        <v>0.19700000000000001</v>
      </c>
      <c r="N114">
        <v>0.51</v>
      </c>
      <c r="O114">
        <v>0.19400000000000001</v>
      </c>
      <c r="P114">
        <v>3</v>
      </c>
      <c r="Q114">
        <v>40</v>
      </c>
      <c r="R114">
        <v>43</v>
      </c>
    </row>
    <row r="115" spans="1:18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113</v>
      </c>
      <c r="L115">
        <v>114</v>
      </c>
      <c r="M115">
        <v>0.19700000000000001</v>
      </c>
      <c r="N115">
        <v>0.55000000000000004</v>
      </c>
      <c r="O115">
        <v>0.1343</v>
      </c>
      <c r="P115">
        <v>1</v>
      </c>
      <c r="Q115">
        <v>41</v>
      </c>
      <c r="R115">
        <v>42</v>
      </c>
    </row>
    <row r="116" spans="1:18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114</v>
      </c>
      <c r="L116">
        <v>115</v>
      </c>
      <c r="M116">
        <v>0.2576</v>
      </c>
      <c r="N116">
        <v>0.47</v>
      </c>
      <c r="O116">
        <v>0</v>
      </c>
      <c r="P116">
        <v>1</v>
      </c>
      <c r="Q116">
        <v>18</v>
      </c>
      <c r="R116">
        <v>19</v>
      </c>
    </row>
    <row r="117" spans="1:18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115</v>
      </c>
      <c r="L117">
        <v>116</v>
      </c>
      <c r="M117">
        <v>0.2424</v>
      </c>
      <c r="N117">
        <v>0.55000000000000004</v>
      </c>
      <c r="O117">
        <v>0</v>
      </c>
      <c r="P117">
        <v>0</v>
      </c>
      <c r="Q117">
        <v>11</v>
      </c>
      <c r="R117">
        <v>11</v>
      </c>
    </row>
    <row r="118" spans="1:18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116</v>
      </c>
      <c r="L118">
        <v>117</v>
      </c>
      <c r="M118">
        <v>0.2273</v>
      </c>
      <c r="N118">
        <v>0.64</v>
      </c>
      <c r="O118">
        <v>0</v>
      </c>
      <c r="P118">
        <v>0</v>
      </c>
      <c r="Q118">
        <v>4</v>
      </c>
      <c r="R118">
        <v>4</v>
      </c>
    </row>
    <row r="119" spans="1:18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117</v>
      </c>
      <c r="L119">
        <v>118</v>
      </c>
      <c r="M119">
        <v>0.2273</v>
      </c>
      <c r="N119">
        <v>0.64</v>
      </c>
      <c r="O119">
        <v>0</v>
      </c>
      <c r="P119">
        <v>0</v>
      </c>
      <c r="Q119">
        <v>2</v>
      </c>
      <c r="R119">
        <v>2</v>
      </c>
    </row>
    <row r="120" spans="1:18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118</v>
      </c>
      <c r="L120">
        <v>119</v>
      </c>
      <c r="M120">
        <v>0.19700000000000001</v>
      </c>
      <c r="N120">
        <v>0.64</v>
      </c>
      <c r="O120">
        <v>8.9599999999999999E-2</v>
      </c>
      <c r="P120">
        <v>0</v>
      </c>
      <c r="Q120">
        <v>1</v>
      </c>
      <c r="R120">
        <v>1</v>
      </c>
    </row>
    <row r="121" spans="1:18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119</v>
      </c>
      <c r="L121">
        <v>120</v>
      </c>
      <c r="M121">
        <v>0.18179999999999999</v>
      </c>
      <c r="N121">
        <v>0.69</v>
      </c>
      <c r="O121">
        <v>8.9599999999999999E-2</v>
      </c>
      <c r="P121">
        <v>0</v>
      </c>
      <c r="Q121">
        <v>4</v>
      </c>
      <c r="R121">
        <v>4</v>
      </c>
    </row>
    <row r="122" spans="1:18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120</v>
      </c>
      <c r="L122">
        <v>121</v>
      </c>
      <c r="M122">
        <v>0.16669999999999999</v>
      </c>
      <c r="N122">
        <v>0.63</v>
      </c>
      <c r="O122">
        <v>0.1045</v>
      </c>
      <c r="P122">
        <v>0</v>
      </c>
      <c r="Q122">
        <v>36</v>
      </c>
      <c r="R122">
        <v>36</v>
      </c>
    </row>
    <row r="123" spans="1:18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121</v>
      </c>
      <c r="L123">
        <v>122</v>
      </c>
      <c r="M123">
        <v>0.2273</v>
      </c>
      <c r="N123">
        <v>0.59</v>
      </c>
      <c r="O123">
        <v>0</v>
      </c>
      <c r="P123">
        <v>0</v>
      </c>
      <c r="Q123">
        <v>95</v>
      </c>
      <c r="R123">
        <v>95</v>
      </c>
    </row>
    <row r="124" spans="1:18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122</v>
      </c>
      <c r="L124">
        <v>123</v>
      </c>
      <c r="M124">
        <v>0.2273</v>
      </c>
      <c r="N124">
        <v>0.59</v>
      </c>
      <c r="O124">
        <v>0</v>
      </c>
      <c r="P124">
        <v>3</v>
      </c>
      <c r="Q124">
        <v>216</v>
      </c>
      <c r="R124">
        <v>219</v>
      </c>
    </row>
    <row r="125" spans="1:18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123</v>
      </c>
      <c r="L125">
        <v>124</v>
      </c>
      <c r="M125">
        <v>0.2424</v>
      </c>
      <c r="N125">
        <v>0.51</v>
      </c>
      <c r="O125">
        <v>0</v>
      </c>
      <c r="P125">
        <v>6</v>
      </c>
      <c r="Q125">
        <v>116</v>
      </c>
      <c r="R125">
        <v>122</v>
      </c>
    </row>
    <row r="126" spans="1:18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124</v>
      </c>
      <c r="L126">
        <v>125</v>
      </c>
      <c r="M126">
        <v>0.2576</v>
      </c>
      <c r="N126">
        <v>0.47</v>
      </c>
      <c r="O126">
        <v>0</v>
      </c>
      <c r="P126">
        <v>3</v>
      </c>
      <c r="Q126">
        <v>42</v>
      </c>
      <c r="R126">
        <v>45</v>
      </c>
    </row>
    <row r="127" spans="1:18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125</v>
      </c>
      <c r="L127">
        <v>126</v>
      </c>
      <c r="M127">
        <v>0.2576</v>
      </c>
      <c r="N127">
        <v>0.44</v>
      </c>
      <c r="O127">
        <v>8.9599999999999999E-2</v>
      </c>
      <c r="P127">
        <v>2</v>
      </c>
      <c r="Q127">
        <v>57</v>
      </c>
      <c r="R127">
        <v>59</v>
      </c>
    </row>
    <row r="128" spans="1:18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126</v>
      </c>
      <c r="L128">
        <v>127</v>
      </c>
      <c r="M128">
        <v>0.28789999999999999</v>
      </c>
      <c r="N128">
        <v>0.35</v>
      </c>
      <c r="O128">
        <v>0</v>
      </c>
      <c r="P128">
        <v>6</v>
      </c>
      <c r="Q128">
        <v>78</v>
      </c>
      <c r="R128">
        <v>84</v>
      </c>
    </row>
    <row r="129" spans="1:18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127</v>
      </c>
      <c r="L129">
        <v>128</v>
      </c>
      <c r="M129">
        <v>0.2727</v>
      </c>
      <c r="N129">
        <v>0.35</v>
      </c>
      <c r="O129">
        <v>0.1045</v>
      </c>
      <c r="P129">
        <v>12</v>
      </c>
      <c r="Q129">
        <v>55</v>
      </c>
      <c r="R129">
        <v>67</v>
      </c>
    </row>
    <row r="130" spans="1:18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128</v>
      </c>
      <c r="L130">
        <v>129</v>
      </c>
      <c r="M130">
        <v>0.2727</v>
      </c>
      <c r="N130">
        <v>0.36</v>
      </c>
      <c r="O130">
        <v>0.16420000000000001</v>
      </c>
      <c r="P130">
        <v>11</v>
      </c>
      <c r="Q130">
        <v>59</v>
      </c>
      <c r="R130">
        <v>70</v>
      </c>
    </row>
    <row r="131" spans="1:18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129</v>
      </c>
      <c r="L131">
        <v>130</v>
      </c>
      <c r="M131">
        <v>0.2727</v>
      </c>
      <c r="N131">
        <v>0.36</v>
      </c>
      <c r="O131">
        <v>0</v>
      </c>
      <c r="P131">
        <v>8</v>
      </c>
      <c r="Q131">
        <v>54</v>
      </c>
      <c r="R131">
        <v>62</v>
      </c>
    </row>
    <row r="132" spans="1:18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130</v>
      </c>
      <c r="L132">
        <v>131</v>
      </c>
      <c r="M132">
        <v>0.2576</v>
      </c>
      <c r="N132">
        <v>0.38</v>
      </c>
      <c r="O132">
        <v>0.16420000000000001</v>
      </c>
      <c r="P132">
        <v>12</v>
      </c>
      <c r="Q132">
        <v>74</v>
      </c>
      <c r="R132">
        <v>86</v>
      </c>
    </row>
    <row r="133" spans="1:18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131</v>
      </c>
      <c r="L133">
        <v>132</v>
      </c>
      <c r="M133">
        <v>0.2273</v>
      </c>
      <c r="N133">
        <v>0.51</v>
      </c>
      <c r="O133">
        <v>0.16420000000000001</v>
      </c>
      <c r="P133">
        <v>9</v>
      </c>
      <c r="Q133">
        <v>163</v>
      </c>
      <c r="R133">
        <v>172</v>
      </c>
    </row>
    <row r="134" spans="1:18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132</v>
      </c>
      <c r="L134">
        <v>133</v>
      </c>
      <c r="M134">
        <v>0.2273</v>
      </c>
      <c r="N134">
        <v>0.51</v>
      </c>
      <c r="O134">
        <v>0.1343</v>
      </c>
      <c r="P134">
        <v>5</v>
      </c>
      <c r="Q134">
        <v>158</v>
      </c>
      <c r="R134">
        <v>163</v>
      </c>
    </row>
    <row r="135" spans="1:18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133</v>
      </c>
      <c r="L135">
        <v>134</v>
      </c>
      <c r="M135">
        <v>0.2576</v>
      </c>
      <c r="N135">
        <v>0.55000000000000004</v>
      </c>
      <c r="O135">
        <v>8.9599999999999999E-2</v>
      </c>
      <c r="P135">
        <v>3</v>
      </c>
      <c r="Q135">
        <v>109</v>
      </c>
      <c r="R135">
        <v>112</v>
      </c>
    </row>
    <row r="136" spans="1:18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134</v>
      </c>
      <c r="L136">
        <v>135</v>
      </c>
      <c r="M136">
        <v>0.21210000000000001</v>
      </c>
      <c r="N136">
        <v>0.51</v>
      </c>
      <c r="O136">
        <v>0.16420000000000001</v>
      </c>
      <c r="P136">
        <v>3</v>
      </c>
      <c r="Q136">
        <v>66</v>
      </c>
      <c r="R136">
        <v>69</v>
      </c>
    </row>
    <row r="137" spans="1:18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135</v>
      </c>
      <c r="L137">
        <v>136</v>
      </c>
      <c r="M137">
        <v>0.21210000000000001</v>
      </c>
      <c r="N137">
        <v>0.55000000000000004</v>
      </c>
      <c r="O137">
        <v>0.22389999999999999</v>
      </c>
      <c r="P137">
        <v>0</v>
      </c>
      <c r="Q137">
        <v>48</v>
      </c>
      <c r="R137">
        <v>48</v>
      </c>
    </row>
    <row r="138" spans="1:18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136</v>
      </c>
      <c r="L138">
        <v>137</v>
      </c>
      <c r="M138">
        <v>0.21210000000000001</v>
      </c>
      <c r="N138">
        <v>0.51</v>
      </c>
      <c r="O138">
        <v>0.28360000000000002</v>
      </c>
      <c r="P138">
        <v>1</v>
      </c>
      <c r="Q138">
        <v>51</v>
      </c>
      <c r="R138">
        <v>52</v>
      </c>
    </row>
    <row r="139" spans="1:18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137</v>
      </c>
      <c r="L139">
        <v>138</v>
      </c>
      <c r="M139">
        <v>0.19700000000000001</v>
      </c>
      <c r="N139">
        <v>0.59</v>
      </c>
      <c r="O139">
        <v>0.19400000000000001</v>
      </c>
      <c r="P139">
        <v>4</v>
      </c>
      <c r="Q139">
        <v>19</v>
      </c>
      <c r="R139">
        <v>23</v>
      </c>
    </row>
    <row r="140" spans="1:18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138</v>
      </c>
      <c r="L140">
        <v>139</v>
      </c>
      <c r="M140">
        <v>0.19700000000000001</v>
      </c>
      <c r="N140">
        <v>0.64</v>
      </c>
      <c r="O140">
        <v>0.19400000000000001</v>
      </c>
      <c r="P140">
        <v>4</v>
      </c>
      <c r="Q140">
        <v>13</v>
      </c>
      <c r="R140">
        <v>17</v>
      </c>
    </row>
    <row r="141" spans="1:18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139</v>
      </c>
      <c r="L141">
        <v>140</v>
      </c>
      <c r="M141">
        <v>0.19700000000000001</v>
      </c>
      <c r="N141">
        <v>0.69</v>
      </c>
      <c r="O141">
        <v>0.22389999999999999</v>
      </c>
      <c r="P141">
        <v>2</v>
      </c>
      <c r="Q141">
        <v>5</v>
      </c>
      <c r="R141">
        <v>7</v>
      </c>
    </row>
    <row r="142" spans="1:18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140</v>
      </c>
      <c r="L142">
        <v>141</v>
      </c>
      <c r="M142">
        <v>0.19700000000000001</v>
      </c>
      <c r="N142">
        <v>0.69</v>
      </c>
      <c r="O142">
        <v>0.22389999999999999</v>
      </c>
      <c r="P142">
        <v>0</v>
      </c>
      <c r="Q142">
        <v>1</v>
      </c>
      <c r="R142">
        <v>1</v>
      </c>
    </row>
    <row r="143" spans="1:18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141</v>
      </c>
      <c r="L143">
        <v>142</v>
      </c>
      <c r="M143">
        <v>0.21210000000000001</v>
      </c>
      <c r="N143">
        <v>0.69</v>
      </c>
      <c r="O143">
        <v>0.1343</v>
      </c>
      <c r="P143">
        <v>0</v>
      </c>
      <c r="Q143">
        <v>1</v>
      </c>
      <c r="R143">
        <v>1</v>
      </c>
    </row>
    <row r="144" spans="1:18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142</v>
      </c>
      <c r="L144">
        <v>143</v>
      </c>
      <c r="M144">
        <v>0.2727</v>
      </c>
      <c r="N144">
        <v>0.55000000000000004</v>
      </c>
      <c r="O144">
        <v>0</v>
      </c>
      <c r="P144">
        <v>0</v>
      </c>
      <c r="Q144">
        <v>5</v>
      </c>
      <c r="R144">
        <v>5</v>
      </c>
    </row>
    <row r="145" spans="1:18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143</v>
      </c>
      <c r="L145">
        <v>144</v>
      </c>
      <c r="M145">
        <v>0.2576</v>
      </c>
      <c r="N145">
        <v>0.69</v>
      </c>
      <c r="O145">
        <v>0</v>
      </c>
      <c r="P145">
        <v>8</v>
      </c>
      <c r="Q145">
        <v>26</v>
      </c>
      <c r="R145">
        <v>34</v>
      </c>
    </row>
    <row r="146" spans="1:18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144</v>
      </c>
      <c r="L146">
        <v>145</v>
      </c>
      <c r="M146">
        <v>0.21210000000000001</v>
      </c>
      <c r="N146">
        <v>0.69</v>
      </c>
      <c r="O146">
        <v>0.1343</v>
      </c>
      <c r="P146">
        <v>8</v>
      </c>
      <c r="Q146">
        <v>76</v>
      </c>
      <c r="R146">
        <v>84</v>
      </c>
    </row>
    <row r="147" spans="1:18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145</v>
      </c>
      <c r="L147">
        <v>146</v>
      </c>
      <c r="M147">
        <v>0.19700000000000001</v>
      </c>
      <c r="N147">
        <v>0.51</v>
      </c>
      <c r="O147">
        <v>0.25369999999999998</v>
      </c>
      <c r="P147">
        <v>20</v>
      </c>
      <c r="Q147">
        <v>190</v>
      </c>
      <c r="R147">
        <v>210</v>
      </c>
    </row>
    <row r="148" spans="1:18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146</v>
      </c>
      <c r="L148">
        <v>147</v>
      </c>
      <c r="M148">
        <v>0.18179999999999999</v>
      </c>
      <c r="N148">
        <v>0.47</v>
      </c>
      <c r="O148">
        <v>0.29849999999999999</v>
      </c>
      <c r="P148">
        <v>9</v>
      </c>
      <c r="Q148">
        <v>125</v>
      </c>
      <c r="R148">
        <v>134</v>
      </c>
    </row>
    <row r="149" spans="1:18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147</v>
      </c>
      <c r="L149">
        <v>148</v>
      </c>
      <c r="M149">
        <v>0.19700000000000001</v>
      </c>
      <c r="N149">
        <v>0.37</v>
      </c>
      <c r="O149">
        <v>0.32840000000000003</v>
      </c>
      <c r="P149">
        <v>16</v>
      </c>
      <c r="Q149">
        <v>47</v>
      </c>
      <c r="R149">
        <v>63</v>
      </c>
    </row>
    <row r="150" spans="1:18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148</v>
      </c>
      <c r="L150">
        <v>149</v>
      </c>
      <c r="M150">
        <v>0.19700000000000001</v>
      </c>
      <c r="N150">
        <v>0.4</v>
      </c>
      <c r="O150">
        <v>0.22389999999999999</v>
      </c>
      <c r="P150">
        <v>19</v>
      </c>
      <c r="Q150">
        <v>48</v>
      </c>
      <c r="R150">
        <v>67</v>
      </c>
    </row>
    <row r="151" spans="1:18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149</v>
      </c>
      <c r="L151">
        <v>150</v>
      </c>
      <c r="M151">
        <v>0.19700000000000001</v>
      </c>
      <c r="N151">
        <v>0.37</v>
      </c>
      <c r="O151">
        <v>0.25369999999999998</v>
      </c>
      <c r="P151">
        <v>9</v>
      </c>
      <c r="Q151">
        <v>50</v>
      </c>
      <c r="R151">
        <v>59</v>
      </c>
    </row>
    <row r="152" spans="1:18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150</v>
      </c>
      <c r="L152">
        <v>151</v>
      </c>
      <c r="M152">
        <v>0.18179999999999999</v>
      </c>
      <c r="N152">
        <v>0.37</v>
      </c>
      <c r="O152">
        <v>0.28360000000000002</v>
      </c>
      <c r="P152">
        <v>9</v>
      </c>
      <c r="Q152">
        <v>64</v>
      </c>
      <c r="R152">
        <v>73</v>
      </c>
    </row>
    <row r="153" spans="1:18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151</v>
      </c>
      <c r="L153">
        <v>152</v>
      </c>
      <c r="M153">
        <v>0.19700000000000001</v>
      </c>
      <c r="N153">
        <v>0.4</v>
      </c>
      <c r="O153">
        <v>0.25369999999999998</v>
      </c>
      <c r="P153">
        <v>7</v>
      </c>
      <c r="Q153">
        <v>43</v>
      </c>
      <c r="R153">
        <v>50</v>
      </c>
    </row>
    <row r="154" spans="1:18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152</v>
      </c>
      <c r="L154">
        <v>153</v>
      </c>
      <c r="M154">
        <v>0.21210000000000001</v>
      </c>
      <c r="N154">
        <v>0.37</v>
      </c>
      <c r="O154">
        <v>0.16420000000000001</v>
      </c>
      <c r="P154">
        <v>9</v>
      </c>
      <c r="Q154">
        <v>63</v>
      </c>
      <c r="R154">
        <v>72</v>
      </c>
    </row>
    <row r="155" spans="1:18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153</v>
      </c>
      <c r="L155">
        <v>154</v>
      </c>
      <c r="M155">
        <v>0.21210000000000001</v>
      </c>
      <c r="N155">
        <v>0.37</v>
      </c>
      <c r="O155">
        <v>0.16420000000000001</v>
      </c>
      <c r="P155">
        <v>5</v>
      </c>
      <c r="Q155">
        <v>82</v>
      </c>
      <c r="R155">
        <v>87</v>
      </c>
    </row>
    <row r="156" spans="1:18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154</v>
      </c>
      <c r="L156">
        <v>155</v>
      </c>
      <c r="M156">
        <v>0.2576</v>
      </c>
      <c r="N156">
        <v>0.37</v>
      </c>
      <c r="O156">
        <v>0</v>
      </c>
      <c r="P156">
        <v>9</v>
      </c>
      <c r="Q156">
        <v>178</v>
      </c>
      <c r="R156">
        <v>187</v>
      </c>
    </row>
    <row r="157" spans="1:18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155</v>
      </c>
      <c r="L157">
        <v>156</v>
      </c>
      <c r="M157">
        <v>0.2273</v>
      </c>
      <c r="N157">
        <v>0.4</v>
      </c>
      <c r="O157">
        <v>8.9599999999999999E-2</v>
      </c>
      <c r="P157">
        <v>7</v>
      </c>
      <c r="Q157">
        <v>116</v>
      </c>
      <c r="R157">
        <v>123</v>
      </c>
    </row>
    <row r="158" spans="1:18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156</v>
      </c>
      <c r="L158">
        <v>157</v>
      </c>
      <c r="M158">
        <v>0.19700000000000001</v>
      </c>
      <c r="N158">
        <v>0.55000000000000004</v>
      </c>
      <c r="O158">
        <v>8.9599999999999999E-2</v>
      </c>
      <c r="P158">
        <v>3</v>
      </c>
      <c r="Q158">
        <v>92</v>
      </c>
      <c r="R158">
        <v>95</v>
      </c>
    </row>
    <row r="159" spans="1:18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157</v>
      </c>
      <c r="L159">
        <v>158</v>
      </c>
      <c r="M159">
        <v>0.21210000000000001</v>
      </c>
      <c r="N159">
        <v>0.47</v>
      </c>
      <c r="O159">
        <v>0.1045</v>
      </c>
      <c r="P159">
        <v>1</v>
      </c>
      <c r="Q159">
        <v>50</v>
      </c>
      <c r="R159">
        <v>51</v>
      </c>
    </row>
    <row r="160" spans="1:18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158</v>
      </c>
      <c r="L160">
        <v>159</v>
      </c>
      <c r="M160">
        <v>0.19700000000000001</v>
      </c>
      <c r="N160">
        <v>0.47</v>
      </c>
      <c r="O160">
        <v>0.1343</v>
      </c>
      <c r="P160">
        <v>0</v>
      </c>
      <c r="Q160">
        <v>39</v>
      </c>
      <c r="R160">
        <v>39</v>
      </c>
    </row>
    <row r="161" spans="1:18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159</v>
      </c>
      <c r="L161">
        <v>160</v>
      </c>
      <c r="M161">
        <v>0.19700000000000001</v>
      </c>
      <c r="N161">
        <v>0.43</v>
      </c>
      <c r="O161">
        <v>0.16420000000000001</v>
      </c>
      <c r="P161">
        <v>2</v>
      </c>
      <c r="Q161">
        <v>34</v>
      </c>
      <c r="R161">
        <v>36</v>
      </c>
    </row>
    <row r="162" spans="1:18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160</v>
      </c>
      <c r="L162">
        <v>161</v>
      </c>
      <c r="M162">
        <v>0.19700000000000001</v>
      </c>
      <c r="N162">
        <v>0.51</v>
      </c>
      <c r="O162">
        <v>0.16420000000000001</v>
      </c>
      <c r="P162">
        <v>1</v>
      </c>
      <c r="Q162">
        <v>14</v>
      </c>
      <c r="R162">
        <v>15</v>
      </c>
    </row>
    <row r="163" spans="1:18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161</v>
      </c>
      <c r="L163">
        <v>162</v>
      </c>
      <c r="M163">
        <v>0.19700000000000001</v>
      </c>
      <c r="N163">
        <v>0.51</v>
      </c>
      <c r="O163">
        <v>0.16420000000000001</v>
      </c>
      <c r="P163">
        <v>1</v>
      </c>
      <c r="Q163">
        <v>24</v>
      </c>
      <c r="R163">
        <v>25</v>
      </c>
    </row>
    <row r="164" spans="1:18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162</v>
      </c>
      <c r="L164">
        <v>163</v>
      </c>
      <c r="M164">
        <v>0.21210000000000001</v>
      </c>
      <c r="N164">
        <v>0.55000000000000004</v>
      </c>
      <c r="O164">
        <v>8.9599999999999999E-2</v>
      </c>
      <c r="P164">
        <v>1</v>
      </c>
      <c r="Q164">
        <v>15</v>
      </c>
      <c r="R164">
        <v>16</v>
      </c>
    </row>
    <row r="165" spans="1:18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163</v>
      </c>
      <c r="L165">
        <v>164</v>
      </c>
      <c r="M165">
        <v>0.2424</v>
      </c>
      <c r="N165">
        <v>0.55000000000000004</v>
      </c>
      <c r="O165">
        <v>0</v>
      </c>
      <c r="P165">
        <v>3</v>
      </c>
      <c r="Q165">
        <v>13</v>
      </c>
      <c r="R165">
        <v>16</v>
      </c>
    </row>
    <row r="166" spans="1:18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164</v>
      </c>
      <c r="L166">
        <v>165</v>
      </c>
      <c r="M166">
        <v>0.19700000000000001</v>
      </c>
      <c r="N166">
        <v>0.55000000000000004</v>
      </c>
      <c r="O166">
        <v>0.16420000000000001</v>
      </c>
      <c r="P166">
        <v>0</v>
      </c>
      <c r="Q166">
        <v>7</v>
      </c>
      <c r="R166">
        <v>7</v>
      </c>
    </row>
    <row r="167" spans="1:18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165</v>
      </c>
      <c r="L167">
        <v>166</v>
      </c>
      <c r="M167">
        <v>0.19700000000000001</v>
      </c>
      <c r="N167">
        <v>0.55000000000000004</v>
      </c>
      <c r="O167">
        <v>0.16420000000000001</v>
      </c>
      <c r="P167">
        <v>0</v>
      </c>
      <c r="Q167">
        <v>1</v>
      </c>
      <c r="R167">
        <v>1</v>
      </c>
    </row>
    <row r="168" spans="1:18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166</v>
      </c>
      <c r="L168">
        <v>167</v>
      </c>
      <c r="M168">
        <v>0.16669999999999999</v>
      </c>
      <c r="N168">
        <v>0.74</v>
      </c>
      <c r="O168">
        <v>0.16420000000000001</v>
      </c>
      <c r="P168">
        <v>0</v>
      </c>
      <c r="Q168">
        <v>5</v>
      </c>
      <c r="R168">
        <v>5</v>
      </c>
    </row>
    <row r="169" spans="1:18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167</v>
      </c>
      <c r="L169">
        <v>168</v>
      </c>
      <c r="M169">
        <v>0.16669999999999999</v>
      </c>
      <c r="N169">
        <v>0.74</v>
      </c>
      <c r="O169">
        <v>0.16420000000000001</v>
      </c>
      <c r="P169">
        <v>0</v>
      </c>
      <c r="Q169">
        <v>2</v>
      </c>
      <c r="R169">
        <v>2</v>
      </c>
    </row>
    <row r="170" spans="1:18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168</v>
      </c>
      <c r="L170">
        <v>169</v>
      </c>
      <c r="M170">
        <v>0.18179999999999999</v>
      </c>
      <c r="N170">
        <v>0.74</v>
      </c>
      <c r="O170">
        <v>0.1045</v>
      </c>
      <c r="P170">
        <v>1</v>
      </c>
      <c r="Q170">
        <v>8</v>
      </c>
      <c r="R170">
        <v>9</v>
      </c>
    </row>
    <row r="171" spans="1:18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169</v>
      </c>
      <c r="L171">
        <v>170</v>
      </c>
      <c r="M171">
        <v>0.18179999999999999</v>
      </c>
      <c r="N171">
        <v>0.93</v>
      </c>
      <c r="O171">
        <v>0.1045</v>
      </c>
      <c r="P171">
        <v>0</v>
      </c>
      <c r="Q171">
        <v>15</v>
      </c>
      <c r="R171">
        <v>15</v>
      </c>
    </row>
    <row r="172" spans="1:18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170</v>
      </c>
      <c r="L172">
        <v>171</v>
      </c>
      <c r="M172">
        <v>0.18179999999999999</v>
      </c>
      <c r="N172">
        <v>0.93</v>
      </c>
      <c r="O172">
        <v>0.1045</v>
      </c>
      <c r="P172">
        <v>0</v>
      </c>
      <c r="Q172">
        <v>20</v>
      </c>
      <c r="R172">
        <v>20</v>
      </c>
    </row>
    <row r="173" spans="1:18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171</v>
      </c>
      <c r="L173">
        <v>172</v>
      </c>
      <c r="M173">
        <v>0.19700000000000001</v>
      </c>
      <c r="N173">
        <v>0.8</v>
      </c>
      <c r="O173">
        <v>0.16420000000000001</v>
      </c>
      <c r="P173">
        <v>5</v>
      </c>
      <c r="Q173">
        <v>56</v>
      </c>
      <c r="R173">
        <v>61</v>
      </c>
    </row>
    <row r="174" spans="1:18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172</v>
      </c>
      <c r="L174">
        <v>173</v>
      </c>
      <c r="M174">
        <v>0.18179999999999999</v>
      </c>
      <c r="N174">
        <v>0.69</v>
      </c>
      <c r="O174">
        <v>0.3881</v>
      </c>
      <c r="P174">
        <v>2</v>
      </c>
      <c r="Q174">
        <v>60</v>
      </c>
      <c r="R174">
        <v>62</v>
      </c>
    </row>
    <row r="175" spans="1:18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173</v>
      </c>
      <c r="L175">
        <v>174</v>
      </c>
      <c r="M175">
        <v>0.18179999999999999</v>
      </c>
      <c r="N175">
        <v>0.59</v>
      </c>
      <c r="O175">
        <v>0.35820000000000002</v>
      </c>
      <c r="P175">
        <v>8</v>
      </c>
      <c r="Q175">
        <v>90</v>
      </c>
      <c r="R175">
        <v>98</v>
      </c>
    </row>
    <row r="176" spans="1:18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174</v>
      </c>
      <c r="L176">
        <v>175</v>
      </c>
      <c r="M176">
        <v>0.18179999999999999</v>
      </c>
      <c r="N176">
        <v>0.44</v>
      </c>
      <c r="O176">
        <v>0.32840000000000003</v>
      </c>
      <c r="P176">
        <v>7</v>
      </c>
      <c r="Q176">
        <v>95</v>
      </c>
      <c r="R176">
        <v>102</v>
      </c>
    </row>
    <row r="177" spans="1:18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175</v>
      </c>
      <c r="L177">
        <v>176</v>
      </c>
      <c r="M177">
        <v>0.16669999999999999</v>
      </c>
      <c r="N177">
        <v>0.32</v>
      </c>
      <c r="O177">
        <v>0.49249999999999999</v>
      </c>
      <c r="P177">
        <v>12</v>
      </c>
      <c r="Q177">
        <v>83</v>
      </c>
      <c r="R177">
        <v>95</v>
      </c>
    </row>
    <row r="178" spans="1:18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176</v>
      </c>
      <c r="L178">
        <v>177</v>
      </c>
      <c r="M178">
        <v>0.16669999999999999</v>
      </c>
      <c r="N178">
        <v>0.32</v>
      </c>
      <c r="O178">
        <v>0.44779999999999998</v>
      </c>
      <c r="P178">
        <v>5</v>
      </c>
      <c r="Q178">
        <v>69</v>
      </c>
      <c r="R178">
        <v>74</v>
      </c>
    </row>
    <row r="179" spans="1:18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177</v>
      </c>
      <c r="L179">
        <v>178</v>
      </c>
      <c r="M179">
        <v>0.13639999999999999</v>
      </c>
      <c r="N179">
        <v>0.28999999999999998</v>
      </c>
      <c r="O179">
        <v>0.44779999999999998</v>
      </c>
      <c r="P179">
        <v>8</v>
      </c>
      <c r="Q179">
        <v>68</v>
      </c>
      <c r="R179">
        <v>76</v>
      </c>
    </row>
    <row r="180" spans="1:18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178</v>
      </c>
      <c r="L180">
        <v>179</v>
      </c>
      <c r="M180">
        <v>0.1212</v>
      </c>
      <c r="N180">
        <v>0.37</v>
      </c>
      <c r="O180">
        <v>0.55220000000000002</v>
      </c>
      <c r="P180">
        <v>5</v>
      </c>
      <c r="Q180">
        <v>64</v>
      </c>
      <c r="R180">
        <v>69</v>
      </c>
    </row>
    <row r="181" spans="1:18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179</v>
      </c>
      <c r="L181">
        <v>180</v>
      </c>
      <c r="M181">
        <v>0.1212</v>
      </c>
      <c r="N181">
        <v>0.39</v>
      </c>
      <c r="O181">
        <v>0.29849999999999999</v>
      </c>
      <c r="P181">
        <v>3</v>
      </c>
      <c r="Q181">
        <v>52</v>
      </c>
      <c r="R181">
        <v>55</v>
      </c>
    </row>
    <row r="182" spans="1:18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180</v>
      </c>
      <c r="L182">
        <v>181</v>
      </c>
      <c r="M182">
        <v>0.1212</v>
      </c>
      <c r="N182">
        <v>0.36</v>
      </c>
      <c r="O182">
        <v>0.25369999999999998</v>
      </c>
      <c r="P182">
        <v>4</v>
      </c>
      <c r="Q182">
        <v>26</v>
      </c>
      <c r="R182">
        <v>30</v>
      </c>
    </row>
    <row r="183" spans="1:18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181</v>
      </c>
      <c r="L183">
        <v>182</v>
      </c>
      <c r="M183">
        <v>0.1212</v>
      </c>
      <c r="N183">
        <v>0.36</v>
      </c>
      <c r="O183">
        <v>0.25369999999999998</v>
      </c>
      <c r="P183">
        <v>0</v>
      </c>
      <c r="Q183">
        <v>28</v>
      </c>
      <c r="R183">
        <v>28</v>
      </c>
    </row>
    <row r="184" spans="1:18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182</v>
      </c>
      <c r="L184">
        <v>183</v>
      </c>
      <c r="M184">
        <v>0.1061</v>
      </c>
      <c r="N184">
        <v>0.39</v>
      </c>
      <c r="O184">
        <v>0.35820000000000002</v>
      </c>
      <c r="P184">
        <v>2</v>
      </c>
      <c r="Q184">
        <v>35</v>
      </c>
      <c r="R184">
        <v>37</v>
      </c>
    </row>
    <row r="185" spans="1:18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183</v>
      </c>
      <c r="L185">
        <v>184</v>
      </c>
      <c r="M185">
        <v>0.1061</v>
      </c>
      <c r="N185">
        <v>0.36</v>
      </c>
      <c r="O185">
        <v>0.3881</v>
      </c>
      <c r="P185">
        <v>1</v>
      </c>
      <c r="Q185">
        <v>33</v>
      </c>
      <c r="R185">
        <v>34</v>
      </c>
    </row>
    <row r="186" spans="1:18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184</v>
      </c>
      <c r="L186">
        <v>185</v>
      </c>
      <c r="M186">
        <v>6.0600000000000001E-2</v>
      </c>
      <c r="N186">
        <v>0.39</v>
      </c>
      <c r="O186">
        <v>0.44779999999999998</v>
      </c>
      <c r="P186">
        <v>0</v>
      </c>
      <c r="Q186">
        <v>22</v>
      </c>
      <c r="R186">
        <v>22</v>
      </c>
    </row>
    <row r="187" spans="1:18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185</v>
      </c>
      <c r="L187">
        <v>186</v>
      </c>
      <c r="M187">
        <v>7.5800000000000006E-2</v>
      </c>
      <c r="N187">
        <v>0.42</v>
      </c>
      <c r="O187">
        <v>0.3881</v>
      </c>
      <c r="P187">
        <v>1</v>
      </c>
      <c r="Q187">
        <v>24</v>
      </c>
      <c r="R187">
        <v>25</v>
      </c>
    </row>
    <row r="188" spans="1:18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186</v>
      </c>
      <c r="L188">
        <v>187</v>
      </c>
      <c r="M188">
        <v>6.0600000000000001E-2</v>
      </c>
      <c r="N188">
        <v>0.42</v>
      </c>
      <c r="O188">
        <v>0.4627</v>
      </c>
      <c r="P188">
        <v>0</v>
      </c>
      <c r="Q188">
        <v>12</v>
      </c>
      <c r="R188">
        <v>12</v>
      </c>
    </row>
    <row r="189" spans="1:18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187</v>
      </c>
      <c r="L189">
        <v>188</v>
      </c>
      <c r="M189">
        <v>6.0600000000000001E-2</v>
      </c>
      <c r="N189">
        <v>0.46</v>
      </c>
      <c r="O189">
        <v>0.4627</v>
      </c>
      <c r="P189">
        <v>0</v>
      </c>
      <c r="Q189">
        <v>11</v>
      </c>
      <c r="R189">
        <v>11</v>
      </c>
    </row>
    <row r="190" spans="1:18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188</v>
      </c>
      <c r="L190">
        <v>189</v>
      </c>
      <c r="M190">
        <v>7.5800000000000006E-2</v>
      </c>
      <c r="N190">
        <v>0.46</v>
      </c>
      <c r="O190">
        <v>0.41789999999999999</v>
      </c>
      <c r="P190">
        <v>0</v>
      </c>
      <c r="Q190">
        <v>4</v>
      </c>
      <c r="R190">
        <v>4</v>
      </c>
    </row>
    <row r="191" spans="1:18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189</v>
      </c>
      <c r="L191">
        <v>190</v>
      </c>
      <c r="M191">
        <v>9.0899999999999995E-2</v>
      </c>
      <c r="N191">
        <v>0.53</v>
      </c>
      <c r="O191">
        <v>0.19400000000000001</v>
      </c>
      <c r="P191">
        <v>0</v>
      </c>
      <c r="Q191">
        <v>1</v>
      </c>
      <c r="R191">
        <v>1</v>
      </c>
    </row>
    <row r="192" spans="1:18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190</v>
      </c>
      <c r="L192">
        <v>191</v>
      </c>
      <c r="M192">
        <v>9.0899999999999995E-2</v>
      </c>
      <c r="N192">
        <v>0.53</v>
      </c>
      <c r="O192">
        <v>0.19400000000000001</v>
      </c>
      <c r="P192">
        <v>0</v>
      </c>
      <c r="Q192">
        <v>1</v>
      </c>
      <c r="R192">
        <v>1</v>
      </c>
    </row>
    <row r="193" spans="1:18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191</v>
      </c>
      <c r="L193">
        <v>192</v>
      </c>
      <c r="M193">
        <v>9.0899999999999995E-2</v>
      </c>
      <c r="N193">
        <v>0.49</v>
      </c>
      <c r="O193">
        <v>0.28360000000000002</v>
      </c>
      <c r="P193">
        <v>0</v>
      </c>
      <c r="Q193">
        <v>1</v>
      </c>
      <c r="R193">
        <v>1</v>
      </c>
    </row>
    <row r="194" spans="1:18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192</v>
      </c>
      <c r="L194">
        <v>193</v>
      </c>
      <c r="M194">
        <v>9.0899999999999995E-2</v>
      </c>
      <c r="N194">
        <v>0.53</v>
      </c>
      <c r="O194">
        <v>0.19400000000000001</v>
      </c>
      <c r="P194">
        <v>1</v>
      </c>
      <c r="Q194">
        <v>5</v>
      </c>
      <c r="R194">
        <v>6</v>
      </c>
    </row>
    <row r="195" spans="1:18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193</v>
      </c>
      <c r="L195">
        <v>194</v>
      </c>
      <c r="M195">
        <v>9.0899999999999995E-2</v>
      </c>
      <c r="N195">
        <v>0.49</v>
      </c>
      <c r="O195">
        <v>0.28360000000000002</v>
      </c>
      <c r="P195">
        <v>0</v>
      </c>
      <c r="Q195">
        <v>10</v>
      </c>
      <c r="R195">
        <v>10</v>
      </c>
    </row>
    <row r="196" spans="1:18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194</v>
      </c>
      <c r="L196">
        <v>195</v>
      </c>
      <c r="M196">
        <v>7.5800000000000006E-2</v>
      </c>
      <c r="N196">
        <v>0.46</v>
      </c>
      <c r="O196">
        <v>0.52239999999999998</v>
      </c>
      <c r="P196">
        <v>0</v>
      </c>
      <c r="Q196">
        <v>19</v>
      </c>
      <c r="R196">
        <v>19</v>
      </c>
    </row>
    <row r="197" spans="1:18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195</v>
      </c>
      <c r="L197">
        <v>196</v>
      </c>
      <c r="M197">
        <v>0.1061</v>
      </c>
      <c r="N197">
        <v>0.43</v>
      </c>
      <c r="O197">
        <v>0.3881</v>
      </c>
      <c r="P197">
        <v>0</v>
      </c>
      <c r="Q197">
        <v>49</v>
      </c>
      <c r="R197">
        <v>49</v>
      </c>
    </row>
    <row r="198" spans="1:18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196</v>
      </c>
      <c r="L198">
        <v>197</v>
      </c>
      <c r="M198">
        <v>0.1212</v>
      </c>
      <c r="N198">
        <v>0.4</v>
      </c>
      <c r="O198">
        <v>0.52239999999999998</v>
      </c>
      <c r="P198">
        <v>2</v>
      </c>
      <c r="Q198">
        <v>47</v>
      </c>
      <c r="R198">
        <v>49</v>
      </c>
    </row>
    <row r="199" spans="1:18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197</v>
      </c>
      <c r="L199">
        <v>198</v>
      </c>
      <c r="M199">
        <v>0.13639999999999999</v>
      </c>
      <c r="N199">
        <v>0.37</v>
      </c>
      <c r="O199">
        <v>0.44779999999999998</v>
      </c>
      <c r="P199">
        <v>4</v>
      </c>
      <c r="Q199">
        <v>79</v>
      </c>
      <c r="R199">
        <v>83</v>
      </c>
    </row>
    <row r="200" spans="1:18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198</v>
      </c>
      <c r="L200">
        <v>199</v>
      </c>
      <c r="M200">
        <v>0.16669999999999999</v>
      </c>
      <c r="N200">
        <v>0.34</v>
      </c>
      <c r="O200">
        <v>0.44779999999999998</v>
      </c>
      <c r="P200">
        <v>6</v>
      </c>
      <c r="Q200">
        <v>69</v>
      </c>
      <c r="R200">
        <v>75</v>
      </c>
    </row>
    <row r="201" spans="1:18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199</v>
      </c>
      <c r="L201">
        <v>200</v>
      </c>
      <c r="M201">
        <v>0.18179999999999999</v>
      </c>
      <c r="N201">
        <v>0.32</v>
      </c>
      <c r="O201">
        <v>0.4627</v>
      </c>
      <c r="P201">
        <v>8</v>
      </c>
      <c r="Q201">
        <v>64</v>
      </c>
      <c r="R201">
        <v>72</v>
      </c>
    </row>
    <row r="202" spans="1:18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200</v>
      </c>
      <c r="L202">
        <v>201</v>
      </c>
      <c r="M202">
        <v>0.19700000000000001</v>
      </c>
      <c r="N202">
        <v>0.35</v>
      </c>
      <c r="O202">
        <v>0.35820000000000002</v>
      </c>
      <c r="P202">
        <v>5</v>
      </c>
      <c r="Q202">
        <v>77</v>
      </c>
      <c r="R202">
        <v>82</v>
      </c>
    </row>
    <row r="203" spans="1:18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201</v>
      </c>
      <c r="L203">
        <v>202</v>
      </c>
      <c r="M203">
        <v>0.16669999999999999</v>
      </c>
      <c r="N203">
        <v>0.34</v>
      </c>
      <c r="O203">
        <v>0.44779999999999998</v>
      </c>
      <c r="P203">
        <v>13</v>
      </c>
      <c r="Q203">
        <v>79</v>
      </c>
      <c r="R203">
        <v>92</v>
      </c>
    </row>
    <row r="204" spans="1:18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202</v>
      </c>
      <c r="L204">
        <v>203</v>
      </c>
      <c r="M204">
        <v>0.1515</v>
      </c>
      <c r="N204">
        <v>0.37</v>
      </c>
      <c r="O204">
        <v>0.3881</v>
      </c>
      <c r="P204">
        <v>3</v>
      </c>
      <c r="Q204">
        <v>59</v>
      </c>
      <c r="R204">
        <v>62</v>
      </c>
    </row>
    <row r="205" spans="1:18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203</v>
      </c>
      <c r="L205">
        <v>204</v>
      </c>
      <c r="M205">
        <v>0.13639999999999999</v>
      </c>
      <c r="N205">
        <v>0.4</v>
      </c>
      <c r="O205">
        <v>0.32840000000000003</v>
      </c>
      <c r="P205">
        <v>4</v>
      </c>
      <c r="Q205">
        <v>44</v>
      </c>
      <c r="R205">
        <v>48</v>
      </c>
    </row>
    <row r="206" spans="1:18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204</v>
      </c>
      <c r="L206">
        <v>205</v>
      </c>
      <c r="M206">
        <v>0.13639999999999999</v>
      </c>
      <c r="N206">
        <v>0.43</v>
      </c>
      <c r="O206">
        <v>0.32840000000000003</v>
      </c>
      <c r="P206">
        <v>1</v>
      </c>
      <c r="Q206">
        <v>40</v>
      </c>
      <c r="R206">
        <v>41</v>
      </c>
    </row>
    <row r="207" spans="1:18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205</v>
      </c>
      <c r="L207">
        <v>206</v>
      </c>
      <c r="M207">
        <v>0.1212</v>
      </c>
      <c r="N207">
        <v>0.46</v>
      </c>
      <c r="O207">
        <v>0.25369999999999998</v>
      </c>
      <c r="P207">
        <v>0</v>
      </c>
      <c r="Q207">
        <v>38</v>
      </c>
      <c r="R207">
        <v>38</v>
      </c>
    </row>
    <row r="208" spans="1:18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206</v>
      </c>
      <c r="L208">
        <v>207</v>
      </c>
      <c r="M208">
        <v>0.1061</v>
      </c>
      <c r="N208">
        <v>0.46</v>
      </c>
      <c r="O208">
        <v>0.41789999999999999</v>
      </c>
      <c r="P208">
        <v>1</v>
      </c>
      <c r="Q208">
        <v>19</v>
      </c>
      <c r="R208">
        <v>20</v>
      </c>
    </row>
    <row r="209" spans="1:18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207</v>
      </c>
      <c r="L209">
        <v>208</v>
      </c>
      <c r="M209">
        <v>0.1212</v>
      </c>
      <c r="N209">
        <v>0.46</v>
      </c>
      <c r="O209">
        <v>0.29849999999999999</v>
      </c>
      <c r="P209">
        <v>5</v>
      </c>
      <c r="Q209">
        <v>10</v>
      </c>
      <c r="R209">
        <v>15</v>
      </c>
    </row>
    <row r="210" spans="1:18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208</v>
      </c>
      <c r="L210">
        <v>209</v>
      </c>
      <c r="M210">
        <v>0.13639999999999999</v>
      </c>
      <c r="N210">
        <v>0.5</v>
      </c>
      <c r="O210">
        <v>0.19400000000000001</v>
      </c>
      <c r="P210">
        <v>0</v>
      </c>
      <c r="Q210">
        <v>6</v>
      </c>
      <c r="R210">
        <v>6</v>
      </c>
    </row>
    <row r="211" spans="1:18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209</v>
      </c>
      <c r="L211">
        <v>210</v>
      </c>
      <c r="M211">
        <v>0.1212</v>
      </c>
      <c r="N211">
        <v>0.5</v>
      </c>
      <c r="O211">
        <v>0.28360000000000002</v>
      </c>
      <c r="P211">
        <v>2</v>
      </c>
      <c r="Q211">
        <v>3</v>
      </c>
      <c r="R211">
        <v>5</v>
      </c>
    </row>
    <row r="212" spans="1:18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210</v>
      </c>
      <c r="L212">
        <v>211</v>
      </c>
      <c r="M212">
        <v>0.1212</v>
      </c>
      <c r="N212">
        <v>0.5</v>
      </c>
      <c r="O212">
        <v>0.28360000000000002</v>
      </c>
      <c r="P212">
        <v>1</v>
      </c>
      <c r="Q212">
        <v>0</v>
      </c>
      <c r="R212">
        <v>1</v>
      </c>
    </row>
    <row r="213" spans="1:18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211</v>
      </c>
      <c r="L213">
        <v>212</v>
      </c>
      <c r="M213">
        <v>0.1212</v>
      </c>
      <c r="N213">
        <v>0.5</v>
      </c>
      <c r="O213">
        <v>0.22389999999999999</v>
      </c>
      <c r="P213">
        <v>0</v>
      </c>
      <c r="Q213">
        <v>3</v>
      </c>
      <c r="R213">
        <v>3</v>
      </c>
    </row>
    <row r="214" spans="1:18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212</v>
      </c>
      <c r="L214">
        <v>213</v>
      </c>
      <c r="M214">
        <v>0.1212</v>
      </c>
      <c r="N214">
        <v>0.5</v>
      </c>
      <c r="O214">
        <v>0.22389999999999999</v>
      </c>
      <c r="P214">
        <v>0</v>
      </c>
      <c r="Q214">
        <v>1</v>
      </c>
      <c r="R214">
        <v>1</v>
      </c>
    </row>
    <row r="215" spans="1:18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213</v>
      </c>
      <c r="L215">
        <v>214</v>
      </c>
      <c r="M215">
        <v>0.1212</v>
      </c>
      <c r="N215">
        <v>0.54</v>
      </c>
      <c r="O215">
        <v>0.1343</v>
      </c>
      <c r="P215">
        <v>1</v>
      </c>
      <c r="Q215">
        <v>2</v>
      </c>
      <c r="R215">
        <v>3</v>
      </c>
    </row>
    <row r="216" spans="1:18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214</v>
      </c>
      <c r="L216">
        <v>215</v>
      </c>
      <c r="M216">
        <v>0.1061</v>
      </c>
      <c r="N216">
        <v>0.54</v>
      </c>
      <c r="O216">
        <v>0.25369999999999998</v>
      </c>
      <c r="P216">
        <v>0</v>
      </c>
      <c r="Q216">
        <v>3</v>
      </c>
      <c r="R216">
        <v>3</v>
      </c>
    </row>
    <row r="217" spans="1:18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215</v>
      </c>
      <c r="L217">
        <v>216</v>
      </c>
      <c r="M217">
        <v>0.1212</v>
      </c>
      <c r="N217">
        <v>0.5</v>
      </c>
      <c r="O217">
        <v>0.28360000000000002</v>
      </c>
      <c r="P217">
        <v>0</v>
      </c>
      <c r="Q217">
        <v>31</v>
      </c>
      <c r="R217">
        <v>31</v>
      </c>
    </row>
    <row r="218" spans="1:18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216</v>
      </c>
      <c r="L218">
        <v>217</v>
      </c>
      <c r="M218">
        <v>0.1212</v>
      </c>
      <c r="N218">
        <v>0.5</v>
      </c>
      <c r="O218">
        <v>0.22389999999999999</v>
      </c>
      <c r="P218">
        <v>2</v>
      </c>
      <c r="Q218">
        <v>75</v>
      </c>
      <c r="R218">
        <v>77</v>
      </c>
    </row>
    <row r="219" spans="1:18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217</v>
      </c>
      <c r="L219">
        <v>218</v>
      </c>
      <c r="M219">
        <v>0.1212</v>
      </c>
      <c r="N219">
        <v>0.5</v>
      </c>
      <c r="O219">
        <v>0.28360000000000002</v>
      </c>
      <c r="P219">
        <v>4</v>
      </c>
      <c r="Q219">
        <v>184</v>
      </c>
      <c r="R219">
        <v>188</v>
      </c>
    </row>
    <row r="220" spans="1:18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218</v>
      </c>
      <c r="L220">
        <v>219</v>
      </c>
      <c r="M220">
        <v>0.1212</v>
      </c>
      <c r="N220">
        <v>0.5</v>
      </c>
      <c r="O220">
        <v>0.25369999999999998</v>
      </c>
      <c r="P220">
        <v>2</v>
      </c>
      <c r="Q220">
        <v>92</v>
      </c>
      <c r="R220">
        <v>94</v>
      </c>
    </row>
    <row r="221" spans="1:18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219</v>
      </c>
      <c r="L221">
        <v>220</v>
      </c>
      <c r="M221">
        <v>0.1212</v>
      </c>
      <c r="N221">
        <v>0.5</v>
      </c>
      <c r="O221">
        <v>0.29849999999999999</v>
      </c>
      <c r="P221">
        <v>0</v>
      </c>
      <c r="Q221">
        <v>31</v>
      </c>
      <c r="R221">
        <v>31</v>
      </c>
    </row>
    <row r="222" spans="1:18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220</v>
      </c>
      <c r="L222">
        <v>221</v>
      </c>
      <c r="M222">
        <v>0.13639999999999999</v>
      </c>
      <c r="N222">
        <v>0.47</v>
      </c>
      <c r="O222">
        <v>0.28360000000000002</v>
      </c>
      <c r="P222">
        <v>2</v>
      </c>
      <c r="Q222">
        <v>28</v>
      </c>
      <c r="R222">
        <v>30</v>
      </c>
    </row>
    <row r="223" spans="1:18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221</v>
      </c>
      <c r="L223">
        <v>222</v>
      </c>
      <c r="M223">
        <v>0.18179999999999999</v>
      </c>
      <c r="N223">
        <v>0.4</v>
      </c>
      <c r="O223">
        <v>0.28360000000000002</v>
      </c>
      <c r="P223">
        <v>5</v>
      </c>
      <c r="Q223">
        <v>47</v>
      </c>
      <c r="R223">
        <v>52</v>
      </c>
    </row>
    <row r="224" spans="1:18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222</v>
      </c>
      <c r="L224">
        <v>223</v>
      </c>
      <c r="M224">
        <v>0.18179999999999999</v>
      </c>
      <c r="N224">
        <v>0.4</v>
      </c>
      <c r="O224">
        <v>0.28360000000000002</v>
      </c>
      <c r="P224">
        <v>4</v>
      </c>
      <c r="Q224">
        <v>50</v>
      </c>
      <c r="R224">
        <v>54</v>
      </c>
    </row>
    <row r="225" spans="1:18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223</v>
      </c>
      <c r="L225">
        <v>224</v>
      </c>
      <c r="M225">
        <v>0.19700000000000001</v>
      </c>
      <c r="N225">
        <v>0.4</v>
      </c>
      <c r="O225">
        <v>0.22389999999999999</v>
      </c>
      <c r="P225">
        <v>0</v>
      </c>
      <c r="Q225">
        <v>47</v>
      </c>
      <c r="R225">
        <v>47</v>
      </c>
    </row>
    <row r="226" spans="1:18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224</v>
      </c>
      <c r="L226">
        <v>225</v>
      </c>
      <c r="M226">
        <v>0.19700000000000001</v>
      </c>
      <c r="N226">
        <v>0.4</v>
      </c>
      <c r="O226">
        <v>0.22389999999999999</v>
      </c>
      <c r="P226">
        <v>2</v>
      </c>
      <c r="Q226">
        <v>43</v>
      </c>
      <c r="R226">
        <v>45</v>
      </c>
    </row>
    <row r="227" spans="1:18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225</v>
      </c>
      <c r="L227">
        <v>226</v>
      </c>
      <c r="M227">
        <v>0.21210000000000001</v>
      </c>
      <c r="N227">
        <v>0.4</v>
      </c>
      <c r="O227">
        <v>0.1343</v>
      </c>
      <c r="P227">
        <v>4</v>
      </c>
      <c r="Q227">
        <v>70</v>
      </c>
      <c r="R227">
        <v>74</v>
      </c>
    </row>
    <row r="228" spans="1:18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226</v>
      </c>
      <c r="L228">
        <v>227</v>
      </c>
      <c r="M228">
        <v>0.2273</v>
      </c>
      <c r="N228">
        <v>0.4</v>
      </c>
      <c r="O228">
        <v>0.1045</v>
      </c>
      <c r="P228">
        <v>4</v>
      </c>
      <c r="Q228">
        <v>174</v>
      </c>
      <c r="R228">
        <v>178</v>
      </c>
    </row>
    <row r="229" spans="1:18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227</v>
      </c>
      <c r="L229">
        <v>228</v>
      </c>
      <c r="M229">
        <v>0.19700000000000001</v>
      </c>
      <c r="N229">
        <v>0.4</v>
      </c>
      <c r="O229">
        <v>0.22389999999999999</v>
      </c>
      <c r="P229">
        <v>1</v>
      </c>
      <c r="Q229">
        <v>154</v>
      </c>
      <c r="R229">
        <v>155</v>
      </c>
    </row>
    <row r="230" spans="1:18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228</v>
      </c>
      <c r="L230">
        <v>229</v>
      </c>
      <c r="M230">
        <v>0.16669999999999999</v>
      </c>
      <c r="N230">
        <v>0.47</v>
      </c>
      <c r="O230">
        <v>0.16420000000000001</v>
      </c>
      <c r="P230">
        <v>3</v>
      </c>
      <c r="Q230">
        <v>92</v>
      </c>
      <c r="R230">
        <v>95</v>
      </c>
    </row>
    <row r="231" spans="1:18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229</v>
      </c>
      <c r="L231">
        <v>230</v>
      </c>
      <c r="M231">
        <v>0.16669999999999999</v>
      </c>
      <c r="N231">
        <v>0.5</v>
      </c>
      <c r="O231">
        <v>0.16420000000000001</v>
      </c>
      <c r="P231">
        <v>1</v>
      </c>
      <c r="Q231">
        <v>73</v>
      </c>
      <c r="R231">
        <v>74</v>
      </c>
    </row>
    <row r="232" spans="1:18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230</v>
      </c>
      <c r="L232">
        <v>231</v>
      </c>
      <c r="M232">
        <v>0.13639999999999999</v>
      </c>
      <c r="N232">
        <v>0.59</v>
      </c>
      <c r="O232">
        <v>0.19400000000000001</v>
      </c>
      <c r="P232">
        <v>1</v>
      </c>
      <c r="Q232">
        <v>37</v>
      </c>
      <c r="R232">
        <v>38</v>
      </c>
    </row>
    <row r="233" spans="1:18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231</v>
      </c>
      <c r="L233">
        <v>232</v>
      </c>
      <c r="M233">
        <v>0.1515</v>
      </c>
      <c r="N233">
        <v>0.59</v>
      </c>
      <c r="O233">
        <v>0.16420000000000001</v>
      </c>
      <c r="P233">
        <v>2</v>
      </c>
      <c r="Q233">
        <v>22</v>
      </c>
      <c r="R233">
        <v>24</v>
      </c>
    </row>
    <row r="234" spans="1:18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232</v>
      </c>
      <c r="L234">
        <v>233</v>
      </c>
      <c r="M234">
        <v>0.1515</v>
      </c>
      <c r="N234">
        <v>0.59</v>
      </c>
      <c r="O234">
        <v>0.16420000000000001</v>
      </c>
      <c r="P234">
        <v>0</v>
      </c>
      <c r="Q234">
        <v>18</v>
      </c>
      <c r="R234">
        <v>18</v>
      </c>
    </row>
    <row r="235" spans="1:18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233</v>
      </c>
      <c r="L235">
        <v>234</v>
      </c>
      <c r="M235">
        <v>0.16669999999999999</v>
      </c>
      <c r="N235">
        <v>0.59</v>
      </c>
      <c r="O235">
        <v>0.1045</v>
      </c>
      <c r="P235">
        <v>2</v>
      </c>
      <c r="Q235">
        <v>10</v>
      </c>
      <c r="R235">
        <v>12</v>
      </c>
    </row>
    <row r="236" spans="1:18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234</v>
      </c>
      <c r="L236">
        <v>235</v>
      </c>
      <c r="M236">
        <v>0.1515</v>
      </c>
      <c r="N236">
        <v>0.59</v>
      </c>
      <c r="O236">
        <v>0.16420000000000001</v>
      </c>
      <c r="P236">
        <v>0</v>
      </c>
      <c r="Q236">
        <v>3</v>
      </c>
      <c r="R236">
        <v>3</v>
      </c>
    </row>
    <row r="237" spans="1:18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235</v>
      </c>
      <c r="L237">
        <v>236</v>
      </c>
      <c r="M237">
        <v>0.1515</v>
      </c>
      <c r="N237">
        <v>0.55000000000000004</v>
      </c>
      <c r="O237">
        <v>0.19400000000000001</v>
      </c>
      <c r="P237">
        <v>0</v>
      </c>
      <c r="Q237">
        <v>3</v>
      </c>
      <c r="R237">
        <v>3</v>
      </c>
    </row>
    <row r="238" spans="1:18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236</v>
      </c>
      <c r="L238">
        <v>237</v>
      </c>
      <c r="M238">
        <v>0.18179999999999999</v>
      </c>
      <c r="N238">
        <v>0.55000000000000004</v>
      </c>
      <c r="O238">
        <v>0.1343</v>
      </c>
      <c r="P238">
        <v>0</v>
      </c>
      <c r="Q238">
        <v>6</v>
      </c>
      <c r="R238">
        <v>6</v>
      </c>
    </row>
    <row r="239" spans="1:18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237</v>
      </c>
      <c r="L239">
        <v>238</v>
      </c>
      <c r="M239">
        <v>0.18179999999999999</v>
      </c>
      <c r="N239">
        <v>0.55000000000000004</v>
      </c>
      <c r="O239">
        <v>0.1343</v>
      </c>
      <c r="P239">
        <v>0</v>
      </c>
      <c r="Q239">
        <v>27</v>
      </c>
      <c r="R239">
        <v>27</v>
      </c>
    </row>
    <row r="240" spans="1:18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238</v>
      </c>
      <c r="L240">
        <v>239</v>
      </c>
      <c r="M240">
        <v>0.2273</v>
      </c>
      <c r="N240">
        <v>0.55000000000000004</v>
      </c>
      <c r="O240">
        <v>0</v>
      </c>
      <c r="P240">
        <v>2</v>
      </c>
      <c r="Q240">
        <v>97</v>
      </c>
      <c r="R240">
        <v>99</v>
      </c>
    </row>
    <row r="241" spans="1:18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239</v>
      </c>
      <c r="L241">
        <v>240</v>
      </c>
      <c r="M241">
        <v>0.21210000000000001</v>
      </c>
      <c r="N241">
        <v>0.51</v>
      </c>
      <c r="O241">
        <v>8.9599999999999999E-2</v>
      </c>
      <c r="P241">
        <v>3</v>
      </c>
      <c r="Q241">
        <v>214</v>
      </c>
      <c r="R241">
        <v>217</v>
      </c>
    </row>
    <row r="242" spans="1:18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240</v>
      </c>
      <c r="L242">
        <v>241</v>
      </c>
      <c r="M242">
        <v>0.19700000000000001</v>
      </c>
      <c r="N242">
        <v>0.51</v>
      </c>
      <c r="O242">
        <v>0.16420000000000001</v>
      </c>
      <c r="P242">
        <v>3</v>
      </c>
      <c r="Q242">
        <v>127</v>
      </c>
      <c r="R242">
        <v>130</v>
      </c>
    </row>
    <row r="243" spans="1:18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241</v>
      </c>
      <c r="L243">
        <v>242</v>
      </c>
      <c r="M243">
        <v>0.21210000000000001</v>
      </c>
      <c r="N243">
        <v>0.51</v>
      </c>
      <c r="O243">
        <v>0.16420000000000001</v>
      </c>
      <c r="P243">
        <v>3</v>
      </c>
      <c r="Q243">
        <v>51</v>
      </c>
      <c r="R243">
        <v>54</v>
      </c>
    </row>
    <row r="244" spans="1:18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242</v>
      </c>
      <c r="L244">
        <v>243</v>
      </c>
      <c r="M244">
        <v>0.21210000000000001</v>
      </c>
      <c r="N244">
        <v>0.47</v>
      </c>
      <c r="O244">
        <v>0.1343</v>
      </c>
      <c r="P244">
        <v>4</v>
      </c>
      <c r="Q244">
        <v>31</v>
      </c>
      <c r="R244">
        <v>35</v>
      </c>
    </row>
    <row r="245" spans="1:18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243</v>
      </c>
      <c r="L245">
        <v>244</v>
      </c>
      <c r="M245">
        <v>0.2273</v>
      </c>
      <c r="N245">
        <v>0.51</v>
      </c>
      <c r="O245">
        <v>0.1045</v>
      </c>
      <c r="P245">
        <v>2</v>
      </c>
      <c r="Q245">
        <v>55</v>
      </c>
      <c r="R245">
        <v>57</v>
      </c>
    </row>
    <row r="246" spans="1:18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244</v>
      </c>
      <c r="L246">
        <v>245</v>
      </c>
      <c r="M246">
        <v>0.2273</v>
      </c>
      <c r="N246">
        <v>0.59</v>
      </c>
      <c r="O246">
        <v>8.9599999999999999E-2</v>
      </c>
      <c r="P246">
        <v>6</v>
      </c>
      <c r="Q246">
        <v>46</v>
      </c>
      <c r="R246">
        <v>52</v>
      </c>
    </row>
    <row r="247" spans="1:18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245</v>
      </c>
      <c r="L247">
        <v>246</v>
      </c>
      <c r="M247">
        <v>0.2273</v>
      </c>
      <c r="N247">
        <v>0.59</v>
      </c>
      <c r="O247">
        <v>8.9599999999999999E-2</v>
      </c>
      <c r="P247">
        <v>3</v>
      </c>
      <c r="Q247">
        <v>60</v>
      </c>
      <c r="R247">
        <v>63</v>
      </c>
    </row>
    <row r="248" spans="1:18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246</v>
      </c>
      <c r="L248">
        <v>247</v>
      </c>
      <c r="M248">
        <v>0.19700000000000001</v>
      </c>
      <c r="N248">
        <v>0.8</v>
      </c>
      <c r="O248">
        <v>8.9599999999999999E-2</v>
      </c>
      <c r="P248">
        <v>2</v>
      </c>
      <c r="Q248">
        <v>45</v>
      </c>
      <c r="R248">
        <v>47</v>
      </c>
    </row>
    <row r="249" spans="1:18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247</v>
      </c>
      <c r="L249">
        <v>248</v>
      </c>
      <c r="M249">
        <v>0.1515</v>
      </c>
      <c r="N249">
        <v>0.86</v>
      </c>
      <c r="O249">
        <v>0.22389999999999999</v>
      </c>
      <c r="P249">
        <v>4</v>
      </c>
      <c r="Q249">
        <v>72</v>
      </c>
      <c r="R249">
        <v>76</v>
      </c>
    </row>
    <row r="250" spans="1:18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248</v>
      </c>
      <c r="L250">
        <v>249</v>
      </c>
      <c r="M250">
        <v>0.1515</v>
      </c>
      <c r="N250">
        <v>0.86</v>
      </c>
      <c r="O250">
        <v>0.22389999999999999</v>
      </c>
      <c r="P250">
        <v>6</v>
      </c>
      <c r="Q250">
        <v>130</v>
      </c>
      <c r="R250">
        <v>136</v>
      </c>
    </row>
    <row r="251" spans="1:18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249</v>
      </c>
      <c r="L251">
        <v>250</v>
      </c>
      <c r="M251">
        <v>0.18179999999999999</v>
      </c>
      <c r="N251">
        <v>0.93</v>
      </c>
      <c r="O251">
        <v>0.1045</v>
      </c>
      <c r="P251">
        <v>1</v>
      </c>
      <c r="Q251">
        <v>94</v>
      </c>
      <c r="R251">
        <v>95</v>
      </c>
    </row>
    <row r="252" spans="1:18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250</v>
      </c>
      <c r="L252">
        <v>251</v>
      </c>
      <c r="M252">
        <v>0.2273</v>
      </c>
      <c r="N252">
        <v>0.93</v>
      </c>
      <c r="O252">
        <v>0</v>
      </c>
      <c r="P252">
        <v>0</v>
      </c>
      <c r="Q252">
        <v>51</v>
      </c>
      <c r="R252">
        <v>51</v>
      </c>
    </row>
    <row r="253" spans="1:18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251</v>
      </c>
      <c r="L253">
        <v>252</v>
      </c>
      <c r="M253">
        <v>0.1515</v>
      </c>
      <c r="N253">
        <v>0.93</v>
      </c>
      <c r="O253">
        <v>0.19400000000000001</v>
      </c>
      <c r="P253">
        <v>0</v>
      </c>
      <c r="Q253">
        <v>32</v>
      </c>
      <c r="R253">
        <v>32</v>
      </c>
    </row>
    <row r="254" spans="1:18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252</v>
      </c>
      <c r="L254">
        <v>253</v>
      </c>
      <c r="M254">
        <v>0.19700000000000001</v>
      </c>
      <c r="N254">
        <v>0.86</v>
      </c>
      <c r="O254">
        <v>8.9599999999999999E-2</v>
      </c>
      <c r="P254">
        <v>0</v>
      </c>
      <c r="Q254">
        <v>20</v>
      </c>
      <c r="R254">
        <v>20</v>
      </c>
    </row>
    <row r="255" spans="1:18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253</v>
      </c>
      <c r="L255">
        <v>254</v>
      </c>
      <c r="M255">
        <v>0.18179999999999999</v>
      </c>
      <c r="N255">
        <v>0.93</v>
      </c>
      <c r="O255">
        <v>0.1045</v>
      </c>
      <c r="P255">
        <v>1</v>
      </c>
      <c r="Q255">
        <v>28</v>
      </c>
      <c r="R255">
        <v>29</v>
      </c>
    </row>
    <row r="256" spans="1:18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254</v>
      </c>
      <c r="L256">
        <v>255</v>
      </c>
      <c r="M256">
        <v>0.19700000000000001</v>
      </c>
      <c r="N256">
        <v>0.93</v>
      </c>
      <c r="O256">
        <v>8.9599999999999999E-2</v>
      </c>
      <c r="P256">
        <v>1</v>
      </c>
      <c r="Q256">
        <v>18</v>
      </c>
      <c r="R256">
        <v>19</v>
      </c>
    </row>
    <row r="257" spans="1:18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255</v>
      </c>
      <c r="L257">
        <v>256</v>
      </c>
      <c r="M257">
        <v>0.19700000000000001</v>
      </c>
      <c r="N257">
        <v>0.86</v>
      </c>
      <c r="O257">
        <v>8.9599999999999999E-2</v>
      </c>
      <c r="P257">
        <v>0</v>
      </c>
      <c r="Q257">
        <v>7</v>
      </c>
      <c r="R257">
        <v>7</v>
      </c>
    </row>
    <row r="258" spans="1:18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256</v>
      </c>
      <c r="L258">
        <v>257</v>
      </c>
      <c r="M258">
        <v>0.18179999999999999</v>
      </c>
      <c r="N258">
        <v>0.86</v>
      </c>
      <c r="O258">
        <v>0.1045</v>
      </c>
      <c r="P258">
        <v>0</v>
      </c>
      <c r="Q258">
        <v>6</v>
      </c>
      <c r="R258">
        <v>6</v>
      </c>
    </row>
    <row r="259" spans="1:18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257</v>
      </c>
      <c r="L259">
        <v>258</v>
      </c>
      <c r="M259">
        <v>0.1515</v>
      </c>
      <c r="N259">
        <v>0.86</v>
      </c>
      <c r="O259">
        <v>0.1343</v>
      </c>
      <c r="P259">
        <v>0</v>
      </c>
      <c r="Q259">
        <v>1</v>
      </c>
      <c r="R259">
        <v>1</v>
      </c>
    </row>
    <row r="260" spans="1:18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258</v>
      </c>
      <c r="L260">
        <v>259</v>
      </c>
      <c r="M260">
        <v>0.1515</v>
      </c>
      <c r="N260">
        <v>0.86</v>
      </c>
      <c r="O260">
        <v>0.16420000000000001</v>
      </c>
      <c r="P260">
        <v>0</v>
      </c>
      <c r="Q260">
        <v>5</v>
      </c>
      <c r="R260">
        <v>5</v>
      </c>
    </row>
    <row r="261" spans="1:18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259</v>
      </c>
      <c r="L261">
        <v>260</v>
      </c>
      <c r="M261">
        <v>0.1515</v>
      </c>
      <c r="N261">
        <v>0.93</v>
      </c>
      <c r="O261">
        <v>0.1343</v>
      </c>
      <c r="P261">
        <v>0</v>
      </c>
      <c r="Q261">
        <v>16</v>
      </c>
      <c r="R261">
        <v>16</v>
      </c>
    </row>
    <row r="262" spans="1:18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260</v>
      </c>
      <c r="L262">
        <v>261</v>
      </c>
      <c r="M262">
        <v>0.1515</v>
      </c>
      <c r="N262">
        <v>0.69</v>
      </c>
      <c r="O262">
        <v>0.1343</v>
      </c>
      <c r="P262">
        <v>0</v>
      </c>
      <c r="Q262">
        <v>54</v>
      </c>
      <c r="R262">
        <v>54</v>
      </c>
    </row>
    <row r="263" spans="1:18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261</v>
      </c>
      <c r="L263">
        <v>262</v>
      </c>
      <c r="M263">
        <v>0.16669999999999999</v>
      </c>
      <c r="N263">
        <v>0.59</v>
      </c>
      <c r="O263">
        <v>0.16420000000000001</v>
      </c>
      <c r="P263">
        <v>3</v>
      </c>
      <c r="Q263">
        <v>125</v>
      </c>
      <c r="R263">
        <v>128</v>
      </c>
    </row>
    <row r="264" spans="1:18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262</v>
      </c>
      <c r="L264">
        <v>263</v>
      </c>
      <c r="M264">
        <v>0.13639999999999999</v>
      </c>
      <c r="N264">
        <v>0.59</v>
      </c>
      <c r="O264">
        <v>0.32840000000000003</v>
      </c>
      <c r="P264">
        <v>3</v>
      </c>
      <c r="Q264">
        <v>78</v>
      </c>
      <c r="R264">
        <v>81</v>
      </c>
    </row>
    <row r="265" spans="1:18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263</v>
      </c>
      <c r="L265">
        <v>264</v>
      </c>
      <c r="M265">
        <v>0.18179999999999999</v>
      </c>
      <c r="N265">
        <v>0.55000000000000004</v>
      </c>
      <c r="O265">
        <v>0.22389999999999999</v>
      </c>
      <c r="P265">
        <v>0</v>
      </c>
      <c r="Q265">
        <v>39</v>
      </c>
      <c r="R265">
        <v>39</v>
      </c>
    </row>
    <row r="266" spans="1:18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264</v>
      </c>
      <c r="L266">
        <v>265</v>
      </c>
      <c r="M266">
        <v>0.18179999999999999</v>
      </c>
      <c r="N266">
        <v>0.51</v>
      </c>
      <c r="O266">
        <v>0.3881</v>
      </c>
      <c r="P266">
        <v>3</v>
      </c>
      <c r="Q266">
        <v>32</v>
      </c>
      <c r="R266">
        <v>35</v>
      </c>
    </row>
    <row r="267" spans="1:18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265</v>
      </c>
      <c r="L267">
        <v>266</v>
      </c>
      <c r="M267">
        <v>0.1515</v>
      </c>
      <c r="N267">
        <v>0.47</v>
      </c>
      <c r="O267">
        <v>0.58209999999999995</v>
      </c>
      <c r="P267">
        <v>3</v>
      </c>
      <c r="Q267">
        <v>52</v>
      </c>
      <c r="R267">
        <v>55</v>
      </c>
    </row>
    <row r="268" spans="1:18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266</v>
      </c>
      <c r="L268">
        <v>267</v>
      </c>
      <c r="M268">
        <v>0.19700000000000001</v>
      </c>
      <c r="N268">
        <v>0.44</v>
      </c>
      <c r="O268">
        <v>0.35820000000000002</v>
      </c>
      <c r="P268">
        <v>0</v>
      </c>
      <c r="Q268">
        <v>49</v>
      </c>
      <c r="R268">
        <v>49</v>
      </c>
    </row>
    <row r="269" spans="1:18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267</v>
      </c>
      <c r="L269">
        <v>268</v>
      </c>
      <c r="M269">
        <v>0.18179999999999999</v>
      </c>
      <c r="N269">
        <v>0.47</v>
      </c>
      <c r="O269">
        <v>0.32840000000000003</v>
      </c>
      <c r="P269">
        <v>0</v>
      </c>
      <c r="Q269">
        <v>44</v>
      </c>
      <c r="R269">
        <v>44</v>
      </c>
    </row>
    <row r="270" spans="1:18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268</v>
      </c>
      <c r="L270">
        <v>269</v>
      </c>
      <c r="M270">
        <v>0.16669999999999999</v>
      </c>
      <c r="N270">
        <v>0.47</v>
      </c>
      <c r="O270">
        <v>0.41789999999999999</v>
      </c>
      <c r="P270">
        <v>1</v>
      </c>
      <c r="Q270">
        <v>48</v>
      </c>
      <c r="R270">
        <v>49</v>
      </c>
    </row>
    <row r="271" spans="1:18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269</v>
      </c>
      <c r="L271">
        <v>270</v>
      </c>
      <c r="M271">
        <v>0.19700000000000001</v>
      </c>
      <c r="N271">
        <v>0.44</v>
      </c>
      <c r="O271">
        <v>0.32840000000000003</v>
      </c>
      <c r="P271">
        <v>5</v>
      </c>
      <c r="Q271">
        <v>63</v>
      </c>
      <c r="R271">
        <v>68</v>
      </c>
    </row>
    <row r="272" spans="1:18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270</v>
      </c>
      <c r="L272">
        <v>271</v>
      </c>
      <c r="M272">
        <v>0.18179999999999999</v>
      </c>
      <c r="N272">
        <v>0.47</v>
      </c>
      <c r="O272">
        <v>0.35820000000000002</v>
      </c>
      <c r="P272">
        <v>0</v>
      </c>
      <c r="Q272">
        <v>139</v>
      </c>
      <c r="R272">
        <v>139</v>
      </c>
    </row>
    <row r="273" spans="1:18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271</v>
      </c>
      <c r="L273">
        <v>272</v>
      </c>
      <c r="M273">
        <v>0.1515</v>
      </c>
      <c r="N273">
        <v>0.47</v>
      </c>
      <c r="O273">
        <v>0.52239999999999998</v>
      </c>
      <c r="P273">
        <v>2</v>
      </c>
      <c r="Q273">
        <v>135</v>
      </c>
      <c r="R273">
        <v>137</v>
      </c>
    </row>
    <row r="274" spans="1:18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272</v>
      </c>
      <c r="L274">
        <v>273</v>
      </c>
      <c r="M274">
        <v>0.1515</v>
      </c>
      <c r="N274">
        <v>0.47</v>
      </c>
      <c r="O274">
        <v>0.41789999999999999</v>
      </c>
      <c r="P274">
        <v>1</v>
      </c>
      <c r="Q274">
        <v>82</v>
      </c>
      <c r="R274">
        <v>83</v>
      </c>
    </row>
    <row r="275" spans="1:18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273</v>
      </c>
      <c r="L275">
        <v>274</v>
      </c>
      <c r="M275">
        <v>0.13639999999999999</v>
      </c>
      <c r="N275">
        <v>0.5</v>
      </c>
      <c r="O275">
        <v>0.32840000000000003</v>
      </c>
      <c r="P275">
        <v>2</v>
      </c>
      <c r="Q275">
        <v>54</v>
      </c>
      <c r="R275">
        <v>56</v>
      </c>
    </row>
    <row r="276" spans="1:18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274</v>
      </c>
      <c r="L276">
        <v>275</v>
      </c>
      <c r="M276">
        <v>0.13639999999999999</v>
      </c>
      <c r="N276">
        <v>0.55000000000000004</v>
      </c>
      <c r="O276">
        <v>0.32840000000000003</v>
      </c>
      <c r="P276">
        <v>0</v>
      </c>
      <c r="Q276">
        <v>57</v>
      </c>
      <c r="R276">
        <v>57</v>
      </c>
    </row>
    <row r="277" spans="1:18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275</v>
      </c>
      <c r="L277">
        <v>276</v>
      </c>
      <c r="M277">
        <v>0.1212</v>
      </c>
      <c r="N277">
        <v>0.55000000000000004</v>
      </c>
      <c r="O277">
        <v>0.44779999999999998</v>
      </c>
      <c r="P277">
        <v>1</v>
      </c>
      <c r="Q277">
        <v>32</v>
      </c>
      <c r="R277">
        <v>33</v>
      </c>
    </row>
    <row r="278" spans="1:18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276</v>
      </c>
      <c r="L278">
        <v>277</v>
      </c>
      <c r="M278">
        <v>0.1061</v>
      </c>
      <c r="N278">
        <v>0.59</v>
      </c>
      <c r="O278">
        <v>0.41789999999999999</v>
      </c>
      <c r="P278">
        <v>1</v>
      </c>
      <c r="Q278">
        <v>19</v>
      </c>
      <c r="R278">
        <v>20</v>
      </c>
    </row>
    <row r="279" spans="1:18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277</v>
      </c>
      <c r="L279">
        <v>278</v>
      </c>
      <c r="M279">
        <v>0.1212</v>
      </c>
      <c r="N279">
        <v>0.59</v>
      </c>
      <c r="O279">
        <v>0.28360000000000002</v>
      </c>
      <c r="P279">
        <v>1</v>
      </c>
      <c r="Q279">
        <v>6</v>
      </c>
      <c r="R279">
        <v>7</v>
      </c>
    </row>
    <row r="280" spans="1:18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278</v>
      </c>
      <c r="L280">
        <v>279</v>
      </c>
      <c r="M280">
        <v>0.1212</v>
      </c>
      <c r="N280">
        <v>0.5</v>
      </c>
      <c r="O280">
        <v>0.28360000000000002</v>
      </c>
      <c r="P280">
        <v>0</v>
      </c>
      <c r="Q280">
        <v>2</v>
      </c>
      <c r="R280">
        <v>2</v>
      </c>
    </row>
    <row r="281" spans="1:18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279</v>
      </c>
      <c r="L281">
        <v>280</v>
      </c>
      <c r="M281">
        <v>0.1212</v>
      </c>
      <c r="N281">
        <v>0.5</v>
      </c>
      <c r="O281">
        <v>0.35820000000000002</v>
      </c>
      <c r="P281">
        <v>0</v>
      </c>
      <c r="Q281">
        <v>2</v>
      </c>
      <c r="R281">
        <v>2</v>
      </c>
    </row>
    <row r="282" spans="1:18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280</v>
      </c>
      <c r="L282">
        <v>281</v>
      </c>
      <c r="M282">
        <v>0.1212</v>
      </c>
      <c r="N282">
        <v>0.5</v>
      </c>
      <c r="O282">
        <v>0.32840000000000003</v>
      </c>
      <c r="P282">
        <v>0</v>
      </c>
      <c r="Q282">
        <v>3</v>
      </c>
      <c r="R282">
        <v>3</v>
      </c>
    </row>
    <row r="283" spans="1:18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281</v>
      </c>
      <c r="L283">
        <v>282</v>
      </c>
      <c r="M283">
        <v>0.1212</v>
      </c>
      <c r="N283">
        <v>0.5</v>
      </c>
      <c r="O283">
        <v>0.25369999999999998</v>
      </c>
      <c r="P283">
        <v>0</v>
      </c>
      <c r="Q283">
        <v>4</v>
      </c>
      <c r="R283">
        <v>4</v>
      </c>
    </row>
    <row r="284" spans="1:18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282</v>
      </c>
      <c r="L284">
        <v>283</v>
      </c>
      <c r="M284">
        <v>0.1212</v>
      </c>
      <c r="N284">
        <v>0.5</v>
      </c>
      <c r="O284">
        <v>0.29849999999999999</v>
      </c>
      <c r="P284">
        <v>0</v>
      </c>
      <c r="Q284">
        <v>3</v>
      </c>
      <c r="R284">
        <v>3</v>
      </c>
    </row>
    <row r="285" spans="1:18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283</v>
      </c>
      <c r="L285">
        <v>284</v>
      </c>
      <c r="M285">
        <v>0.1515</v>
      </c>
      <c r="N285">
        <v>0.54</v>
      </c>
      <c r="O285">
        <v>0.1343</v>
      </c>
      <c r="P285">
        <v>0</v>
      </c>
      <c r="Q285">
        <v>28</v>
      </c>
      <c r="R285">
        <v>28</v>
      </c>
    </row>
    <row r="286" spans="1:18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284</v>
      </c>
      <c r="L286">
        <v>285</v>
      </c>
      <c r="M286">
        <v>0.1515</v>
      </c>
      <c r="N286">
        <v>0.54</v>
      </c>
      <c r="O286">
        <v>0.1343</v>
      </c>
      <c r="P286">
        <v>0</v>
      </c>
      <c r="Q286">
        <v>72</v>
      </c>
      <c r="R286">
        <v>72</v>
      </c>
    </row>
    <row r="287" spans="1:18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285</v>
      </c>
      <c r="L287">
        <v>286</v>
      </c>
      <c r="M287">
        <v>0.13639999999999999</v>
      </c>
      <c r="N287">
        <v>0.5</v>
      </c>
      <c r="O287">
        <v>0.19400000000000001</v>
      </c>
      <c r="P287">
        <v>5</v>
      </c>
      <c r="Q287">
        <v>197</v>
      </c>
      <c r="R287">
        <v>202</v>
      </c>
    </row>
    <row r="288" spans="1:18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286</v>
      </c>
      <c r="L288">
        <v>287</v>
      </c>
      <c r="M288">
        <v>0.1212</v>
      </c>
      <c r="N288">
        <v>0.5</v>
      </c>
      <c r="O288">
        <v>0.32840000000000003</v>
      </c>
      <c r="P288">
        <v>2</v>
      </c>
      <c r="Q288">
        <v>137</v>
      </c>
      <c r="R288">
        <v>139</v>
      </c>
    </row>
    <row r="289" spans="1:18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287</v>
      </c>
      <c r="L289">
        <v>288</v>
      </c>
      <c r="M289">
        <v>0.13639999999999999</v>
      </c>
      <c r="N289">
        <v>0.5</v>
      </c>
      <c r="O289">
        <v>0.35820000000000002</v>
      </c>
      <c r="P289">
        <v>2</v>
      </c>
      <c r="Q289">
        <v>36</v>
      </c>
      <c r="R289">
        <v>38</v>
      </c>
    </row>
    <row r="290" spans="1:18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288</v>
      </c>
      <c r="L290">
        <v>289</v>
      </c>
      <c r="M290">
        <v>0.16669999999999999</v>
      </c>
      <c r="N290">
        <v>0.44</v>
      </c>
      <c r="O290">
        <v>0.44779999999999998</v>
      </c>
      <c r="P290">
        <v>4</v>
      </c>
      <c r="Q290">
        <v>33</v>
      </c>
      <c r="R290">
        <v>37</v>
      </c>
    </row>
    <row r="291" spans="1:18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289</v>
      </c>
      <c r="L291">
        <v>290</v>
      </c>
      <c r="M291">
        <v>0.16669999999999999</v>
      </c>
      <c r="N291">
        <v>0.44</v>
      </c>
      <c r="O291">
        <v>0.41789999999999999</v>
      </c>
      <c r="P291">
        <v>3</v>
      </c>
      <c r="Q291">
        <v>49</v>
      </c>
      <c r="R291">
        <v>52</v>
      </c>
    </row>
    <row r="292" spans="1:18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290</v>
      </c>
      <c r="L292">
        <v>291</v>
      </c>
      <c r="M292">
        <v>0.19700000000000001</v>
      </c>
      <c r="N292">
        <v>0.41</v>
      </c>
      <c r="O292">
        <v>0.44779999999999998</v>
      </c>
      <c r="P292">
        <v>2</v>
      </c>
      <c r="Q292">
        <v>81</v>
      </c>
      <c r="R292">
        <v>83</v>
      </c>
    </row>
    <row r="293" spans="1:18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291</v>
      </c>
      <c r="L293">
        <v>292</v>
      </c>
      <c r="M293">
        <v>0.19700000000000001</v>
      </c>
      <c r="N293">
        <v>0.41</v>
      </c>
      <c r="O293">
        <v>0.3881</v>
      </c>
      <c r="P293">
        <v>3</v>
      </c>
      <c r="Q293">
        <v>39</v>
      </c>
      <c r="R293">
        <v>42</v>
      </c>
    </row>
    <row r="294" spans="1:18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292</v>
      </c>
      <c r="L294">
        <v>293</v>
      </c>
      <c r="M294">
        <v>0.21210000000000001</v>
      </c>
      <c r="N294">
        <v>0.38</v>
      </c>
      <c r="O294">
        <v>0.29849999999999999</v>
      </c>
      <c r="P294">
        <v>5</v>
      </c>
      <c r="Q294">
        <v>55</v>
      </c>
      <c r="R294">
        <v>60</v>
      </c>
    </row>
    <row r="295" spans="1:18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293</v>
      </c>
      <c r="L295">
        <v>294</v>
      </c>
      <c r="M295">
        <v>0.21210000000000001</v>
      </c>
      <c r="N295">
        <v>0.38</v>
      </c>
      <c r="O295">
        <v>0.35820000000000002</v>
      </c>
      <c r="P295">
        <v>2</v>
      </c>
      <c r="Q295">
        <v>76</v>
      </c>
      <c r="R295">
        <v>78</v>
      </c>
    </row>
    <row r="296" spans="1:18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294</v>
      </c>
      <c r="L296">
        <v>295</v>
      </c>
      <c r="M296">
        <v>0.18179999999999999</v>
      </c>
      <c r="N296">
        <v>0.4</v>
      </c>
      <c r="O296">
        <v>0.28360000000000002</v>
      </c>
      <c r="P296">
        <v>4</v>
      </c>
      <c r="Q296">
        <v>158</v>
      </c>
      <c r="R296">
        <v>162</v>
      </c>
    </row>
    <row r="297" spans="1:18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295</v>
      </c>
      <c r="L297">
        <v>296</v>
      </c>
      <c r="M297">
        <v>0.18179999999999999</v>
      </c>
      <c r="N297">
        <v>0.4</v>
      </c>
      <c r="O297">
        <v>0.32840000000000003</v>
      </c>
      <c r="P297">
        <v>3</v>
      </c>
      <c r="Q297">
        <v>141</v>
      </c>
      <c r="R297">
        <v>144</v>
      </c>
    </row>
    <row r="298" spans="1:18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296</v>
      </c>
      <c r="L298">
        <v>297</v>
      </c>
      <c r="M298">
        <v>0.1515</v>
      </c>
      <c r="N298">
        <v>0.47</v>
      </c>
      <c r="O298">
        <v>0.25369999999999998</v>
      </c>
      <c r="P298">
        <v>1</v>
      </c>
      <c r="Q298">
        <v>98</v>
      </c>
      <c r="R298">
        <v>99</v>
      </c>
    </row>
    <row r="299" spans="1:18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297</v>
      </c>
      <c r="L299">
        <v>298</v>
      </c>
      <c r="M299">
        <v>0.1515</v>
      </c>
      <c r="N299">
        <v>0.47</v>
      </c>
      <c r="O299">
        <v>0.22389999999999999</v>
      </c>
      <c r="P299">
        <v>0</v>
      </c>
      <c r="Q299">
        <v>64</v>
      </c>
      <c r="R299">
        <v>64</v>
      </c>
    </row>
    <row r="300" spans="1:18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298</v>
      </c>
      <c r="L300">
        <v>299</v>
      </c>
      <c r="M300">
        <v>0.1212</v>
      </c>
      <c r="N300">
        <v>0.46</v>
      </c>
      <c r="O300">
        <v>0.29849999999999999</v>
      </c>
      <c r="P300">
        <v>0</v>
      </c>
      <c r="Q300">
        <v>40</v>
      </c>
      <c r="R300">
        <v>40</v>
      </c>
    </row>
    <row r="301" spans="1:18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299</v>
      </c>
      <c r="L301">
        <v>300</v>
      </c>
      <c r="M301">
        <v>0.1212</v>
      </c>
      <c r="N301">
        <v>0.46</v>
      </c>
      <c r="O301">
        <v>0.32840000000000003</v>
      </c>
      <c r="P301">
        <v>0</v>
      </c>
      <c r="Q301">
        <v>30</v>
      </c>
      <c r="R301">
        <v>30</v>
      </c>
    </row>
    <row r="302" spans="1:18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300</v>
      </c>
      <c r="L302">
        <v>301</v>
      </c>
      <c r="M302">
        <v>0.13639999999999999</v>
      </c>
      <c r="N302">
        <v>0.5</v>
      </c>
      <c r="O302">
        <v>0.19400000000000001</v>
      </c>
      <c r="P302">
        <v>1</v>
      </c>
      <c r="Q302">
        <v>14</v>
      </c>
      <c r="R302">
        <v>15</v>
      </c>
    </row>
    <row r="303" spans="1:18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301</v>
      </c>
      <c r="L303">
        <v>302</v>
      </c>
      <c r="M303">
        <v>0.13639999999999999</v>
      </c>
      <c r="N303">
        <v>0.5</v>
      </c>
      <c r="O303">
        <v>0.19400000000000001</v>
      </c>
      <c r="P303">
        <v>0</v>
      </c>
      <c r="Q303">
        <v>14</v>
      </c>
      <c r="R303">
        <v>14</v>
      </c>
    </row>
    <row r="304" spans="1:18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302</v>
      </c>
      <c r="L304">
        <v>303</v>
      </c>
      <c r="M304">
        <v>0.1212</v>
      </c>
      <c r="N304">
        <v>0.54</v>
      </c>
      <c r="O304">
        <v>0.16420000000000001</v>
      </c>
      <c r="P304">
        <v>0</v>
      </c>
      <c r="Q304">
        <v>5</v>
      </c>
      <c r="R304">
        <v>5</v>
      </c>
    </row>
    <row r="305" spans="1:18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303</v>
      </c>
      <c r="L305">
        <v>304</v>
      </c>
      <c r="M305">
        <v>0.1212</v>
      </c>
      <c r="N305">
        <v>0.54</v>
      </c>
      <c r="O305">
        <v>0.1343</v>
      </c>
      <c r="P305">
        <v>0</v>
      </c>
      <c r="Q305">
        <v>1</v>
      </c>
      <c r="R305">
        <v>1</v>
      </c>
    </row>
    <row r="306" spans="1:18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304</v>
      </c>
      <c r="L306">
        <v>305</v>
      </c>
      <c r="M306">
        <v>0.13639999999999999</v>
      </c>
      <c r="N306">
        <v>0.54</v>
      </c>
      <c r="O306">
        <v>0.1045</v>
      </c>
      <c r="P306">
        <v>0</v>
      </c>
      <c r="Q306">
        <v>1</v>
      </c>
      <c r="R306">
        <v>1</v>
      </c>
    </row>
    <row r="307" spans="1:18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305</v>
      </c>
      <c r="L307">
        <v>306</v>
      </c>
      <c r="M307">
        <v>0.13639999999999999</v>
      </c>
      <c r="N307">
        <v>0.54</v>
      </c>
      <c r="O307">
        <v>8.9599999999999999E-2</v>
      </c>
      <c r="P307">
        <v>0</v>
      </c>
      <c r="Q307">
        <v>8</v>
      </c>
      <c r="R307">
        <v>8</v>
      </c>
    </row>
    <row r="308" spans="1:18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306</v>
      </c>
      <c r="L308">
        <v>307</v>
      </c>
      <c r="M308">
        <v>0.18179999999999999</v>
      </c>
      <c r="N308">
        <v>0.54</v>
      </c>
      <c r="O308">
        <v>0</v>
      </c>
      <c r="P308">
        <v>0</v>
      </c>
      <c r="Q308">
        <v>17</v>
      </c>
      <c r="R308">
        <v>17</v>
      </c>
    </row>
    <row r="309" spans="1:18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307</v>
      </c>
      <c r="L309">
        <v>308</v>
      </c>
      <c r="M309">
        <v>0.1212</v>
      </c>
      <c r="N309">
        <v>0.74</v>
      </c>
      <c r="O309">
        <v>0.16420000000000001</v>
      </c>
      <c r="P309">
        <v>0</v>
      </c>
      <c r="Q309">
        <v>70</v>
      </c>
      <c r="R309">
        <v>70</v>
      </c>
    </row>
    <row r="310" spans="1:18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308</v>
      </c>
      <c r="L310">
        <v>309</v>
      </c>
      <c r="M310">
        <v>0.16669999999999999</v>
      </c>
      <c r="N310">
        <v>0.68</v>
      </c>
      <c r="O310">
        <v>0</v>
      </c>
      <c r="P310">
        <v>2</v>
      </c>
      <c r="Q310">
        <v>156</v>
      </c>
      <c r="R310">
        <v>158</v>
      </c>
    </row>
    <row r="311" spans="1:18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309</v>
      </c>
      <c r="L311">
        <v>310</v>
      </c>
      <c r="M311">
        <v>0.1515</v>
      </c>
      <c r="N311">
        <v>0.69</v>
      </c>
      <c r="O311">
        <v>0.1343</v>
      </c>
      <c r="P311">
        <v>0</v>
      </c>
      <c r="Q311">
        <v>117</v>
      </c>
      <c r="R311">
        <v>117</v>
      </c>
    </row>
    <row r="312" spans="1:18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310</v>
      </c>
      <c r="L312">
        <v>311</v>
      </c>
      <c r="M312">
        <v>0.18179999999999999</v>
      </c>
      <c r="N312">
        <v>0.55000000000000004</v>
      </c>
      <c r="O312">
        <v>0.19400000000000001</v>
      </c>
      <c r="P312">
        <v>4</v>
      </c>
      <c r="Q312">
        <v>40</v>
      </c>
      <c r="R312">
        <v>44</v>
      </c>
    </row>
    <row r="313" spans="1:18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311</v>
      </c>
      <c r="L313">
        <v>312</v>
      </c>
      <c r="M313">
        <v>0.16669999999999999</v>
      </c>
      <c r="N313">
        <v>0.51</v>
      </c>
      <c r="O313">
        <v>0.28360000000000002</v>
      </c>
      <c r="P313">
        <v>6</v>
      </c>
      <c r="Q313">
        <v>47</v>
      </c>
      <c r="R313">
        <v>53</v>
      </c>
    </row>
    <row r="314" spans="1:18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312</v>
      </c>
      <c r="L314">
        <v>313</v>
      </c>
      <c r="M314">
        <v>0.19700000000000001</v>
      </c>
      <c r="N314">
        <v>0.44</v>
      </c>
      <c r="O314">
        <v>0.25369999999999998</v>
      </c>
      <c r="P314">
        <v>2</v>
      </c>
      <c r="Q314">
        <v>59</v>
      </c>
      <c r="R314">
        <v>61</v>
      </c>
    </row>
    <row r="315" spans="1:18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313</v>
      </c>
      <c r="L315">
        <v>314</v>
      </c>
      <c r="M315">
        <v>0.19700000000000001</v>
      </c>
      <c r="N315">
        <v>0.37</v>
      </c>
      <c r="O315">
        <v>0.3881</v>
      </c>
      <c r="P315">
        <v>4</v>
      </c>
      <c r="Q315">
        <v>73</v>
      </c>
      <c r="R315">
        <v>77</v>
      </c>
    </row>
    <row r="316" spans="1:18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314</v>
      </c>
      <c r="L316">
        <v>315</v>
      </c>
      <c r="M316">
        <v>0.21210000000000001</v>
      </c>
      <c r="N316">
        <v>0.41</v>
      </c>
      <c r="O316">
        <v>0.28360000000000002</v>
      </c>
      <c r="P316">
        <v>5</v>
      </c>
      <c r="Q316">
        <v>59</v>
      </c>
      <c r="R316">
        <v>64</v>
      </c>
    </row>
    <row r="317" spans="1:18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315</v>
      </c>
      <c r="L317">
        <v>316</v>
      </c>
      <c r="M317">
        <v>0.2424</v>
      </c>
      <c r="N317">
        <v>0.38</v>
      </c>
      <c r="O317">
        <v>0.16420000000000001</v>
      </c>
      <c r="P317">
        <v>9</v>
      </c>
      <c r="Q317">
        <v>59</v>
      </c>
      <c r="R317">
        <v>68</v>
      </c>
    </row>
    <row r="318" spans="1:18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316</v>
      </c>
      <c r="L318">
        <v>317</v>
      </c>
      <c r="M318">
        <v>0.2424</v>
      </c>
      <c r="N318">
        <v>0.41</v>
      </c>
      <c r="O318">
        <v>0.1045</v>
      </c>
      <c r="P318">
        <v>3</v>
      </c>
      <c r="Q318">
        <v>87</v>
      </c>
      <c r="R318">
        <v>90</v>
      </c>
    </row>
    <row r="319" spans="1:18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317</v>
      </c>
      <c r="L319">
        <v>318</v>
      </c>
      <c r="M319">
        <v>0.2273</v>
      </c>
      <c r="N319">
        <v>0.41</v>
      </c>
      <c r="O319">
        <v>0.16420000000000001</v>
      </c>
      <c r="P319">
        <v>4</v>
      </c>
      <c r="Q319">
        <v>155</v>
      </c>
      <c r="R319">
        <v>159</v>
      </c>
    </row>
    <row r="320" spans="1:18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318</v>
      </c>
      <c r="L320">
        <v>319</v>
      </c>
      <c r="M320">
        <v>0.2576</v>
      </c>
      <c r="N320">
        <v>0.47</v>
      </c>
      <c r="O320">
        <v>0</v>
      </c>
      <c r="P320">
        <v>5</v>
      </c>
      <c r="Q320">
        <v>134</v>
      </c>
      <c r="R320">
        <v>139</v>
      </c>
    </row>
    <row r="321" spans="1:18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319</v>
      </c>
      <c r="L321">
        <v>320</v>
      </c>
      <c r="M321">
        <v>0.19700000000000001</v>
      </c>
      <c r="N321">
        <v>0.59</v>
      </c>
      <c r="O321">
        <v>8.9599999999999999E-2</v>
      </c>
      <c r="P321">
        <v>3</v>
      </c>
      <c r="Q321">
        <v>89</v>
      </c>
      <c r="R321">
        <v>92</v>
      </c>
    </row>
    <row r="322" spans="1:18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320</v>
      </c>
      <c r="L322">
        <v>321</v>
      </c>
      <c r="M322">
        <v>0.2424</v>
      </c>
      <c r="N322">
        <v>0.59</v>
      </c>
      <c r="O322">
        <v>0</v>
      </c>
      <c r="P322">
        <v>0</v>
      </c>
      <c r="Q322">
        <v>68</v>
      </c>
      <c r="R322">
        <v>68</v>
      </c>
    </row>
    <row r="323" spans="1:18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321</v>
      </c>
      <c r="L323">
        <v>322</v>
      </c>
      <c r="M323">
        <v>0.2273</v>
      </c>
      <c r="N323">
        <v>0.69</v>
      </c>
      <c r="O323">
        <v>0</v>
      </c>
      <c r="P323">
        <v>4</v>
      </c>
      <c r="Q323">
        <v>48</v>
      </c>
      <c r="R323">
        <v>52</v>
      </c>
    </row>
    <row r="324" spans="1:18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322</v>
      </c>
      <c r="L324">
        <v>323</v>
      </c>
      <c r="M324">
        <v>0.2273</v>
      </c>
      <c r="N324">
        <v>0.69</v>
      </c>
      <c r="O324">
        <v>0</v>
      </c>
      <c r="P324">
        <v>2</v>
      </c>
      <c r="Q324">
        <v>34</v>
      </c>
      <c r="R324">
        <v>36</v>
      </c>
    </row>
    <row r="325" spans="1:18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323</v>
      </c>
      <c r="L325">
        <v>324</v>
      </c>
      <c r="M325">
        <v>0.2424</v>
      </c>
      <c r="N325">
        <v>0.55000000000000004</v>
      </c>
      <c r="O325">
        <v>0</v>
      </c>
      <c r="P325">
        <v>1</v>
      </c>
      <c r="Q325">
        <v>26</v>
      </c>
      <c r="R325">
        <v>27</v>
      </c>
    </row>
    <row r="326" spans="1:18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324</v>
      </c>
      <c r="L326">
        <v>325</v>
      </c>
      <c r="M326">
        <v>0.2424</v>
      </c>
      <c r="N326">
        <v>0.55000000000000004</v>
      </c>
      <c r="O326">
        <v>0</v>
      </c>
      <c r="P326">
        <v>3</v>
      </c>
      <c r="Q326">
        <v>25</v>
      </c>
      <c r="R326">
        <v>28</v>
      </c>
    </row>
    <row r="327" spans="1:18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325</v>
      </c>
      <c r="L327">
        <v>326</v>
      </c>
      <c r="M327">
        <v>0.19700000000000001</v>
      </c>
      <c r="N327">
        <v>0.59</v>
      </c>
      <c r="O327">
        <v>8.9599999999999999E-2</v>
      </c>
      <c r="P327">
        <v>2</v>
      </c>
      <c r="Q327">
        <v>18</v>
      </c>
      <c r="R327">
        <v>20</v>
      </c>
    </row>
    <row r="328" spans="1:18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326</v>
      </c>
      <c r="L328">
        <v>327</v>
      </c>
      <c r="M328">
        <v>0.19700000000000001</v>
      </c>
      <c r="N328">
        <v>0.59</v>
      </c>
      <c r="O328">
        <v>8.9599999999999999E-2</v>
      </c>
      <c r="P328">
        <v>0</v>
      </c>
      <c r="Q328">
        <v>12</v>
      </c>
      <c r="R328">
        <v>12</v>
      </c>
    </row>
    <row r="329" spans="1:18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327</v>
      </c>
      <c r="L329">
        <v>328</v>
      </c>
      <c r="M329">
        <v>0.2273</v>
      </c>
      <c r="N329">
        <v>0.59</v>
      </c>
      <c r="O329">
        <v>0</v>
      </c>
      <c r="P329">
        <v>1</v>
      </c>
      <c r="Q329">
        <v>7</v>
      </c>
      <c r="R329">
        <v>8</v>
      </c>
    </row>
    <row r="330" spans="1:18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328</v>
      </c>
      <c r="L330">
        <v>329</v>
      </c>
      <c r="M330">
        <v>0.2273</v>
      </c>
      <c r="N330">
        <v>0.59</v>
      </c>
      <c r="O330">
        <v>0</v>
      </c>
      <c r="P330">
        <v>0</v>
      </c>
      <c r="Q330">
        <v>5</v>
      </c>
      <c r="R330">
        <v>5</v>
      </c>
    </row>
    <row r="331" spans="1:18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329</v>
      </c>
      <c r="L331">
        <v>330</v>
      </c>
      <c r="M331">
        <v>0.2273</v>
      </c>
      <c r="N331">
        <v>0.59</v>
      </c>
      <c r="O331">
        <v>0</v>
      </c>
      <c r="P331">
        <v>0</v>
      </c>
      <c r="Q331">
        <v>1</v>
      </c>
      <c r="R331">
        <v>1</v>
      </c>
    </row>
    <row r="332" spans="1:18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330</v>
      </c>
      <c r="L332">
        <v>331</v>
      </c>
      <c r="M332">
        <v>0.16669999999999999</v>
      </c>
      <c r="N332">
        <v>0.63</v>
      </c>
      <c r="O332">
        <v>0.1045</v>
      </c>
      <c r="P332">
        <v>1</v>
      </c>
      <c r="Q332">
        <v>2</v>
      </c>
      <c r="R332">
        <v>3</v>
      </c>
    </row>
    <row r="333" spans="1:18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331</v>
      </c>
      <c r="L333">
        <v>332</v>
      </c>
      <c r="M333">
        <v>0.21210000000000001</v>
      </c>
      <c r="N333">
        <v>0.63</v>
      </c>
      <c r="O333">
        <v>0</v>
      </c>
      <c r="P333">
        <v>1</v>
      </c>
      <c r="Q333">
        <v>9</v>
      </c>
      <c r="R333">
        <v>10</v>
      </c>
    </row>
    <row r="334" spans="1:18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332</v>
      </c>
      <c r="L334">
        <v>333</v>
      </c>
      <c r="M334">
        <v>0.1515</v>
      </c>
      <c r="N334">
        <v>0.63</v>
      </c>
      <c r="O334">
        <v>0.1343</v>
      </c>
      <c r="P334">
        <v>1</v>
      </c>
      <c r="Q334">
        <v>22</v>
      </c>
      <c r="R334">
        <v>23</v>
      </c>
    </row>
    <row r="335" spans="1:18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333</v>
      </c>
      <c r="L335">
        <v>334</v>
      </c>
      <c r="M335">
        <v>0.18179999999999999</v>
      </c>
      <c r="N335">
        <v>0.64</v>
      </c>
      <c r="O335">
        <v>0.1343</v>
      </c>
      <c r="P335">
        <v>2</v>
      </c>
      <c r="Q335">
        <v>31</v>
      </c>
      <c r="R335">
        <v>33</v>
      </c>
    </row>
    <row r="336" spans="1:18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334</v>
      </c>
      <c r="L336">
        <v>335</v>
      </c>
      <c r="M336">
        <v>0.19700000000000001</v>
      </c>
      <c r="N336">
        <v>0.59</v>
      </c>
      <c r="O336">
        <v>0.16420000000000001</v>
      </c>
      <c r="P336">
        <v>2</v>
      </c>
      <c r="Q336">
        <v>57</v>
      </c>
      <c r="R336">
        <v>59</v>
      </c>
    </row>
    <row r="337" spans="1:18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335</v>
      </c>
      <c r="L337">
        <v>336</v>
      </c>
      <c r="M337">
        <v>0.19700000000000001</v>
      </c>
      <c r="N337">
        <v>0.55000000000000004</v>
      </c>
      <c r="O337">
        <v>0.22389999999999999</v>
      </c>
      <c r="P337">
        <v>18</v>
      </c>
      <c r="Q337">
        <v>54</v>
      </c>
      <c r="R337">
        <v>72</v>
      </c>
    </row>
    <row r="338" spans="1:18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336</v>
      </c>
      <c r="L338">
        <v>337</v>
      </c>
      <c r="M338">
        <v>0.2273</v>
      </c>
      <c r="N338">
        <v>0.48</v>
      </c>
      <c r="O338">
        <v>0.22389999999999999</v>
      </c>
      <c r="P338">
        <v>15</v>
      </c>
      <c r="Q338">
        <v>74</v>
      </c>
      <c r="R338">
        <v>89</v>
      </c>
    </row>
    <row r="339" spans="1:18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337</v>
      </c>
      <c r="L339">
        <v>338</v>
      </c>
      <c r="M339">
        <v>0.2576</v>
      </c>
      <c r="N339">
        <v>0.38</v>
      </c>
      <c r="O339">
        <v>0.29849999999999999</v>
      </c>
      <c r="P339">
        <v>21</v>
      </c>
      <c r="Q339">
        <v>80</v>
      </c>
      <c r="R339">
        <v>101</v>
      </c>
    </row>
    <row r="340" spans="1:18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338</v>
      </c>
      <c r="L340">
        <v>339</v>
      </c>
      <c r="M340">
        <v>0.28789999999999999</v>
      </c>
      <c r="N340">
        <v>0.39</v>
      </c>
      <c r="O340">
        <v>0.28360000000000002</v>
      </c>
      <c r="P340">
        <v>26</v>
      </c>
      <c r="Q340">
        <v>92</v>
      </c>
      <c r="R340">
        <v>118</v>
      </c>
    </row>
    <row r="341" spans="1:18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339</v>
      </c>
      <c r="L341">
        <v>340</v>
      </c>
      <c r="M341">
        <v>0.31819999999999998</v>
      </c>
      <c r="N341">
        <v>0.36</v>
      </c>
      <c r="O341">
        <v>0.19400000000000001</v>
      </c>
      <c r="P341">
        <v>21</v>
      </c>
      <c r="Q341">
        <v>108</v>
      </c>
      <c r="R341">
        <v>129</v>
      </c>
    </row>
    <row r="342" spans="1:18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340</v>
      </c>
      <c r="L342">
        <v>341</v>
      </c>
      <c r="M342">
        <v>0.33329999999999999</v>
      </c>
      <c r="N342">
        <v>0.34</v>
      </c>
      <c r="O342">
        <v>0.19400000000000001</v>
      </c>
      <c r="P342">
        <v>33</v>
      </c>
      <c r="Q342">
        <v>95</v>
      </c>
      <c r="R342">
        <v>128</v>
      </c>
    </row>
    <row r="343" spans="1:18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341</v>
      </c>
      <c r="L343">
        <v>342</v>
      </c>
      <c r="M343">
        <v>0.30299999999999999</v>
      </c>
      <c r="N343">
        <v>0.36</v>
      </c>
      <c r="O343">
        <v>0.28360000000000002</v>
      </c>
      <c r="P343">
        <v>29</v>
      </c>
      <c r="Q343">
        <v>54</v>
      </c>
      <c r="R343">
        <v>83</v>
      </c>
    </row>
    <row r="344" spans="1:18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342</v>
      </c>
      <c r="L344">
        <v>343</v>
      </c>
      <c r="M344">
        <v>0.28789999999999999</v>
      </c>
      <c r="N344">
        <v>0.45</v>
      </c>
      <c r="O344">
        <v>0.25369999999999998</v>
      </c>
      <c r="P344">
        <v>15</v>
      </c>
      <c r="Q344">
        <v>69</v>
      </c>
      <c r="R344">
        <v>84</v>
      </c>
    </row>
    <row r="345" spans="1:18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343</v>
      </c>
      <c r="L345">
        <v>344</v>
      </c>
      <c r="M345">
        <v>0.30299999999999999</v>
      </c>
      <c r="N345">
        <v>0.39</v>
      </c>
      <c r="O345">
        <v>0.25369999999999998</v>
      </c>
      <c r="P345">
        <v>14</v>
      </c>
      <c r="Q345">
        <v>60</v>
      </c>
      <c r="R345">
        <v>74</v>
      </c>
    </row>
    <row r="346" spans="1:18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344</v>
      </c>
      <c r="L346">
        <v>345</v>
      </c>
      <c r="M346">
        <v>0.30299999999999999</v>
      </c>
      <c r="N346">
        <v>0.39</v>
      </c>
      <c r="O346">
        <v>0.25369999999999998</v>
      </c>
      <c r="P346">
        <v>6</v>
      </c>
      <c r="Q346">
        <v>35</v>
      </c>
      <c r="R346">
        <v>41</v>
      </c>
    </row>
    <row r="347" spans="1:18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345</v>
      </c>
      <c r="L347">
        <v>346</v>
      </c>
      <c r="M347">
        <v>0.30299999999999999</v>
      </c>
      <c r="N347">
        <v>0.39</v>
      </c>
      <c r="O347">
        <v>0.22389999999999999</v>
      </c>
      <c r="P347">
        <v>6</v>
      </c>
      <c r="Q347">
        <v>51</v>
      </c>
      <c r="R347">
        <v>57</v>
      </c>
    </row>
    <row r="348" spans="1:18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346</v>
      </c>
      <c r="L348">
        <v>347</v>
      </c>
      <c r="M348">
        <v>0.31819999999999998</v>
      </c>
      <c r="N348">
        <v>0.42</v>
      </c>
      <c r="O348">
        <v>0.1045</v>
      </c>
      <c r="P348">
        <v>0</v>
      </c>
      <c r="Q348">
        <v>26</v>
      </c>
      <c r="R348">
        <v>26</v>
      </c>
    </row>
    <row r="349" spans="1:18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347</v>
      </c>
      <c r="L349">
        <v>348</v>
      </c>
      <c r="M349">
        <v>0.28789999999999999</v>
      </c>
      <c r="N349">
        <v>0.45</v>
      </c>
      <c r="O349">
        <v>0.28360000000000002</v>
      </c>
      <c r="P349">
        <v>5</v>
      </c>
      <c r="Q349">
        <v>39</v>
      </c>
      <c r="R349">
        <v>44</v>
      </c>
    </row>
    <row r="350" spans="1:18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348</v>
      </c>
      <c r="L350">
        <v>349</v>
      </c>
      <c r="M350">
        <v>0.30299999999999999</v>
      </c>
      <c r="N350">
        <v>0.56000000000000005</v>
      </c>
      <c r="O350">
        <v>0</v>
      </c>
      <c r="P350">
        <v>6</v>
      </c>
      <c r="Q350">
        <v>33</v>
      </c>
      <c r="R350">
        <v>39</v>
      </c>
    </row>
    <row r="351" spans="1:18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349</v>
      </c>
      <c r="L351">
        <v>350</v>
      </c>
      <c r="M351">
        <v>0.2727</v>
      </c>
      <c r="N351">
        <v>0.56000000000000005</v>
      </c>
      <c r="O351">
        <v>0.1343</v>
      </c>
      <c r="P351">
        <v>4</v>
      </c>
      <c r="Q351">
        <v>19</v>
      </c>
      <c r="R351">
        <v>23</v>
      </c>
    </row>
    <row r="352" spans="1:18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350</v>
      </c>
      <c r="L352">
        <v>351</v>
      </c>
      <c r="M352">
        <v>0.28789999999999999</v>
      </c>
      <c r="N352">
        <v>0.56000000000000005</v>
      </c>
      <c r="O352">
        <v>8.9599999999999999E-2</v>
      </c>
      <c r="P352">
        <v>3</v>
      </c>
      <c r="Q352">
        <v>13</v>
      </c>
      <c r="R352">
        <v>16</v>
      </c>
    </row>
    <row r="353" spans="1:18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351</v>
      </c>
      <c r="L353">
        <v>352</v>
      </c>
      <c r="M353">
        <v>0.2727</v>
      </c>
      <c r="N353">
        <v>0.69</v>
      </c>
      <c r="O353">
        <v>0</v>
      </c>
      <c r="P353">
        <v>9</v>
      </c>
      <c r="Q353">
        <v>6</v>
      </c>
      <c r="R353">
        <v>15</v>
      </c>
    </row>
    <row r="354" spans="1:18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352</v>
      </c>
      <c r="L354">
        <v>353</v>
      </c>
      <c r="M354">
        <v>0.2576</v>
      </c>
      <c r="N354">
        <v>0.56000000000000005</v>
      </c>
      <c r="O354">
        <v>0.16420000000000001</v>
      </c>
      <c r="P354">
        <v>0</v>
      </c>
      <c r="Q354">
        <v>1</v>
      </c>
      <c r="R354">
        <v>1</v>
      </c>
    </row>
    <row r="355" spans="1:18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353</v>
      </c>
      <c r="L355">
        <v>354</v>
      </c>
      <c r="M355">
        <v>0.2576</v>
      </c>
      <c r="N355">
        <v>0.56000000000000005</v>
      </c>
      <c r="O355">
        <v>0.16420000000000001</v>
      </c>
      <c r="P355">
        <v>1</v>
      </c>
      <c r="Q355">
        <v>1</v>
      </c>
      <c r="R355">
        <v>2</v>
      </c>
    </row>
    <row r="356" spans="1:18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354</v>
      </c>
      <c r="L356">
        <v>355</v>
      </c>
      <c r="M356">
        <v>0.2576</v>
      </c>
      <c r="N356">
        <v>0.56000000000000005</v>
      </c>
      <c r="O356">
        <v>0.16420000000000001</v>
      </c>
      <c r="P356">
        <v>0</v>
      </c>
      <c r="Q356">
        <v>1</v>
      </c>
      <c r="R356">
        <v>1</v>
      </c>
    </row>
    <row r="357" spans="1:18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355</v>
      </c>
      <c r="L357">
        <v>356</v>
      </c>
      <c r="M357">
        <v>0.21210000000000001</v>
      </c>
      <c r="N357">
        <v>0.56000000000000005</v>
      </c>
      <c r="O357">
        <v>0.29849999999999999</v>
      </c>
      <c r="P357">
        <v>0</v>
      </c>
      <c r="Q357">
        <v>3</v>
      </c>
      <c r="R357">
        <v>3</v>
      </c>
    </row>
    <row r="358" spans="1:18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356</v>
      </c>
      <c r="L358">
        <v>357</v>
      </c>
      <c r="M358">
        <v>0.21210000000000001</v>
      </c>
      <c r="N358">
        <v>0.55000000000000004</v>
      </c>
      <c r="O358">
        <v>0.28360000000000002</v>
      </c>
      <c r="P358">
        <v>0</v>
      </c>
      <c r="Q358">
        <v>18</v>
      </c>
      <c r="R358">
        <v>18</v>
      </c>
    </row>
    <row r="359" spans="1:18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357</v>
      </c>
      <c r="L359">
        <v>358</v>
      </c>
      <c r="M359">
        <v>0.21210000000000001</v>
      </c>
      <c r="N359">
        <v>0.51</v>
      </c>
      <c r="O359">
        <v>0.25369999999999998</v>
      </c>
      <c r="P359">
        <v>3</v>
      </c>
      <c r="Q359">
        <v>29</v>
      </c>
      <c r="R359">
        <v>32</v>
      </c>
    </row>
    <row r="360" spans="1:18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358</v>
      </c>
      <c r="L360">
        <v>359</v>
      </c>
      <c r="M360">
        <v>0.21210000000000001</v>
      </c>
      <c r="N360">
        <v>0.51</v>
      </c>
      <c r="O360">
        <v>0.28360000000000002</v>
      </c>
      <c r="P360">
        <v>8</v>
      </c>
      <c r="Q360">
        <v>71</v>
      </c>
      <c r="R360">
        <v>79</v>
      </c>
    </row>
    <row r="361" spans="1:18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359</v>
      </c>
      <c r="L361">
        <v>360</v>
      </c>
      <c r="M361">
        <v>0.2273</v>
      </c>
      <c r="N361">
        <v>0.44</v>
      </c>
      <c r="O361">
        <v>0.25369999999999998</v>
      </c>
      <c r="P361">
        <v>23</v>
      </c>
      <c r="Q361">
        <v>70</v>
      </c>
      <c r="R361">
        <v>93</v>
      </c>
    </row>
    <row r="362" spans="1:18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360</v>
      </c>
      <c r="L362">
        <v>361</v>
      </c>
      <c r="M362">
        <v>0.21210000000000001</v>
      </c>
      <c r="N362">
        <v>0.41</v>
      </c>
      <c r="O362">
        <v>0.28360000000000002</v>
      </c>
      <c r="P362">
        <v>29</v>
      </c>
      <c r="Q362">
        <v>75</v>
      </c>
      <c r="R362">
        <v>104</v>
      </c>
    </row>
    <row r="363" spans="1:18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361</v>
      </c>
      <c r="L363">
        <v>362</v>
      </c>
      <c r="M363">
        <v>0.2273</v>
      </c>
      <c r="N363">
        <v>0.35</v>
      </c>
      <c r="O363">
        <v>0.29849999999999999</v>
      </c>
      <c r="P363">
        <v>23</v>
      </c>
      <c r="Q363">
        <v>95</v>
      </c>
      <c r="R363">
        <v>118</v>
      </c>
    </row>
    <row r="364" spans="1:18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362</v>
      </c>
      <c r="L364">
        <v>363</v>
      </c>
      <c r="M364">
        <v>0.2727</v>
      </c>
      <c r="N364">
        <v>0.36</v>
      </c>
      <c r="O364">
        <v>0.25369999999999998</v>
      </c>
      <c r="P364">
        <v>22</v>
      </c>
      <c r="Q364">
        <v>69</v>
      </c>
      <c r="R364">
        <v>91</v>
      </c>
    </row>
    <row r="365" spans="1:18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363</v>
      </c>
      <c r="L365">
        <v>364</v>
      </c>
      <c r="M365">
        <v>0.2424</v>
      </c>
      <c r="N365">
        <v>0.38</v>
      </c>
      <c r="O365">
        <v>0.25369999999999998</v>
      </c>
      <c r="P365">
        <v>35</v>
      </c>
      <c r="Q365">
        <v>78</v>
      </c>
      <c r="R365">
        <v>113</v>
      </c>
    </row>
    <row r="366" spans="1:18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364</v>
      </c>
      <c r="L366">
        <v>365</v>
      </c>
      <c r="M366">
        <v>0.2273</v>
      </c>
      <c r="N366">
        <v>0.38</v>
      </c>
      <c r="O366">
        <v>0.22389999999999999</v>
      </c>
      <c r="P366">
        <v>22</v>
      </c>
      <c r="Q366">
        <v>77</v>
      </c>
      <c r="R366">
        <v>99</v>
      </c>
    </row>
    <row r="367" spans="1:18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365</v>
      </c>
      <c r="L367">
        <v>366</v>
      </c>
      <c r="M367">
        <v>0.21210000000000001</v>
      </c>
      <c r="N367">
        <v>0.37</v>
      </c>
      <c r="O367">
        <v>0.25369999999999998</v>
      </c>
      <c r="P367">
        <v>23</v>
      </c>
      <c r="Q367">
        <v>82</v>
      </c>
      <c r="R367">
        <v>105</v>
      </c>
    </row>
    <row r="368" spans="1:18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366</v>
      </c>
      <c r="L368">
        <v>367</v>
      </c>
      <c r="M368">
        <v>0.21210000000000001</v>
      </c>
      <c r="N368">
        <v>0.4</v>
      </c>
      <c r="O368">
        <v>0.16420000000000001</v>
      </c>
      <c r="P368">
        <v>11</v>
      </c>
      <c r="Q368">
        <v>56</v>
      </c>
      <c r="R368">
        <v>67</v>
      </c>
    </row>
    <row r="369" spans="1:18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367</v>
      </c>
      <c r="L369">
        <v>368</v>
      </c>
      <c r="M369">
        <v>0.19700000000000001</v>
      </c>
      <c r="N369">
        <v>0.47</v>
      </c>
      <c r="O369">
        <v>0.1343</v>
      </c>
      <c r="P369">
        <v>14</v>
      </c>
      <c r="Q369">
        <v>47</v>
      </c>
      <c r="R369">
        <v>61</v>
      </c>
    </row>
    <row r="370" spans="1:18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368</v>
      </c>
      <c r="L370">
        <v>369</v>
      </c>
      <c r="M370">
        <v>0.19700000000000001</v>
      </c>
      <c r="N370">
        <v>0.47</v>
      </c>
      <c r="O370">
        <v>0.16420000000000001</v>
      </c>
      <c r="P370">
        <v>7</v>
      </c>
      <c r="Q370">
        <v>50</v>
      </c>
      <c r="R370">
        <v>57</v>
      </c>
    </row>
    <row r="371" spans="1:18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369</v>
      </c>
      <c r="L371">
        <v>370</v>
      </c>
      <c r="M371">
        <v>0.19700000000000001</v>
      </c>
      <c r="N371">
        <v>0.51</v>
      </c>
      <c r="O371">
        <v>0.16420000000000001</v>
      </c>
      <c r="P371">
        <v>6</v>
      </c>
      <c r="Q371">
        <v>22</v>
      </c>
      <c r="R371">
        <v>28</v>
      </c>
    </row>
    <row r="372" spans="1:18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370</v>
      </c>
      <c r="L372">
        <v>371</v>
      </c>
      <c r="M372">
        <v>0.21210000000000001</v>
      </c>
      <c r="N372">
        <v>0.49</v>
      </c>
      <c r="O372">
        <v>0.1343</v>
      </c>
      <c r="P372">
        <v>2</v>
      </c>
      <c r="Q372">
        <v>19</v>
      </c>
      <c r="R372">
        <v>21</v>
      </c>
    </row>
    <row r="373" spans="1:18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371</v>
      </c>
      <c r="L373">
        <v>372</v>
      </c>
      <c r="M373">
        <v>0.2273</v>
      </c>
      <c r="N373">
        <v>0.4</v>
      </c>
      <c r="O373">
        <v>0.1045</v>
      </c>
      <c r="P373">
        <v>0</v>
      </c>
      <c r="Q373">
        <v>18</v>
      </c>
      <c r="R373">
        <v>18</v>
      </c>
    </row>
    <row r="374" spans="1:18" hidden="1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372</v>
      </c>
      <c r="L374">
        <v>373</v>
      </c>
      <c r="M374">
        <v>0.19700000000000001</v>
      </c>
      <c r="N374">
        <v>0.47</v>
      </c>
      <c r="O374">
        <v>0.22389999999999999</v>
      </c>
      <c r="P374">
        <v>1</v>
      </c>
      <c r="Q374">
        <v>16</v>
      </c>
      <c r="R374">
        <v>17</v>
      </c>
    </row>
    <row r="375" spans="1:18" hidden="1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373</v>
      </c>
      <c r="L375">
        <v>374</v>
      </c>
      <c r="M375">
        <v>0.19700000000000001</v>
      </c>
      <c r="N375">
        <v>0.44</v>
      </c>
      <c r="O375">
        <v>0.19400000000000001</v>
      </c>
      <c r="P375">
        <v>1</v>
      </c>
      <c r="Q375">
        <v>15</v>
      </c>
      <c r="R375">
        <v>16</v>
      </c>
    </row>
    <row r="376" spans="1:18" hidden="1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374</v>
      </c>
      <c r="L376">
        <v>375</v>
      </c>
      <c r="M376">
        <v>0.16669999999999999</v>
      </c>
      <c r="N376">
        <v>0.43</v>
      </c>
      <c r="O376">
        <v>0.25369999999999998</v>
      </c>
      <c r="P376">
        <v>0</v>
      </c>
      <c r="Q376">
        <v>8</v>
      </c>
      <c r="R376">
        <v>8</v>
      </c>
    </row>
    <row r="377" spans="1:18" hidden="1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375</v>
      </c>
      <c r="L377">
        <v>376</v>
      </c>
      <c r="M377">
        <v>0.18179999999999999</v>
      </c>
      <c r="N377">
        <v>0.43</v>
      </c>
      <c r="O377">
        <v>0.19400000000000001</v>
      </c>
      <c r="P377">
        <v>0</v>
      </c>
      <c r="Q377">
        <v>2</v>
      </c>
      <c r="R377">
        <v>2</v>
      </c>
    </row>
    <row r="378" spans="1:18" hidden="1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376</v>
      </c>
      <c r="L378">
        <v>377</v>
      </c>
      <c r="M378">
        <v>0.19700000000000001</v>
      </c>
      <c r="N378">
        <v>0.43</v>
      </c>
      <c r="O378">
        <v>0.1343</v>
      </c>
      <c r="P378">
        <v>1</v>
      </c>
      <c r="Q378">
        <v>2</v>
      </c>
      <c r="R378">
        <v>3</v>
      </c>
    </row>
    <row r="379" spans="1:18" hidden="1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377</v>
      </c>
      <c r="L379">
        <v>378</v>
      </c>
      <c r="M379">
        <v>0.19700000000000001</v>
      </c>
      <c r="N379">
        <v>0.43</v>
      </c>
      <c r="O379">
        <v>0.16420000000000001</v>
      </c>
      <c r="P379">
        <v>0</v>
      </c>
      <c r="Q379">
        <v>1</v>
      </c>
      <c r="R379">
        <v>1</v>
      </c>
    </row>
    <row r="380" spans="1:18" hidden="1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378</v>
      </c>
      <c r="L380">
        <v>379</v>
      </c>
      <c r="M380">
        <v>0.18179999999999999</v>
      </c>
      <c r="N380">
        <v>0.43</v>
      </c>
      <c r="O380">
        <v>0.19400000000000001</v>
      </c>
      <c r="P380">
        <v>0</v>
      </c>
      <c r="Q380">
        <v>5</v>
      </c>
      <c r="R380">
        <v>5</v>
      </c>
    </row>
    <row r="381" spans="1:18" hidden="1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379</v>
      </c>
      <c r="L381">
        <v>380</v>
      </c>
      <c r="M381">
        <v>0.18179999999999999</v>
      </c>
      <c r="N381">
        <v>0.5</v>
      </c>
      <c r="O381">
        <v>0.1343</v>
      </c>
      <c r="P381">
        <v>4</v>
      </c>
      <c r="Q381">
        <v>9</v>
      </c>
      <c r="R381">
        <v>13</v>
      </c>
    </row>
    <row r="382" spans="1:18" hidden="1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380</v>
      </c>
      <c r="L382">
        <v>381</v>
      </c>
      <c r="M382">
        <v>0.1515</v>
      </c>
      <c r="N382">
        <v>0.47</v>
      </c>
      <c r="O382">
        <v>0.22389999999999999</v>
      </c>
      <c r="P382">
        <v>3</v>
      </c>
      <c r="Q382">
        <v>30</v>
      </c>
      <c r="R382">
        <v>33</v>
      </c>
    </row>
    <row r="383" spans="1:18" hidden="1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381</v>
      </c>
      <c r="L383">
        <v>382</v>
      </c>
      <c r="M383">
        <v>0.1515</v>
      </c>
      <c r="N383">
        <v>0.47</v>
      </c>
      <c r="O383">
        <v>0.22389999999999999</v>
      </c>
      <c r="P383">
        <v>8</v>
      </c>
      <c r="Q383">
        <v>39</v>
      </c>
      <c r="R383">
        <v>47</v>
      </c>
    </row>
    <row r="384" spans="1:18" hidden="1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382</v>
      </c>
      <c r="L384">
        <v>383</v>
      </c>
      <c r="M384">
        <v>0.1515</v>
      </c>
      <c r="N384">
        <v>0.5</v>
      </c>
      <c r="O384">
        <v>0.25369999999999998</v>
      </c>
      <c r="P384">
        <v>7</v>
      </c>
      <c r="Q384">
        <v>50</v>
      </c>
      <c r="R384">
        <v>57</v>
      </c>
    </row>
    <row r="385" spans="1:18" hidden="1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383</v>
      </c>
      <c r="L385">
        <v>384</v>
      </c>
      <c r="M385">
        <v>0.1515</v>
      </c>
      <c r="N385">
        <v>0.55000000000000004</v>
      </c>
      <c r="O385">
        <v>0.19400000000000001</v>
      </c>
      <c r="P385">
        <v>9</v>
      </c>
      <c r="Q385">
        <v>55</v>
      </c>
      <c r="R385">
        <v>64</v>
      </c>
    </row>
    <row r="386" spans="1:18" hidden="1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384</v>
      </c>
      <c r="L386">
        <v>385</v>
      </c>
      <c r="M386">
        <v>0.19700000000000001</v>
      </c>
      <c r="N386">
        <v>0.47</v>
      </c>
      <c r="O386">
        <v>0.1343</v>
      </c>
      <c r="P386">
        <v>10</v>
      </c>
      <c r="Q386">
        <v>70</v>
      </c>
      <c r="R386">
        <v>80</v>
      </c>
    </row>
    <row r="387" spans="1:18" hidden="1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385</v>
      </c>
      <c r="L387">
        <v>386</v>
      </c>
      <c r="M387">
        <v>0.19700000000000001</v>
      </c>
      <c r="N387">
        <v>0.47</v>
      </c>
      <c r="O387">
        <v>0.1343</v>
      </c>
      <c r="P387">
        <v>13</v>
      </c>
      <c r="Q387">
        <v>80</v>
      </c>
      <c r="R387">
        <v>93</v>
      </c>
    </row>
    <row r="388" spans="1:18" hidden="1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386</v>
      </c>
      <c r="L388">
        <v>387</v>
      </c>
      <c r="M388">
        <v>0.21210000000000001</v>
      </c>
      <c r="N388">
        <v>0.43</v>
      </c>
      <c r="O388">
        <v>0.1045</v>
      </c>
      <c r="P388">
        <v>12</v>
      </c>
      <c r="Q388">
        <v>74</v>
      </c>
      <c r="R388">
        <v>86</v>
      </c>
    </row>
    <row r="389" spans="1:18" hidden="1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387</v>
      </c>
      <c r="L389">
        <v>388</v>
      </c>
      <c r="M389">
        <v>0.21210000000000001</v>
      </c>
      <c r="N389">
        <v>0.47</v>
      </c>
      <c r="O389">
        <v>0.16420000000000001</v>
      </c>
      <c r="P389">
        <v>21</v>
      </c>
      <c r="Q389">
        <v>72</v>
      </c>
      <c r="R389">
        <v>93</v>
      </c>
    </row>
    <row r="390" spans="1:18" hidden="1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388</v>
      </c>
      <c r="L390">
        <v>389</v>
      </c>
      <c r="M390">
        <v>0.21210000000000001</v>
      </c>
      <c r="N390">
        <v>0.47</v>
      </c>
      <c r="O390">
        <v>0.16420000000000001</v>
      </c>
      <c r="P390">
        <v>6</v>
      </c>
      <c r="Q390">
        <v>76</v>
      </c>
      <c r="R390">
        <v>82</v>
      </c>
    </row>
    <row r="391" spans="1:18" hidden="1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389</v>
      </c>
      <c r="L391">
        <v>390</v>
      </c>
      <c r="M391">
        <v>0.19700000000000001</v>
      </c>
      <c r="N391">
        <v>0.51</v>
      </c>
      <c r="O391">
        <v>0.19400000000000001</v>
      </c>
      <c r="P391">
        <v>4</v>
      </c>
      <c r="Q391">
        <v>67</v>
      </c>
      <c r="R391">
        <v>71</v>
      </c>
    </row>
    <row r="392" spans="1:18" hidden="1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390</v>
      </c>
      <c r="L392">
        <v>391</v>
      </c>
      <c r="M392">
        <v>0.16669999999999999</v>
      </c>
      <c r="N392">
        <v>0.55000000000000004</v>
      </c>
      <c r="O392">
        <v>0.25369999999999998</v>
      </c>
      <c r="P392">
        <v>7</v>
      </c>
      <c r="Q392">
        <v>85</v>
      </c>
      <c r="R392">
        <v>92</v>
      </c>
    </row>
    <row r="393" spans="1:18" hidden="1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391</v>
      </c>
      <c r="L393">
        <v>392</v>
      </c>
      <c r="M393">
        <v>0.18179999999999999</v>
      </c>
      <c r="N393">
        <v>0.59</v>
      </c>
      <c r="O393">
        <v>0.19400000000000001</v>
      </c>
      <c r="P393">
        <v>2</v>
      </c>
      <c r="Q393">
        <v>58</v>
      </c>
      <c r="R393">
        <v>60</v>
      </c>
    </row>
    <row r="394" spans="1:18" hidden="1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392</v>
      </c>
      <c r="L394">
        <v>393</v>
      </c>
      <c r="M394">
        <v>0.1515</v>
      </c>
      <c r="N394">
        <v>0.8</v>
      </c>
      <c r="O394">
        <v>0.19400000000000001</v>
      </c>
      <c r="P394">
        <v>4</v>
      </c>
      <c r="Q394">
        <v>29</v>
      </c>
      <c r="R394">
        <v>33</v>
      </c>
    </row>
    <row r="395" spans="1:18" hidden="1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393</v>
      </c>
      <c r="L395">
        <v>394</v>
      </c>
      <c r="M395">
        <v>0.1515</v>
      </c>
      <c r="N395">
        <v>0.8</v>
      </c>
      <c r="O395">
        <v>0.19400000000000001</v>
      </c>
      <c r="P395">
        <v>3</v>
      </c>
      <c r="Q395">
        <v>24</v>
      </c>
      <c r="R395">
        <v>27</v>
      </c>
    </row>
    <row r="396" spans="1:18" hidden="1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394</v>
      </c>
      <c r="L396">
        <v>395</v>
      </c>
      <c r="M396">
        <v>0.1212</v>
      </c>
      <c r="N396">
        <v>0.93</v>
      </c>
      <c r="O396">
        <v>0.25369999999999998</v>
      </c>
      <c r="P396">
        <v>0</v>
      </c>
      <c r="Q396">
        <v>13</v>
      </c>
      <c r="R396">
        <v>13</v>
      </c>
    </row>
    <row r="397" spans="1:18" hidden="1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395</v>
      </c>
      <c r="L397">
        <v>396</v>
      </c>
      <c r="M397">
        <v>0.13639999999999999</v>
      </c>
      <c r="N397">
        <v>0.86</v>
      </c>
      <c r="O397">
        <v>0.28360000000000002</v>
      </c>
      <c r="P397">
        <v>1</v>
      </c>
      <c r="Q397">
        <v>3</v>
      </c>
      <c r="R397">
        <v>4</v>
      </c>
    </row>
    <row r="398" spans="1:18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396</v>
      </c>
      <c r="L398">
        <v>397</v>
      </c>
      <c r="M398">
        <v>0.18179999999999999</v>
      </c>
      <c r="N398">
        <v>0.86</v>
      </c>
      <c r="O398">
        <v>0.32840000000000003</v>
      </c>
      <c r="P398">
        <v>0</v>
      </c>
      <c r="Q398">
        <v>3</v>
      </c>
      <c r="R398">
        <v>3</v>
      </c>
    </row>
    <row r="399" spans="1:18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397</v>
      </c>
      <c r="L399">
        <v>398</v>
      </c>
      <c r="M399">
        <v>0.19700000000000001</v>
      </c>
      <c r="N399">
        <v>0.86</v>
      </c>
      <c r="O399">
        <v>0.22389999999999999</v>
      </c>
      <c r="P399">
        <v>0</v>
      </c>
      <c r="Q399">
        <v>22</v>
      </c>
      <c r="R399">
        <v>22</v>
      </c>
    </row>
    <row r="400" spans="1:18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398</v>
      </c>
      <c r="L400">
        <v>399</v>
      </c>
      <c r="M400">
        <v>0.2273</v>
      </c>
      <c r="N400">
        <v>0.8</v>
      </c>
      <c r="O400">
        <v>0.16420000000000001</v>
      </c>
      <c r="P400">
        <v>2</v>
      </c>
      <c r="Q400">
        <v>26</v>
      </c>
      <c r="R400">
        <v>28</v>
      </c>
    </row>
    <row r="401" spans="1:18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399</v>
      </c>
      <c r="L401">
        <v>400</v>
      </c>
      <c r="M401">
        <v>0.2273</v>
      </c>
      <c r="N401">
        <v>0.87</v>
      </c>
      <c r="O401">
        <v>0.16420000000000001</v>
      </c>
      <c r="P401">
        <v>3</v>
      </c>
      <c r="Q401">
        <v>32</v>
      </c>
      <c r="R401">
        <v>35</v>
      </c>
    </row>
    <row r="402" spans="1:18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400</v>
      </c>
      <c r="L402">
        <v>401</v>
      </c>
      <c r="M402">
        <v>0.2273</v>
      </c>
      <c r="N402">
        <v>0.87</v>
      </c>
      <c r="O402">
        <v>0.19400000000000001</v>
      </c>
      <c r="P402">
        <v>0</v>
      </c>
      <c r="Q402">
        <v>61</v>
      </c>
      <c r="R402">
        <v>61</v>
      </c>
    </row>
    <row r="403" spans="1:18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401</v>
      </c>
      <c r="L403">
        <v>402</v>
      </c>
      <c r="M403">
        <v>0.2273</v>
      </c>
      <c r="N403">
        <v>0.82</v>
      </c>
      <c r="O403">
        <v>0.19400000000000001</v>
      </c>
      <c r="P403">
        <v>1</v>
      </c>
      <c r="Q403">
        <v>124</v>
      </c>
      <c r="R403">
        <v>125</v>
      </c>
    </row>
    <row r="404" spans="1:18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402</v>
      </c>
      <c r="L404">
        <v>403</v>
      </c>
      <c r="M404">
        <v>0.2273</v>
      </c>
      <c r="N404">
        <v>0.8</v>
      </c>
      <c r="O404">
        <v>0.16420000000000001</v>
      </c>
      <c r="P404">
        <v>1</v>
      </c>
      <c r="Q404">
        <v>132</v>
      </c>
      <c r="R404">
        <v>133</v>
      </c>
    </row>
    <row r="405" spans="1:18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403</v>
      </c>
      <c r="L405">
        <v>404</v>
      </c>
      <c r="M405">
        <v>0.2273</v>
      </c>
      <c r="N405">
        <v>0.8</v>
      </c>
      <c r="O405">
        <v>0.1343</v>
      </c>
      <c r="P405">
        <v>1</v>
      </c>
      <c r="Q405">
        <v>98</v>
      </c>
      <c r="R405">
        <v>99</v>
      </c>
    </row>
    <row r="406" spans="1:18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404</v>
      </c>
      <c r="L406">
        <v>405</v>
      </c>
      <c r="M406">
        <v>0.2727</v>
      </c>
      <c r="N406">
        <v>0.87</v>
      </c>
      <c r="O406">
        <v>0</v>
      </c>
      <c r="P406">
        <v>0</v>
      </c>
      <c r="Q406">
        <v>83</v>
      </c>
      <c r="R406">
        <v>83</v>
      </c>
    </row>
    <row r="407" spans="1:18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405</v>
      </c>
      <c r="L407">
        <v>406</v>
      </c>
      <c r="M407">
        <v>0.2424</v>
      </c>
      <c r="N407">
        <v>0.93</v>
      </c>
      <c r="O407">
        <v>0.1045</v>
      </c>
      <c r="P407">
        <v>0</v>
      </c>
      <c r="Q407">
        <v>41</v>
      </c>
      <c r="R407">
        <v>41</v>
      </c>
    </row>
    <row r="408" spans="1:18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406</v>
      </c>
      <c r="L408">
        <v>407</v>
      </c>
      <c r="M408">
        <v>0.2576</v>
      </c>
      <c r="N408">
        <v>0.93</v>
      </c>
      <c r="O408">
        <v>8.9599999999999999E-2</v>
      </c>
      <c r="P408">
        <v>0</v>
      </c>
      <c r="Q408">
        <v>33</v>
      </c>
      <c r="R408">
        <v>33</v>
      </c>
    </row>
    <row r="409" spans="1:18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407</v>
      </c>
      <c r="L409">
        <v>408</v>
      </c>
      <c r="M409">
        <v>0.2727</v>
      </c>
      <c r="N409">
        <v>0.93</v>
      </c>
      <c r="O409">
        <v>0</v>
      </c>
      <c r="P409">
        <v>1</v>
      </c>
      <c r="Q409">
        <v>19</v>
      </c>
      <c r="R409">
        <v>20</v>
      </c>
    </row>
    <row r="410" spans="1:18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408</v>
      </c>
      <c r="L410">
        <v>409</v>
      </c>
      <c r="M410">
        <v>0.2727</v>
      </c>
      <c r="N410">
        <v>0.93</v>
      </c>
      <c r="O410">
        <v>0</v>
      </c>
      <c r="P410">
        <v>0</v>
      </c>
      <c r="Q410">
        <v>3</v>
      </c>
      <c r="R410">
        <v>3</v>
      </c>
    </row>
    <row r="411" spans="1:18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409</v>
      </c>
      <c r="L411">
        <v>410</v>
      </c>
      <c r="M411">
        <v>0.2273</v>
      </c>
      <c r="N411">
        <v>0.93</v>
      </c>
      <c r="O411">
        <v>0.1343</v>
      </c>
      <c r="P411">
        <v>1</v>
      </c>
      <c r="Q411">
        <v>6</v>
      </c>
      <c r="R411">
        <v>7</v>
      </c>
    </row>
    <row r="412" spans="1:18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410</v>
      </c>
      <c r="L412">
        <v>411</v>
      </c>
      <c r="M412">
        <v>0.2273</v>
      </c>
      <c r="N412">
        <v>0.93</v>
      </c>
      <c r="O412">
        <v>0.1343</v>
      </c>
      <c r="P412">
        <v>0</v>
      </c>
      <c r="Q412">
        <v>3</v>
      </c>
      <c r="R412">
        <v>3</v>
      </c>
    </row>
    <row r="413" spans="1:18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411</v>
      </c>
      <c r="L413">
        <v>412</v>
      </c>
      <c r="M413">
        <v>0.2273</v>
      </c>
      <c r="N413">
        <v>0.93</v>
      </c>
      <c r="O413">
        <v>0.1343</v>
      </c>
      <c r="P413">
        <v>1</v>
      </c>
      <c r="Q413">
        <v>1</v>
      </c>
      <c r="R413">
        <v>2</v>
      </c>
    </row>
    <row r="414" spans="1:18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412</v>
      </c>
      <c r="L414">
        <v>413</v>
      </c>
      <c r="M414">
        <v>0.2576</v>
      </c>
      <c r="N414">
        <v>0.93</v>
      </c>
      <c r="O414">
        <v>8.9599999999999999E-2</v>
      </c>
      <c r="P414">
        <v>0</v>
      </c>
      <c r="Q414">
        <v>7</v>
      </c>
      <c r="R414">
        <v>7</v>
      </c>
    </row>
    <row r="415" spans="1:18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413</v>
      </c>
      <c r="L415">
        <v>414</v>
      </c>
      <c r="M415">
        <v>0.2576</v>
      </c>
      <c r="N415">
        <v>0.93</v>
      </c>
      <c r="O415">
        <v>8.9599999999999999E-2</v>
      </c>
      <c r="P415">
        <v>0</v>
      </c>
      <c r="Q415">
        <v>32</v>
      </c>
      <c r="R415">
        <v>32</v>
      </c>
    </row>
    <row r="416" spans="1:18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414</v>
      </c>
      <c r="L416">
        <v>415</v>
      </c>
      <c r="M416">
        <v>0.2576</v>
      </c>
      <c r="N416">
        <v>0.92</v>
      </c>
      <c r="O416">
        <v>0.1045</v>
      </c>
      <c r="P416">
        <v>1</v>
      </c>
      <c r="Q416">
        <v>89</v>
      </c>
      <c r="R416">
        <v>90</v>
      </c>
    </row>
    <row r="417" spans="1:18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415</v>
      </c>
      <c r="L417">
        <v>416</v>
      </c>
      <c r="M417">
        <v>0.2576</v>
      </c>
      <c r="N417">
        <v>0.93</v>
      </c>
      <c r="O417">
        <v>0.1045</v>
      </c>
      <c r="P417">
        <v>1</v>
      </c>
      <c r="Q417">
        <v>196</v>
      </c>
      <c r="R417">
        <v>197</v>
      </c>
    </row>
    <row r="418" spans="1:18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416</v>
      </c>
      <c r="L418">
        <v>417</v>
      </c>
      <c r="M418">
        <v>0.2576</v>
      </c>
      <c r="N418">
        <v>0.93</v>
      </c>
      <c r="O418">
        <v>0.1045</v>
      </c>
      <c r="P418">
        <v>2</v>
      </c>
      <c r="Q418">
        <v>107</v>
      </c>
      <c r="R418">
        <v>109</v>
      </c>
    </row>
    <row r="419" spans="1:18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417</v>
      </c>
      <c r="L419">
        <v>418</v>
      </c>
      <c r="M419">
        <v>0.2727</v>
      </c>
      <c r="N419">
        <v>0.93</v>
      </c>
      <c r="O419">
        <v>0.1343</v>
      </c>
      <c r="P419">
        <v>1</v>
      </c>
      <c r="Q419">
        <v>46</v>
      </c>
      <c r="R419">
        <v>47</v>
      </c>
    </row>
    <row r="420" spans="1:18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418</v>
      </c>
      <c r="L420">
        <v>419</v>
      </c>
      <c r="M420">
        <v>0.30299999999999999</v>
      </c>
      <c r="N420">
        <v>0.87</v>
      </c>
      <c r="O420">
        <v>8.9599999999999999E-2</v>
      </c>
      <c r="P420">
        <v>5</v>
      </c>
      <c r="Q420">
        <v>47</v>
      </c>
      <c r="R420">
        <v>52</v>
      </c>
    </row>
    <row r="421" spans="1:18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419</v>
      </c>
      <c r="L421">
        <v>420</v>
      </c>
      <c r="M421">
        <v>0.31819999999999998</v>
      </c>
      <c r="N421">
        <v>0.81</v>
      </c>
      <c r="O421">
        <v>8.9599999999999999E-2</v>
      </c>
      <c r="P421">
        <v>5</v>
      </c>
      <c r="Q421">
        <v>65</v>
      </c>
      <c r="R421">
        <v>70</v>
      </c>
    </row>
    <row r="422" spans="1:18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420</v>
      </c>
      <c r="L422">
        <v>421</v>
      </c>
      <c r="M422">
        <v>0.40910000000000002</v>
      </c>
      <c r="N422">
        <v>0.62</v>
      </c>
      <c r="O422">
        <v>0.28360000000000002</v>
      </c>
      <c r="P422">
        <v>11</v>
      </c>
      <c r="Q422">
        <v>67</v>
      </c>
      <c r="R422">
        <v>78</v>
      </c>
    </row>
    <row r="423" spans="1:18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421</v>
      </c>
      <c r="L423">
        <v>422</v>
      </c>
      <c r="M423">
        <v>0.40910000000000002</v>
      </c>
      <c r="N423">
        <v>0.57999999999999996</v>
      </c>
      <c r="O423">
        <v>0.25369999999999998</v>
      </c>
      <c r="P423">
        <v>7</v>
      </c>
      <c r="Q423">
        <v>68</v>
      </c>
      <c r="R423">
        <v>75</v>
      </c>
    </row>
    <row r="424" spans="1:18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422</v>
      </c>
      <c r="L424">
        <v>423</v>
      </c>
      <c r="M424">
        <v>0.40910000000000002</v>
      </c>
      <c r="N424">
        <v>0.54</v>
      </c>
      <c r="O424">
        <v>0.28360000000000002</v>
      </c>
      <c r="P424">
        <v>4</v>
      </c>
      <c r="Q424">
        <v>78</v>
      </c>
      <c r="R424">
        <v>82</v>
      </c>
    </row>
    <row r="425" spans="1:18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423</v>
      </c>
      <c r="L425">
        <v>424</v>
      </c>
      <c r="M425">
        <v>0.39389999999999997</v>
      </c>
      <c r="N425">
        <v>0.57999999999999996</v>
      </c>
      <c r="O425">
        <v>0.3881</v>
      </c>
      <c r="P425">
        <v>10</v>
      </c>
      <c r="Q425">
        <v>94</v>
      </c>
      <c r="R425">
        <v>104</v>
      </c>
    </row>
    <row r="426" spans="1:18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424</v>
      </c>
      <c r="L426">
        <v>425</v>
      </c>
      <c r="M426">
        <v>0.33329999999999999</v>
      </c>
      <c r="N426">
        <v>0.56999999999999995</v>
      </c>
      <c r="O426">
        <v>0.32840000000000003</v>
      </c>
      <c r="P426">
        <v>7</v>
      </c>
      <c r="Q426">
        <v>190</v>
      </c>
      <c r="R426">
        <v>197</v>
      </c>
    </row>
    <row r="427" spans="1:18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425</v>
      </c>
      <c r="L427">
        <v>426</v>
      </c>
      <c r="M427">
        <v>0.31819999999999998</v>
      </c>
      <c r="N427">
        <v>0.61</v>
      </c>
      <c r="O427">
        <v>0.28360000000000002</v>
      </c>
      <c r="P427">
        <v>5</v>
      </c>
      <c r="Q427">
        <v>156</v>
      </c>
      <c r="R427">
        <v>161</v>
      </c>
    </row>
    <row r="428" spans="1:18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426</v>
      </c>
      <c r="L428">
        <v>427</v>
      </c>
      <c r="M428">
        <v>0.28789999999999999</v>
      </c>
      <c r="N428">
        <v>0.56999999999999995</v>
      </c>
      <c r="O428">
        <v>0.41789999999999999</v>
      </c>
      <c r="P428">
        <v>4</v>
      </c>
      <c r="Q428">
        <v>108</v>
      </c>
      <c r="R428">
        <v>112</v>
      </c>
    </row>
    <row r="429" spans="1:18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427</v>
      </c>
      <c r="L429">
        <v>428</v>
      </c>
      <c r="M429">
        <v>0.30299999999999999</v>
      </c>
      <c r="N429">
        <v>0.49</v>
      </c>
      <c r="O429">
        <v>0.29849999999999999</v>
      </c>
      <c r="P429">
        <v>2</v>
      </c>
      <c r="Q429">
        <v>74</v>
      </c>
      <c r="R429">
        <v>76</v>
      </c>
    </row>
    <row r="430" spans="1:18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428</v>
      </c>
      <c r="L430">
        <v>429</v>
      </c>
      <c r="M430">
        <v>0.28789999999999999</v>
      </c>
      <c r="N430">
        <v>0.49</v>
      </c>
      <c r="O430">
        <v>0.41789999999999999</v>
      </c>
      <c r="P430">
        <v>4</v>
      </c>
      <c r="Q430">
        <v>55</v>
      </c>
      <c r="R430">
        <v>59</v>
      </c>
    </row>
    <row r="431" spans="1:18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429</v>
      </c>
      <c r="L431">
        <v>430</v>
      </c>
      <c r="M431">
        <v>0.30299999999999999</v>
      </c>
      <c r="N431">
        <v>0.52</v>
      </c>
      <c r="O431">
        <v>0.16420000000000001</v>
      </c>
      <c r="P431">
        <v>6</v>
      </c>
      <c r="Q431">
        <v>53</v>
      </c>
      <c r="R431">
        <v>59</v>
      </c>
    </row>
    <row r="432" spans="1:18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430</v>
      </c>
      <c r="L432">
        <v>431</v>
      </c>
      <c r="M432">
        <v>0.2727</v>
      </c>
      <c r="N432">
        <v>0.52</v>
      </c>
      <c r="O432">
        <v>0.4627</v>
      </c>
      <c r="P432">
        <v>1</v>
      </c>
      <c r="Q432">
        <v>27</v>
      </c>
      <c r="R432">
        <v>28</v>
      </c>
    </row>
    <row r="433" spans="1:18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431</v>
      </c>
      <c r="L433">
        <v>432</v>
      </c>
      <c r="M433">
        <v>0.2273</v>
      </c>
      <c r="N433">
        <v>0.56000000000000005</v>
      </c>
      <c r="O433">
        <v>0.3881</v>
      </c>
      <c r="P433">
        <v>5</v>
      </c>
      <c r="Q433">
        <v>8</v>
      </c>
      <c r="R433">
        <v>13</v>
      </c>
    </row>
    <row r="434" spans="1:18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432</v>
      </c>
      <c r="L434">
        <v>433</v>
      </c>
      <c r="M434">
        <v>0.2727</v>
      </c>
      <c r="N434">
        <v>0.56000000000000005</v>
      </c>
      <c r="O434">
        <v>0</v>
      </c>
      <c r="P434">
        <v>2</v>
      </c>
      <c r="Q434">
        <v>3</v>
      </c>
      <c r="R434">
        <v>5</v>
      </c>
    </row>
    <row r="435" spans="1:18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433</v>
      </c>
      <c r="L435">
        <v>434</v>
      </c>
      <c r="M435">
        <v>0.2727</v>
      </c>
      <c r="N435">
        <v>0.56000000000000005</v>
      </c>
      <c r="O435">
        <v>0</v>
      </c>
      <c r="P435">
        <v>0</v>
      </c>
      <c r="Q435">
        <v>2</v>
      </c>
      <c r="R435">
        <v>2</v>
      </c>
    </row>
    <row r="436" spans="1:18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434</v>
      </c>
      <c r="L436">
        <v>435</v>
      </c>
      <c r="M436">
        <v>0.2576</v>
      </c>
      <c r="N436">
        <v>0.56000000000000005</v>
      </c>
      <c r="O436">
        <v>0.16420000000000001</v>
      </c>
      <c r="P436">
        <v>0</v>
      </c>
      <c r="Q436">
        <v>1</v>
      </c>
      <c r="R436">
        <v>1</v>
      </c>
    </row>
    <row r="437" spans="1:18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435</v>
      </c>
      <c r="L437">
        <v>436</v>
      </c>
      <c r="M437">
        <v>0.2576</v>
      </c>
      <c r="N437">
        <v>0.56000000000000005</v>
      </c>
      <c r="O437">
        <v>0.16420000000000001</v>
      </c>
      <c r="P437">
        <v>0</v>
      </c>
      <c r="Q437">
        <v>1</v>
      </c>
      <c r="R437">
        <v>1</v>
      </c>
    </row>
    <row r="438" spans="1:18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436</v>
      </c>
      <c r="L438">
        <v>437</v>
      </c>
      <c r="M438">
        <v>0.2273</v>
      </c>
      <c r="N438">
        <v>0.6</v>
      </c>
      <c r="O438">
        <v>0.22389999999999999</v>
      </c>
      <c r="P438">
        <v>0</v>
      </c>
      <c r="Q438">
        <v>6</v>
      </c>
      <c r="R438">
        <v>6</v>
      </c>
    </row>
    <row r="439" spans="1:18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437</v>
      </c>
      <c r="L439">
        <v>438</v>
      </c>
      <c r="M439">
        <v>0.21210000000000001</v>
      </c>
      <c r="N439">
        <v>0.6</v>
      </c>
      <c r="O439">
        <v>0.22389999999999999</v>
      </c>
      <c r="P439">
        <v>0</v>
      </c>
      <c r="Q439">
        <v>35</v>
      </c>
      <c r="R439">
        <v>35</v>
      </c>
    </row>
    <row r="440" spans="1:18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438</v>
      </c>
      <c r="L440">
        <v>439</v>
      </c>
      <c r="M440">
        <v>0.21210000000000001</v>
      </c>
      <c r="N440">
        <v>0.55000000000000004</v>
      </c>
      <c r="O440">
        <v>0.22389999999999999</v>
      </c>
      <c r="P440">
        <v>1</v>
      </c>
      <c r="Q440">
        <v>100</v>
      </c>
      <c r="R440">
        <v>101</v>
      </c>
    </row>
    <row r="441" spans="1:18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439</v>
      </c>
      <c r="L441">
        <v>440</v>
      </c>
      <c r="M441">
        <v>0.21210000000000001</v>
      </c>
      <c r="N441">
        <v>0.55000000000000004</v>
      </c>
      <c r="O441">
        <v>0.28360000000000002</v>
      </c>
      <c r="P441">
        <v>2</v>
      </c>
      <c r="Q441">
        <v>247</v>
      </c>
      <c r="R441">
        <v>249</v>
      </c>
    </row>
    <row r="442" spans="1:18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440</v>
      </c>
      <c r="L442">
        <v>441</v>
      </c>
      <c r="M442">
        <v>0.2273</v>
      </c>
      <c r="N442">
        <v>0.52</v>
      </c>
      <c r="O442">
        <v>0.22389999999999999</v>
      </c>
      <c r="P442">
        <v>3</v>
      </c>
      <c r="Q442">
        <v>140</v>
      </c>
      <c r="R442">
        <v>143</v>
      </c>
    </row>
    <row r="443" spans="1:18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441</v>
      </c>
      <c r="L443">
        <v>442</v>
      </c>
      <c r="M443">
        <v>0.2273</v>
      </c>
      <c r="N443">
        <v>0.48</v>
      </c>
      <c r="O443">
        <v>0.29849999999999999</v>
      </c>
      <c r="P443">
        <v>1</v>
      </c>
      <c r="Q443">
        <v>56</v>
      </c>
      <c r="R443">
        <v>57</v>
      </c>
    </row>
    <row r="444" spans="1:18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442</v>
      </c>
      <c r="L444">
        <v>443</v>
      </c>
      <c r="M444">
        <v>0.2727</v>
      </c>
      <c r="N444">
        <v>0.45</v>
      </c>
      <c r="O444">
        <v>0.16420000000000001</v>
      </c>
      <c r="P444">
        <v>5</v>
      </c>
      <c r="Q444">
        <v>63</v>
      </c>
      <c r="R444">
        <v>68</v>
      </c>
    </row>
    <row r="445" spans="1:18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443</v>
      </c>
      <c r="L445">
        <v>444</v>
      </c>
      <c r="M445">
        <v>0.33329999999999999</v>
      </c>
      <c r="N445">
        <v>0.42</v>
      </c>
      <c r="O445">
        <v>0</v>
      </c>
      <c r="P445">
        <v>7</v>
      </c>
      <c r="Q445">
        <v>77</v>
      </c>
      <c r="R445">
        <v>84</v>
      </c>
    </row>
    <row r="446" spans="1:18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444</v>
      </c>
      <c r="L446">
        <v>445</v>
      </c>
      <c r="M446">
        <v>0.28789999999999999</v>
      </c>
      <c r="N446">
        <v>0.45</v>
      </c>
      <c r="O446">
        <v>0.1045</v>
      </c>
      <c r="P446">
        <v>12</v>
      </c>
      <c r="Q446">
        <v>86</v>
      </c>
      <c r="R446">
        <v>98</v>
      </c>
    </row>
    <row r="447" spans="1:18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445</v>
      </c>
      <c r="L447">
        <v>446</v>
      </c>
      <c r="M447">
        <v>0.30299999999999999</v>
      </c>
      <c r="N447">
        <v>0.45</v>
      </c>
      <c r="O447">
        <v>0.1343</v>
      </c>
      <c r="P447">
        <v>6</v>
      </c>
      <c r="Q447">
        <v>75</v>
      </c>
      <c r="R447">
        <v>81</v>
      </c>
    </row>
    <row r="448" spans="1:18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446</v>
      </c>
      <c r="L448">
        <v>447</v>
      </c>
      <c r="M448">
        <v>0.31819999999999998</v>
      </c>
      <c r="N448">
        <v>0.45</v>
      </c>
      <c r="O448">
        <v>0.19400000000000001</v>
      </c>
      <c r="P448">
        <v>8</v>
      </c>
      <c r="Q448">
        <v>62</v>
      </c>
      <c r="R448">
        <v>70</v>
      </c>
    </row>
    <row r="449" spans="1:18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447</v>
      </c>
      <c r="L449">
        <v>448</v>
      </c>
      <c r="M449">
        <v>0.30299999999999999</v>
      </c>
      <c r="N449">
        <v>0.49</v>
      </c>
      <c r="O449">
        <v>0.1343</v>
      </c>
      <c r="P449">
        <v>8</v>
      </c>
      <c r="Q449">
        <v>83</v>
      </c>
      <c r="R449">
        <v>91</v>
      </c>
    </row>
    <row r="450" spans="1:18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448</v>
      </c>
      <c r="L450">
        <v>449</v>
      </c>
      <c r="M450">
        <v>0.31819999999999998</v>
      </c>
      <c r="N450">
        <v>0.49</v>
      </c>
      <c r="O450">
        <v>0.1045</v>
      </c>
      <c r="P450">
        <v>8</v>
      </c>
      <c r="Q450">
        <v>207</v>
      </c>
      <c r="R450">
        <v>215</v>
      </c>
    </row>
    <row r="451" spans="1:18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449</v>
      </c>
      <c r="L451">
        <v>450</v>
      </c>
      <c r="M451">
        <v>0.2576</v>
      </c>
      <c r="N451">
        <v>0.56000000000000005</v>
      </c>
      <c r="O451">
        <v>0.19400000000000001</v>
      </c>
      <c r="P451">
        <v>1</v>
      </c>
      <c r="Q451">
        <v>184</v>
      </c>
      <c r="R451">
        <v>185</v>
      </c>
    </row>
    <row r="452" spans="1:18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450</v>
      </c>
      <c r="L452">
        <v>451</v>
      </c>
      <c r="M452">
        <v>0.2273</v>
      </c>
      <c r="N452">
        <v>0.56000000000000005</v>
      </c>
      <c r="O452">
        <v>0.32840000000000003</v>
      </c>
      <c r="P452">
        <v>6</v>
      </c>
      <c r="Q452">
        <v>146</v>
      </c>
      <c r="R452">
        <v>152</v>
      </c>
    </row>
    <row r="453" spans="1:18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451</v>
      </c>
      <c r="L453">
        <v>452</v>
      </c>
      <c r="M453">
        <v>0.2424</v>
      </c>
      <c r="N453">
        <v>0.6</v>
      </c>
      <c r="O453">
        <v>0.28360000000000002</v>
      </c>
      <c r="P453">
        <v>2</v>
      </c>
      <c r="Q453">
        <v>124</v>
      </c>
      <c r="R453">
        <v>126</v>
      </c>
    </row>
    <row r="454" spans="1:18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452</v>
      </c>
      <c r="L454">
        <v>453</v>
      </c>
      <c r="M454">
        <v>0.2273</v>
      </c>
      <c r="N454">
        <v>0.6</v>
      </c>
      <c r="O454">
        <v>0.25369999999999998</v>
      </c>
      <c r="P454">
        <v>3</v>
      </c>
      <c r="Q454">
        <v>54</v>
      </c>
      <c r="R454">
        <v>57</v>
      </c>
    </row>
    <row r="455" spans="1:18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453</v>
      </c>
      <c r="L455">
        <v>454</v>
      </c>
      <c r="M455">
        <v>0.21210000000000001</v>
      </c>
      <c r="N455">
        <v>0.65</v>
      </c>
      <c r="O455">
        <v>0.28360000000000002</v>
      </c>
      <c r="P455">
        <v>0</v>
      </c>
      <c r="Q455">
        <v>56</v>
      </c>
      <c r="R455">
        <v>56</v>
      </c>
    </row>
    <row r="456" spans="1:18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454</v>
      </c>
      <c r="L456">
        <v>455</v>
      </c>
      <c r="M456">
        <v>0.21210000000000001</v>
      </c>
      <c r="N456">
        <v>0.65</v>
      </c>
      <c r="O456">
        <v>0.32840000000000003</v>
      </c>
      <c r="P456">
        <v>3</v>
      </c>
      <c r="Q456">
        <v>28</v>
      </c>
      <c r="R456">
        <v>31</v>
      </c>
    </row>
    <row r="457" spans="1:18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455</v>
      </c>
      <c r="L457">
        <v>456</v>
      </c>
      <c r="M457">
        <v>0.2273</v>
      </c>
      <c r="N457">
        <v>0.7</v>
      </c>
      <c r="O457">
        <v>0.25369999999999998</v>
      </c>
      <c r="P457">
        <v>1</v>
      </c>
      <c r="Q457">
        <v>20</v>
      </c>
      <c r="R457">
        <v>21</v>
      </c>
    </row>
    <row r="458" spans="1:18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456</v>
      </c>
      <c r="L458">
        <v>457</v>
      </c>
      <c r="M458">
        <v>0.2273</v>
      </c>
      <c r="N458">
        <v>0.7</v>
      </c>
      <c r="O458">
        <v>0.25369999999999998</v>
      </c>
      <c r="P458">
        <v>0</v>
      </c>
      <c r="Q458">
        <v>6</v>
      </c>
      <c r="R458">
        <v>6</v>
      </c>
    </row>
    <row r="459" spans="1:18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457</v>
      </c>
      <c r="L459">
        <v>458</v>
      </c>
      <c r="M459">
        <v>0.2424</v>
      </c>
      <c r="N459">
        <v>0.75</v>
      </c>
      <c r="O459">
        <v>0.16420000000000001</v>
      </c>
      <c r="P459">
        <v>0</v>
      </c>
      <c r="Q459">
        <v>2</v>
      </c>
      <c r="R459">
        <v>2</v>
      </c>
    </row>
    <row r="460" spans="1:18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458</v>
      </c>
      <c r="L460">
        <v>459</v>
      </c>
      <c r="M460">
        <v>0.21210000000000001</v>
      </c>
      <c r="N460">
        <v>0.8</v>
      </c>
      <c r="O460">
        <v>0.29849999999999999</v>
      </c>
      <c r="P460">
        <v>0</v>
      </c>
      <c r="Q460">
        <v>1</v>
      </c>
      <c r="R460">
        <v>1</v>
      </c>
    </row>
    <row r="461" spans="1:18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459</v>
      </c>
      <c r="L461">
        <v>460</v>
      </c>
      <c r="M461">
        <v>0.2576</v>
      </c>
      <c r="N461">
        <v>0.87</v>
      </c>
      <c r="O461">
        <v>8.9599999999999999E-2</v>
      </c>
      <c r="P461">
        <v>0</v>
      </c>
      <c r="Q461">
        <v>1</v>
      </c>
      <c r="R461">
        <v>1</v>
      </c>
    </row>
    <row r="462" spans="1:18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460</v>
      </c>
      <c r="L462">
        <v>461</v>
      </c>
      <c r="M462">
        <v>0.19700000000000001</v>
      </c>
      <c r="N462">
        <v>0.6</v>
      </c>
      <c r="O462">
        <v>0.41789999999999999</v>
      </c>
      <c r="P462">
        <v>1</v>
      </c>
      <c r="Q462">
        <v>4</v>
      </c>
      <c r="R462">
        <v>5</v>
      </c>
    </row>
    <row r="463" spans="1:18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461</v>
      </c>
      <c r="L463">
        <v>462</v>
      </c>
      <c r="M463">
        <v>0.21210000000000001</v>
      </c>
      <c r="N463">
        <v>0.55000000000000004</v>
      </c>
      <c r="O463">
        <v>0.25369999999999998</v>
      </c>
      <c r="P463">
        <v>0</v>
      </c>
      <c r="Q463">
        <v>27</v>
      </c>
      <c r="R463">
        <v>27</v>
      </c>
    </row>
    <row r="464" spans="1:18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462</v>
      </c>
      <c r="L464">
        <v>463</v>
      </c>
      <c r="M464">
        <v>0.18179999999999999</v>
      </c>
      <c r="N464">
        <v>0.51</v>
      </c>
      <c r="O464">
        <v>0.28360000000000002</v>
      </c>
      <c r="P464">
        <v>2</v>
      </c>
      <c r="Q464">
        <v>66</v>
      </c>
      <c r="R464">
        <v>68</v>
      </c>
    </row>
    <row r="465" spans="1:18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463</v>
      </c>
      <c r="L465">
        <v>464</v>
      </c>
      <c r="M465">
        <v>0.18179999999999999</v>
      </c>
      <c r="N465">
        <v>0.47</v>
      </c>
      <c r="O465">
        <v>0.32840000000000003</v>
      </c>
      <c r="P465">
        <v>7</v>
      </c>
      <c r="Q465">
        <v>210</v>
      </c>
      <c r="R465">
        <v>217</v>
      </c>
    </row>
    <row r="466" spans="1:18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464</v>
      </c>
      <c r="L466">
        <v>465</v>
      </c>
      <c r="M466">
        <v>0.18179999999999999</v>
      </c>
      <c r="N466">
        <v>0.51</v>
      </c>
      <c r="O466">
        <v>0.35820000000000002</v>
      </c>
      <c r="P466">
        <v>7</v>
      </c>
      <c r="Q466">
        <v>159</v>
      </c>
      <c r="R466">
        <v>166</v>
      </c>
    </row>
    <row r="467" spans="1:18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465</v>
      </c>
      <c r="L467">
        <v>466</v>
      </c>
      <c r="M467">
        <v>0.16669999999999999</v>
      </c>
      <c r="N467">
        <v>0.47</v>
      </c>
      <c r="O467">
        <v>0.4627</v>
      </c>
      <c r="P467">
        <v>6</v>
      </c>
      <c r="Q467">
        <v>57</v>
      </c>
      <c r="R467">
        <v>63</v>
      </c>
    </row>
    <row r="468" spans="1:18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466</v>
      </c>
      <c r="L468">
        <v>467</v>
      </c>
      <c r="M468">
        <v>0.18179999999999999</v>
      </c>
      <c r="N468">
        <v>0.41</v>
      </c>
      <c r="O468">
        <v>0.4627</v>
      </c>
      <c r="P468">
        <v>6</v>
      </c>
      <c r="Q468">
        <v>53</v>
      </c>
      <c r="R468">
        <v>59</v>
      </c>
    </row>
    <row r="469" spans="1:18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467</v>
      </c>
      <c r="L469">
        <v>468</v>
      </c>
      <c r="M469">
        <v>0.18179999999999999</v>
      </c>
      <c r="N469">
        <v>0.27</v>
      </c>
      <c r="O469">
        <v>0.58209999999999995</v>
      </c>
      <c r="P469">
        <v>11</v>
      </c>
      <c r="Q469">
        <v>67</v>
      </c>
      <c r="R469">
        <v>78</v>
      </c>
    </row>
    <row r="470" spans="1:18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468</v>
      </c>
      <c r="L470">
        <v>469</v>
      </c>
      <c r="M470">
        <v>0.1515</v>
      </c>
      <c r="N470">
        <v>0.21</v>
      </c>
      <c r="O470">
        <v>0.58209999999999995</v>
      </c>
      <c r="P470">
        <v>8</v>
      </c>
      <c r="Q470">
        <v>65</v>
      </c>
      <c r="R470">
        <v>73</v>
      </c>
    </row>
    <row r="471" spans="1:18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469</v>
      </c>
      <c r="L471">
        <v>470</v>
      </c>
      <c r="M471">
        <v>0.1515</v>
      </c>
      <c r="N471">
        <v>0.25</v>
      </c>
      <c r="O471">
        <v>0.52239999999999998</v>
      </c>
      <c r="P471">
        <v>6</v>
      </c>
      <c r="Q471">
        <v>56</v>
      </c>
      <c r="R471">
        <v>62</v>
      </c>
    </row>
    <row r="472" spans="1:18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470</v>
      </c>
      <c r="L472">
        <v>471</v>
      </c>
      <c r="M472">
        <v>0.1212</v>
      </c>
      <c r="N472">
        <v>0.26</v>
      </c>
      <c r="O472">
        <v>0.44779999999999998</v>
      </c>
      <c r="P472">
        <v>4</v>
      </c>
      <c r="Q472">
        <v>61</v>
      </c>
      <c r="R472">
        <v>65</v>
      </c>
    </row>
    <row r="473" spans="1:18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471</v>
      </c>
      <c r="L473">
        <v>472</v>
      </c>
      <c r="M473">
        <v>0.13639999999999999</v>
      </c>
      <c r="N473">
        <v>0.26</v>
      </c>
      <c r="O473">
        <v>0.35820000000000002</v>
      </c>
      <c r="P473">
        <v>0</v>
      </c>
      <c r="Q473">
        <v>97</v>
      </c>
      <c r="R473">
        <v>97</v>
      </c>
    </row>
    <row r="474" spans="1:18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472</v>
      </c>
      <c r="L474">
        <v>473</v>
      </c>
      <c r="M474">
        <v>0.1212</v>
      </c>
      <c r="N474">
        <v>0.28000000000000003</v>
      </c>
      <c r="O474">
        <v>0.35820000000000002</v>
      </c>
      <c r="P474">
        <v>10</v>
      </c>
      <c r="Q474">
        <v>151</v>
      </c>
      <c r="R474">
        <v>161</v>
      </c>
    </row>
    <row r="475" spans="1:18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473</v>
      </c>
      <c r="L475">
        <v>474</v>
      </c>
      <c r="M475">
        <v>0.1212</v>
      </c>
      <c r="N475">
        <v>0.3</v>
      </c>
      <c r="O475">
        <v>0.25369999999999998</v>
      </c>
      <c r="P475">
        <v>1</v>
      </c>
      <c r="Q475">
        <v>119</v>
      </c>
      <c r="R475">
        <v>120</v>
      </c>
    </row>
    <row r="476" spans="1:18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474</v>
      </c>
      <c r="L476">
        <v>475</v>
      </c>
      <c r="M476">
        <v>0.1061</v>
      </c>
      <c r="N476">
        <v>0.3</v>
      </c>
      <c r="O476">
        <v>0.32840000000000003</v>
      </c>
      <c r="P476">
        <v>3</v>
      </c>
      <c r="Q476">
        <v>93</v>
      </c>
      <c r="R476">
        <v>96</v>
      </c>
    </row>
    <row r="477" spans="1:18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475</v>
      </c>
      <c r="L477">
        <v>476</v>
      </c>
      <c r="M477">
        <v>7.5800000000000006E-2</v>
      </c>
      <c r="N477">
        <v>0.33</v>
      </c>
      <c r="O477">
        <v>0.41789999999999999</v>
      </c>
      <c r="P477">
        <v>1</v>
      </c>
      <c r="Q477">
        <v>52</v>
      </c>
      <c r="R477">
        <v>53</v>
      </c>
    </row>
    <row r="478" spans="1:18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476</v>
      </c>
      <c r="L478">
        <v>477</v>
      </c>
      <c r="M478">
        <v>7.5800000000000006E-2</v>
      </c>
      <c r="N478">
        <v>0.38</v>
      </c>
      <c r="O478">
        <v>0.28360000000000002</v>
      </c>
      <c r="P478">
        <v>0</v>
      </c>
      <c r="Q478">
        <v>41</v>
      </c>
      <c r="R478">
        <v>41</v>
      </c>
    </row>
    <row r="479" spans="1:18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477</v>
      </c>
      <c r="L479">
        <v>478</v>
      </c>
      <c r="M479">
        <v>3.0300000000000001E-2</v>
      </c>
      <c r="N479">
        <v>0.41</v>
      </c>
      <c r="O479">
        <v>0.3881</v>
      </c>
      <c r="P479">
        <v>1</v>
      </c>
      <c r="Q479">
        <v>33</v>
      </c>
      <c r="R479">
        <v>34</v>
      </c>
    </row>
    <row r="480" spans="1:18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478</v>
      </c>
      <c r="L480">
        <v>479</v>
      </c>
      <c r="M480">
        <v>4.5499999999999999E-2</v>
      </c>
      <c r="N480">
        <v>0.38</v>
      </c>
      <c r="O480">
        <v>0.32840000000000003</v>
      </c>
      <c r="P480">
        <v>0</v>
      </c>
      <c r="Q480">
        <v>27</v>
      </c>
      <c r="R480">
        <v>27</v>
      </c>
    </row>
    <row r="481" spans="1:18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479</v>
      </c>
      <c r="L481">
        <v>480</v>
      </c>
      <c r="M481">
        <v>3.0300000000000001E-2</v>
      </c>
      <c r="N481">
        <v>0.45</v>
      </c>
      <c r="O481">
        <v>0.25369999999999998</v>
      </c>
      <c r="P481">
        <v>0</v>
      </c>
      <c r="Q481">
        <v>13</v>
      </c>
      <c r="R481">
        <v>13</v>
      </c>
    </row>
    <row r="482" spans="1:18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480</v>
      </c>
      <c r="L482">
        <v>481</v>
      </c>
      <c r="M482">
        <v>0</v>
      </c>
      <c r="N482">
        <v>0.41</v>
      </c>
      <c r="O482">
        <v>0.3881</v>
      </c>
      <c r="P482">
        <v>3</v>
      </c>
      <c r="Q482">
        <v>9</v>
      </c>
      <c r="R482">
        <v>12</v>
      </c>
    </row>
    <row r="483" spans="1:18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481</v>
      </c>
      <c r="L483">
        <v>482</v>
      </c>
      <c r="M483">
        <v>3.0300000000000001E-2</v>
      </c>
      <c r="N483">
        <v>0.41</v>
      </c>
      <c r="O483">
        <v>0.25369999999999998</v>
      </c>
      <c r="P483">
        <v>0</v>
      </c>
      <c r="Q483">
        <v>11</v>
      </c>
      <c r="R483">
        <v>11</v>
      </c>
    </row>
    <row r="484" spans="1:18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482</v>
      </c>
      <c r="L484">
        <v>483</v>
      </c>
      <c r="M484">
        <v>3.0300000000000001E-2</v>
      </c>
      <c r="N484">
        <v>0.41</v>
      </c>
      <c r="O484">
        <v>0.28360000000000002</v>
      </c>
      <c r="P484">
        <v>1</v>
      </c>
      <c r="Q484">
        <v>6</v>
      </c>
      <c r="R484">
        <v>7</v>
      </c>
    </row>
    <row r="485" spans="1:18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483</v>
      </c>
      <c r="L485">
        <v>484</v>
      </c>
      <c r="M485">
        <v>1.52E-2</v>
      </c>
      <c r="N485">
        <v>0.48</v>
      </c>
      <c r="O485">
        <v>0.29849999999999999</v>
      </c>
      <c r="P485">
        <v>0</v>
      </c>
      <c r="Q485">
        <v>3</v>
      </c>
      <c r="R485">
        <v>3</v>
      </c>
    </row>
    <row r="486" spans="1:18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484</v>
      </c>
      <c r="L486">
        <v>485</v>
      </c>
      <c r="M486">
        <v>3.0300000000000001E-2</v>
      </c>
      <c r="N486">
        <v>0.44</v>
      </c>
      <c r="O486">
        <v>0.22389999999999999</v>
      </c>
      <c r="P486">
        <v>0</v>
      </c>
      <c r="Q486">
        <v>2</v>
      </c>
      <c r="R486">
        <v>2</v>
      </c>
    </row>
    <row r="487" spans="1:18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485</v>
      </c>
      <c r="L487">
        <v>486</v>
      </c>
      <c r="M487">
        <v>1.52E-2</v>
      </c>
      <c r="N487">
        <v>0.44</v>
      </c>
      <c r="O487">
        <v>0.28360000000000002</v>
      </c>
      <c r="P487">
        <v>0</v>
      </c>
      <c r="Q487">
        <v>8</v>
      </c>
      <c r="R487">
        <v>8</v>
      </c>
    </row>
    <row r="488" spans="1:18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486</v>
      </c>
      <c r="L488">
        <v>487</v>
      </c>
      <c r="M488">
        <v>0</v>
      </c>
      <c r="N488">
        <v>0.44</v>
      </c>
      <c r="O488">
        <v>0.32840000000000003</v>
      </c>
      <c r="P488">
        <v>1</v>
      </c>
      <c r="Q488">
        <v>26</v>
      </c>
      <c r="R488">
        <v>27</v>
      </c>
    </row>
    <row r="489" spans="1:18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487</v>
      </c>
      <c r="L489">
        <v>488</v>
      </c>
      <c r="M489">
        <v>3.0300000000000001E-2</v>
      </c>
      <c r="N489">
        <v>0.41</v>
      </c>
      <c r="O489">
        <v>0.25369999999999998</v>
      </c>
      <c r="P489">
        <v>3</v>
      </c>
      <c r="Q489">
        <v>37</v>
      </c>
      <c r="R489">
        <v>40</v>
      </c>
    </row>
    <row r="490" spans="1:18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488</v>
      </c>
      <c r="L490">
        <v>489</v>
      </c>
      <c r="M490">
        <v>6.0600000000000001E-2</v>
      </c>
      <c r="N490">
        <v>0.41</v>
      </c>
      <c r="O490">
        <v>0.16420000000000001</v>
      </c>
      <c r="P490">
        <v>3</v>
      </c>
      <c r="Q490">
        <v>50</v>
      </c>
      <c r="R490">
        <v>53</v>
      </c>
    </row>
    <row r="491" spans="1:18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489</v>
      </c>
      <c r="L491">
        <v>490</v>
      </c>
      <c r="M491">
        <v>7.5800000000000006E-2</v>
      </c>
      <c r="N491">
        <v>0.38</v>
      </c>
      <c r="O491">
        <v>0.1343</v>
      </c>
      <c r="P491">
        <v>4</v>
      </c>
      <c r="Q491">
        <v>59</v>
      </c>
      <c r="R491">
        <v>63</v>
      </c>
    </row>
    <row r="492" spans="1:18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490</v>
      </c>
      <c r="L492">
        <v>491</v>
      </c>
      <c r="M492">
        <v>0.1061</v>
      </c>
      <c r="N492">
        <v>0.38</v>
      </c>
      <c r="O492">
        <v>0.1045</v>
      </c>
      <c r="P492">
        <v>10</v>
      </c>
      <c r="Q492">
        <v>60</v>
      </c>
      <c r="R492">
        <v>70</v>
      </c>
    </row>
    <row r="493" spans="1:18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491</v>
      </c>
      <c r="L493">
        <v>492</v>
      </c>
      <c r="M493">
        <v>0.16669999999999999</v>
      </c>
      <c r="N493">
        <v>0.35</v>
      </c>
      <c r="O493">
        <v>0</v>
      </c>
      <c r="P493">
        <v>12</v>
      </c>
      <c r="Q493">
        <v>72</v>
      </c>
      <c r="R493">
        <v>84</v>
      </c>
    </row>
    <row r="494" spans="1:18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492</v>
      </c>
      <c r="L494">
        <v>493</v>
      </c>
      <c r="M494">
        <v>0.13639999999999999</v>
      </c>
      <c r="N494">
        <v>0.33</v>
      </c>
      <c r="O494">
        <v>0.1045</v>
      </c>
      <c r="P494">
        <v>11</v>
      </c>
      <c r="Q494">
        <v>64</v>
      </c>
      <c r="R494">
        <v>75</v>
      </c>
    </row>
    <row r="495" spans="1:18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493</v>
      </c>
      <c r="L495">
        <v>494</v>
      </c>
      <c r="M495">
        <v>0.1515</v>
      </c>
      <c r="N495">
        <v>0.28000000000000003</v>
      </c>
      <c r="O495">
        <v>0</v>
      </c>
      <c r="P495">
        <v>10</v>
      </c>
      <c r="Q495">
        <v>93</v>
      </c>
      <c r="R495">
        <v>103</v>
      </c>
    </row>
    <row r="496" spans="1:18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494</v>
      </c>
      <c r="L496">
        <v>495</v>
      </c>
      <c r="M496">
        <v>0.13639999999999999</v>
      </c>
      <c r="N496">
        <v>0.28000000000000003</v>
      </c>
      <c r="O496">
        <v>0.19400000000000001</v>
      </c>
      <c r="P496">
        <v>11</v>
      </c>
      <c r="Q496">
        <v>72</v>
      </c>
      <c r="R496">
        <v>83</v>
      </c>
    </row>
    <row r="497" spans="1:18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495</v>
      </c>
      <c r="L497">
        <v>496</v>
      </c>
      <c r="M497">
        <v>0.19700000000000001</v>
      </c>
      <c r="N497">
        <v>0.28000000000000003</v>
      </c>
      <c r="O497">
        <v>0</v>
      </c>
      <c r="P497">
        <v>8</v>
      </c>
      <c r="Q497">
        <v>59</v>
      </c>
      <c r="R497">
        <v>67</v>
      </c>
    </row>
    <row r="498" spans="1:18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496</v>
      </c>
      <c r="L498">
        <v>497</v>
      </c>
      <c r="M498">
        <v>9.0899999999999995E-2</v>
      </c>
      <c r="N498">
        <v>0.35</v>
      </c>
      <c r="O498">
        <v>0.19400000000000001</v>
      </c>
      <c r="P498">
        <v>0</v>
      </c>
      <c r="Q498">
        <v>54</v>
      </c>
      <c r="R498">
        <v>54</v>
      </c>
    </row>
    <row r="499" spans="1:18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497</v>
      </c>
      <c r="L499">
        <v>498</v>
      </c>
      <c r="M499">
        <v>0.1061</v>
      </c>
      <c r="N499">
        <v>0.35</v>
      </c>
      <c r="O499">
        <v>0.1343</v>
      </c>
      <c r="P499">
        <v>6</v>
      </c>
      <c r="Q499">
        <v>53</v>
      </c>
      <c r="R499">
        <v>59</v>
      </c>
    </row>
    <row r="500" spans="1:18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498</v>
      </c>
      <c r="L500">
        <v>499</v>
      </c>
      <c r="M500">
        <v>7.5800000000000006E-2</v>
      </c>
      <c r="N500">
        <v>0.45</v>
      </c>
      <c r="O500">
        <v>0.16420000000000001</v>
      </c>
      <c r="P500">
        <v>1</v>
      </c>
      <c r="Q500">
        <v>44</v>
      </c>
      <c r="R500">
        <v>45</v>
      </c>
    </row>
    <row r="501" spans="1:18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499</v>
      </c>
      <c r="L501">
        <v>500</v>
      </c>
      <c r="M501">
        <v>0.1061</v>
      </c>
      <c r="N501">
        <v>0.41</v>
      </c>
      <c r="O501">
        <v>8.9599999999999999E-2</v>
      </c>
      <c r="P501">
        <v>0</v>
      </c>
      <c r="Q501">
        <v>39</v>
      </c>
      <c r="R501">
        <v>39</v>
      </c>
    </row>
    <row r="502" spans="1:18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500</v>
      </c>
      <c r="L502">
        <v>501</v>
      </c>
      <c r="M502">
        <v>0.1515</v>
      </c>
      <c r="N502">
        <v>0.49</v>
      </c>
      <c r="O502">
        <v>0</v>
      </c>
      <c r="P502">
        <v>7</v>
      </c>
      <c r="Q502">
        <v>23</v>
      </c>
      <c r="R502">
        <v>30</v>
      </c>
    </row>
    <row r="503" spans="1:18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501</v>
      </c>
      <c r="L503">
        <v>502</v>
      </c>
      <c r="M503">
        <v>7.5800000000000006E-2</v>
      </c>
      <c r="N503">
        <v>0.56999999999999995</v>
      </c>
      <c r="O503">
        <v>0.1045</v>
      </c>
      <c r="P503">
        <v>2</v>
      </c>
      <c r="Q503">
        <v>31</v>
      </c>
      <c r="R503">
        <v>33</v>
      </c>
    </row>
    <row r="504" spans="1:18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502</v>
      </c>
      <c r="L504">
        <v>503</v>
      </c>
      <c r="M504">
        <v>7.5800000000000006E-2</v>
      </c>
      <c r="N504">
        <v>0.56999999999999995</v>
      </c>
      <c r="O504">
        <v>0.1045</v>
      </c>
      <c r="P504">
        <v>2</v>
      </c>
      <c r="Q504">
        <v>20</v>
      </c>
      <c r="R504">
        <v>22</v>
      </c>
    </row>
    <row r="505" spans="1:18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503</v>
      </c>
      <c r="L505">
        <v>504</v>
      </c>
      <c r="M505">
        <v>7.5800000000000006E-2</v>
      </c>
      <c r="N505">
        <v>0.56999999999999995</v>
      </c>
      <c r="O505">
        <v>0.1045</v>
      </c>
      <c r="P505">
        <v>1</v>
      </c>
      <c r="Q505">
        <v>12</v>
      </c>
      <c r="R505">
        <v>13</v>
      </c>
    </row>
    <row r="506" spans="1:18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504</v>
      </c>
      <c r="L506">
        <v>505</v>
      </c>
      <c r="M506">
        <v>6.0600000000000001E-2</v>
      </c>
      <c r="N506">
        <v>0.62</v>
      </c>
      <c r="O506">
        <v>0.1343</v>
      </c>
      <c r="P506">
        <v>3</v>
      </c>
      <c r="Q506">
        <v>15</v>
      </c>
      <c r="R506">
        <v>18</v>
      </c>
    </row>
    <row r="507" spans="1:18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505</v>
      </c>
      <c r="L507">
        <v>506</v>
      </c>
      <c r="M507">
        <v>6.0600000000000001E-2</v>
      </c>
      <c r="N507">
        <v>0.62</v>
      </c>
      <c r="O507">
        <v>0.1343</v>
      </c>
      <c r="P507">
        <v>1</v>
      </c>
      <c r="Q507">
        <v>4</v>
      </c>
      <c r="R507">
        <v>5</v>
      </c>
    </row>
    <row r="508" spans="1:18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506</v>
      </c>
      <c r="L508">
        <v>507</v>
      </c>
      <c r="M508">
        <v>7.5800000000000006E-2</v>
      </c>
      <c r="N508">
        <v>0.56999999999999995</v>
      </c>
      <c r="O508">
        <v>0.1045</v>
      </c>
      <c r="P508">
        <v>0</v>
      </c>
      <c r="Q508">
        <v>3</v>
      </c>
      <c r="R508">
        <v>3</v>
      </c>
    </row>
    <row r="509" spans="1:18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507</v>
      </c>
      <c r="L509">
        <v>508</v>
      </c>
      <c r="M509">
        <v>7.5800000000000006E-2</v>
      </c>
      <c r="N509">
        <v>0.56999999999999995</v>
      </c>
      <c r="O509">
        <v>0.1045</v>
      </c>
      <c r="P509">
        <v>0</v>
      </c>
      <c r="Q509">
        <v>1</v>
      </c>
      <c r="R509">
        <v>1</v>
      </c>
    </row>
    <row r="510" spans="1:18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508</v>
      </c>
      <c r="L510">
        <v>509</v>
      </c>
      <c r="M510">
        <v>0.1061</v>
      </c>
      <c r="N510">
        <v>0.57999999999999996</v>
      </c>
      <c r="O510">
        <v>0.16420000000000001</v>
      </c>
      <c r="P510">
        <v>1</v>
      </c>
      <c r="Q510">
        <v>1</v>
      </c>
      <c r="R510">
        <v>2</v>
      </c>
    </row>
    <row r="511" spans="1:18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509</v>
      </c>
      <c r="L511">
        <v>510</v>
      </c>
      <c r="M511">
        <v>7.5800000000000006E-2</v>
      </c>
      <c r="N511">
        <v>0.62</v>
      </c>
      <c r="O511">
        <v>0.16420000000000001</v>
      </c>
      <c r="P511">
        <v>2</v>
      </c>
      <c r="Q511">
        <v>17</v>
      </c>
      <c r="R511">
        <v>19</v>
      </c>
    </row>
    <row r="512" spans="1:18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510</v>
      </c>
      <c r="L512">
        <v>511</v>
      </c>
      <c r="M512">
        <v>7.5800000000000006E-2</v>
      </c>
      <c r="N512">
        <v>0.54</v>
      </c>
      <c r="O512">
        <v>0.35820000000000002</v>
      </c>
      <c r="P512">
        <v>3</v>
      </c>
      <c r="Q512">
        <v>25</v>
      </c>
      <c r="R512">
        <v>28</v>
      </c>
    </row>
    <row r="513" spans="1:18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511</v>
      </c>
      <c r="L513">
        <v>512</v>
      </c>
      <c r="M513">
        <v>0.1061</v>
      </c>
      <c r="N513">
        <v>0.46</v>
      </c>
      <c r="O513">
        <v>0.3881</v>
      </c>
      <c r="P513">
        <v>7</v>
      </c>
      <c r="Q513">
        <v>51</v>
      </c>
      <c r="R513">
        <v>58</v>
      </c>
    </row>
    <row r="514" spans="1:18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512</v>
      </c>
      <c r="L514">
        <v>513</v>
      </c>
      <c r="M514">
        <v>0.13639999999999999</v>
      </c>
      <c r="N514">
        <v>0.43</v>
      </c>
      <c r="O514">
        <v>0.22389999999999999</v>
      </c>
      <c r="P514">
        <v>22</v>
      </c>
      <c r="Q514">
        <v>77</v>
      </c>
      <c r="R514">
        <v>99</v>
      </c>
    </row>
    <row r="515" spans="1:18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513</v>
      </c>
      <c r="L515">
        <v>514</v>
      </c>
      <c r="M515">
        <v>0.1212</v>
      </c>
      <c r="N515">
        <v>0.37</v>
      </c>
      <c r="O515">
        <v>0.4627</v>
      </c>
      <c r="P515">
        <v>24</v>
      </c>
      <c r="Q515">
        <v>92</v>
      </c>
      <c r="R515">
        <v>116</v>
      </c>
    </row>
    <row r="516" spans="1:18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514</v>
      </c>
      <c r="L516">
        <v>515</v>
      </c>
      <c r="M516">
        <v>0.1061</v>
      </c>
      <c r="N516">
        <v>0.33</v>
      </c>
      <c r="O516">
        <v>0.3881</v>
      </c>
      <c r="P516">
        <v>12</v>
      </c>
      <c r="Q516">
        <v>75</v>
      </c>
      <c r="R516">
        <v>87</v>
      </c>
    </row>
    <row r="517" spans="1:18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515</v>
      </c>
      <c r="L517">
        <v>516</v>
      </c>
      <c r="M517">
        <v>0.13639999999999999</v>
      </c>
      <c r="N517">
        <v>0.28000000000000003</v>
      </c>
      <c r="O517">
        <v>0.35820000000000002</v>
      </c>
      <c r="P517">
        <v>17</v>
      </c>
      <c r="Q517">
        <v>93</v>
      </c>
      <c r="R517">
        <v>110</v>
      </c>
    </row>
    <row r="518" spans="1:18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516</v>
      </c>
      <c r="L518">
        <v>517</v>
      </c>
      <c r="M518">
        <v>0.13639999999999999</v>
      </c>
      <c r="N518">
        <v>0.28000000000000003</v>
      </c>
      <c r="O518">
        <v>0.35820000000000002</v>
      </c>
      <c r="P518">
        <v>13</v>
      </c>
      <c r="Q518">
        <v>64</v>
      </c>
      <c r="R518">
        <v>77</v>
      </c>
    </row>
    <row r="519" spans="1:18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517</v>
      </c>
      <c r="L519">
        <v>518</v>
      </c>
      <c r="M519">
        <v>0.13639999999999999</v>
      </c>
      <c r="N519">
        <v>0.26</v>
      </c>
      <c r="O519">
        <v>0.32840000000000003</v>
      </c>
      <c r="P519">
        <v>9</v>
      </c>
      <c r="Q519">
        <v>56</v>
      </c>
      <c r="R519">
        <v>65</v>
      </c>
    </row>
    <row r="520" spans="1:18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518</v>
      </c>
      <c r="L520">
        <v>519</v>
      </c>
      <c r="M520">
        <v>0.1061</v>
      </c>
      <c r="N520">
        <v>0.26</v>
      </c>
      <c r="O520">
        <v>0.3881</v>
      </c>
      <c r="P520">
        <v>5</v>
      </c>
      <c r="Q520">
        <v>50</v>
      </c>
      <c r="R520">
        <v>55</v>
      </c>
    </row>
    <row r="521" spans="1:18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519</v>
      </c>
      <c r="L521">
        <v>520</v>
      </c>
      <c r="M521">
        <v>0.1212</v>
      </c>
      <c r="N521">
        <v>0.3</v>
      </c>
      <c r="O521">
        <v>0.25369999999999998</v>
      </c>
      <c r="P521">
        <v>5</v>
      </c>
      <c r="Q521">
        <v>44</v>
      </c>
      <c r="R521">
        <v>49</v>
      </c>
    </row>
    <row r="522" spans="1:18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520</v>
      </c>
      <c r="L522">
        <v>521</v>
      </c>
      <c r="M522">
        <v>0.1212</v>
      </c>
      <c r="N522">
        <v>0.3</v>
      </c>
      <c r="O522">
        <v>0.28360000000000002</v>
      </c>
      <c r="P522">
        <v>5</v>
      </c>
      <c r="Q522">
        <v>45</v>
      </c>
      <c r="R522">
        <v>50</v>
      </c>
    </row>
    <row r="523" spans="1:18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521</v>
      </c>
      <c r="L523">
        <v>522</v>
      </c>
      <c r="M523">
        <v>0.1061</v>
      </c>
      <c r="N523">
        <v>0.36</v>
      </c>
      <c r="O523">
        <v>0.25369999999999998</v>
      </c>
      <c r="P523">
        <v>4</v>
      </c>
      <c r="Q523">
        <v>31</v>
      </c>
      <c r="R523">
        <v>35</v>
      </c>
    </row>
    <row r="524" spans="1:18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522</v>
      </c>
      <c r="L524">
        <v>523</v>
      </c>
      <c r="M524">
        <v>0.1061</v>
      </c>
      <c r="N524">
        <v>0.36</v>
      </c>
      <c r="O524">
        <v>0.19400000000000001</v>
      </c>
      <c r="P524">
        <v>5</v>
      </c>
      <c r="Q524">
        <v>20</v>
      </c>
      <c r="R524">
        <v>25</v>
      </c>
    </row>
    <row r="525" spans="1:18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523</v>
      </c>
      <c r="L525">
        <v>524</v>
      </c>
      <c r="M525">
        <v>9.0899999999999995E-2</v>
      </c>
      <c r="N525">
        <v>0.38</v>
      </c>
      <c r="O525">
        <v>0.19400000000000001</v>
      </c>
      <c r="P525">
        <v>5</v>
      </c>
      <c r="Q525">
        <v>23</v>
      </c>
      <c r="R525">
        <v>28</v>
      </c>
    </row>
    <row r="526" spans="1:18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524</v>
      </c>
      <c r="L526">
        <v>525</v>
      </c>
      <c r="M526">
        <v>6.0600000000000001E-2</v>
      </c>
      <c r="N526">
        <v>0.41</v>
      </c>
      <c r="O526">
        <v>0.22389999999999999</v>
      </c>
      <c r="P526">
        <v>4</v>
      </c>
      <c r="Q526">
        <v>17</v>
      </c>
      <c r="R526">
        <v>21</v>
      </c>
    </row>
    <row r="527" spans="1:18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525</v>
      </c>
      <c r="L527">
        <v>526</v>
      </c>
      <c r="M527">
        <v>6.0600000000000001E-2</v>
      </c>
      <c r="N527">
        <v>0.41</v>
      </c>
      <c r="O527">
        <v>0.19400000000000001</v>
      </c>
      <c r="P527">
        <v>0</v>
      </c>
      <c r="Q527">
        <v>7</v>
      </c>
      <c r="R527">
        <v>7</v>
      </c>
    </row>
    <row r="528" spans="1:18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526</v>
      </c>
      <c r="L528">
        <v>527</v>
      </c>
      <c r="M528">
        <v>4.5499999999999999E-2</v>
      </c>
      <c r="N528">
        <v>0.45</v>
      </c>
      <c r="O528">
        <v>0.19400000000000001</v>
      </c>
      <c r="P528">
        <v>0</v>
      </c>
      <c r="Q528">
        <v>1</v>
      </c>
      <c r="R528">
        <v>1</v>
      </c>
    </row>
    <row r="529" spans="1:18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527</v>
      </c>
      <c r="L529">
        <v>528</v>
      </c>
      <c r="M529">
        <v>3.0300000000000001E-2</v>
      </c>
      <c r="N529">
        <v>0.45</v>
      </c>
      <c r="O529">
        <v>0.25369999999999998</v>
      </c>
      <c r="P529">
        <v>0</v>
      </c>
      <c r="Q529">
        <v>1</v>
      </c>
      <c r="R529">
        <v>1</v>
      </c>
    </row>
    <row r="530" spans="1:18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528</v>
      </c>
      <c r="L530">
        <v>529</v>
      </c>
      <c r="M530">
        <v>6.0600000000000001E-2</v>
      </c>
      <c r="N530">
        <v>0.48</v>
      </c>
      <c r="O530">
        <v>0.1343</v>
      </c>
      <c r="P530">
        <v>0</v>
      </c>
      <c r="Q530">
        <v>1</v>
      </c>
      <c r="R530">
        <v>1</v>
      </c>
    </row>
    <row r="531" spans="1:18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529</v>
      </c>
      <c r="L531">
        <v>530</v>
      </c>
      <c r="M531">
        <v>6.0600000000000001E-2</v>
      </c>
      <c r="N531">
        <v>0.48</v>
      </c>
      <c r="O531">
        <v>0.1343</v>
      </c>
      <c r="P531">
        <v>0</v>
      </c>
      <c r="Q531">
        <v>5</v>
      </c>
      <c r="R531">
        <v>5</v>
      </c>
    </row>
    <row r="532" spans="1:18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530</v>
      </c>
      <c r="L532">
        <v>531</v>
      </c>
      <c r="M532">
        <v>7.5800000000000006E-2</v>
      </c>
      <c r="N532">
        <v>0.48</v>
      </c>
      <c r="O532">
        <v>8.9599999999999999E-2</v>
      </c>
      <c r="P532">
        <v>0</v>
      </c>
      <c r="Q532">
        <v>15</v>
      </c>
      <c r="R532">
        <v>15</v>
      </c>
    </row>
    <row r="533" spans="1:18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531</v>
      </c>
      <c r="L533">
        <v>532</v>
      </c>
      <c r="M533">
        <v>0.1212</v>
      </c>
      <c r="N533">
        <v>0.48</v>
      </c>
      <c r="O533">
        <v>0</v>
      </c>
      <c r="P533">
        <v>5</v>
      </c>
      <c r="Q533">
        <v>79</v>
      </c>
      <c r="R533">
        <v>84</v>
      </c>
    </row>
    <row r="534" spans="1:18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532</v>
      </c>
      <c r="L534">
        <v>533</v>
      </c>
      <c r="M534">
        <v>0.13639999999999999</v>
      </c>
      <c r="N534">
        <v>0.49</v>
      </c>
      <c r="O534">
        <v>0</v>
      </c>
      <c r="P534">
        <v>6</v>
      </c>
      <c r="Q534">
        <v>171</v>
      </c>
      <c r="R534">
        <v>177</v>
      </c>
    </row>
    <row r="535" spans="1:18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533</v>
      </c>
      <c r="L535">
        <v>534</v>
      </c>
      <c r="M535">
        <v>0.1515</v>
      </c>
      <c r="N535">
        <v>0.41</v>
      </c>
      <c r="O535">
        <v>0</v>
      </c>
      <c r="P535">
        <v>4</v>
      </c>
      <c r="Q535">
        <v>98</v>
      </c>
      <c r="R535">
        <v>102</v>
      </c>
    </row>
    <row r="536" spans="1:18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534</v>
      </c>
      <c r="L536">
        <v>535</v>
      </c>
      <c r="M536">
        <v>0.13639999999999999</v>
      </c>
      <c r="N536">
        <v>0.42</v>
      </c>
      <c r="O536">
        <v>0</v>
      </c>
      <c r="P536">
        <v>6</v>
      </c>
      <c r="Q536">
        <v>34</v>
      </c>
      <c r="R536">
        <v>40</v>
      </c>
    </row>
    <row r="537" spans="1:18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535</v>
      </c>
      <c r="L537">
        <v>536</v>
      </c>
      <c r="M537">
        <v>0.1212</v>
      </c>
      <c r="N537">
        <v>0.46</v>
      </c>
      <c r="O537">
        <v>0.1343</v>
      </c>
      <c r="P537">
        <v>3</v>
      </c>
      <c r="Q537">
        <v>43</v>
      </c>
      <c r="R537">
        <v>46</v>
      </c>
    </row>
    <row r="538" spans="1:18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536</v>
      </c>
      <c r="L538">
        <v>537</v>
      </c>
      <c r="M538">
        <v>0.13639999999999999</v>
      </c>
      <c r="N538">
        <v>0.42</v>
      </c>
      <c r="O538">
        <v>0.19400000000000001</v>
      </c>
      <c r="P538">
        <v>11</v>
      </c>
      <c r="Q538">
        <v>52</v>
      </c>
      <c r="R538">
        <v>63</v>
      </c>
    </row>
    <row r="539" spans="1:18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537</v>
      </c>
      <c r="L539">
        <v>538</v>
      </c>
      <c r="M539">
        <v>0.13639999999999999</v>
      </c>
      <c r="N539">
        <v>0.43</v>
      </c>
      <c r="O539">
        <v>0.22389999999999999</v>
      </c>
      <c r="P539">
        <v>6</v>
      </c>
      <c r="Q539">
        <v>54</v>
      </c>
      <c r="R539">
        <v>60</v>
      </c>
    </row>
    <row r="540" spans="1:18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538</v>
      </c>
      <c r="L540">
        <v>539</v>
      </c>
      <c r="M540">
        <v>0.13639999999999999</v>
      </c>
      <c r="N540">
        <v>0.46</v>
      </c>
      <c r="O540">
        <v>0.22389999999999999</v>
      </c>
      <c r="P540">
        <v>2</v>
      </c>
      <c r="Q540">
        <v>43</v>
      </c>
      <c r="R540">
        <v>45</v>
      </c>
    </row>
    <row r="541" spans="1:18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539</v>
      </c>
      <c r="L541">
        <v>540</v>
      </c>
      <c r="M541">
        <v>0.16669999999999999</v>
      </c>
      <c r="N541">
        <v>0.4</v>
      </c>
      <c r="O541">
        <v>0.16420000000000001</v>
      </c>
      <c r="P541">
        <v>7</v>
      </c>
      <c r="Q541">
        <v>50</v>
      </c>
      <c r="R541">
        <v>57</v>
      </c>
    </row>
    <row r="542" spans="1:18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540</v>
      </c>
      <c r="L542">
        <v>541</v>
      </c>
      <c r="M542">
        <v>0.1515</v>
      </c>
      <c r="N542">
        <v>0.47</v>
      </c>
      <c r="O542">
        <v>0.25369999999999998</v>
      </c>
      <c r="P542">
        <v>4</v>
      </c>
      <c r="Q542">
        <v>66</v>
      </c>
      <c r="R542">
        <v>70</v>
      </c>
    </row>
    <row r="543" spans="1:18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541</v>
      </c>
      <c r="L543">
        <v>542</v>
      </c>
      <c r="M543">
        <v>0.1212</v>
      </c>
      <c r="N543">
        <v>0.5</v>
      </c>
      <c r="O543">
        <v>0.25369999999999998</v>
      </c>
      <c r="P543">
        <v>6</v>
      </c>
      <c r="Q543">
        <v>178</v>
      </c>
      <c r="R543">
        <v>184</v>
      </c>
    </row>
    <row r="544" spans="1:18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542</v>
      </c>
      <c r="L544">
        <v>543</v>
      </c>
      <c r="M544">
        <v>0.13639999999999999</v>
      </c>
      <c r="N544">
        <v>0.59</v>
      </c>
      <c r="O544">
        <v>0.19400000000000001</v>
      </c>
      <c r="P544">
        <v>8</v>
      </c>
      <c r="Q544">
        <v>145</v>
      </c>
      <c r="R544">
        <v>153</v>
      </c>
    </row>
    <row r="545" spans="1:18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543</v>
      </c>
      <c r="L545">
        <v>544</v>
      </c>
      <c r="M545">
        <v>0.1515</v>
      </c>
      <c r="N545">
        <v>0.54</v>
      </c>
      <c r="O545">
        <v>0.16420000000000001</v>
      </c>
      <c r="P545">
        <v>5</v>
      </c>
      <c r="Q545">
        <v>101</v>
      </c>
      <c r="R545">
        <v>106</v>
      </c>
    </row>
    <row r="546" spans="1:18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544</v>
      </c>
      <c r="L546">
        <v>545</v>
      </c>
      <c r="M546">
        <v>0.13639999999999999</v>
      </c>
      <c r="N546">
        <v>0.59</v>
      </c>
      <c r="O546">
        <v>0.19400000000000001</v>
      </c>
      <c r="P546">
        <v>1</v>
      </c>
      <c r="Q546">
        <v>80</v>
      </c>
      <c r="R546">
        <v>81</v>
      </c>
    </row>
    <row r="547" spans="1:18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545</v>
      </c>
      <c r="L547">
        <v>546</v>
      </c>
      <c r="M547">
        <v>0.1515</v>
      </c>
      <c r="N547">
        <v>0.63</v>
      </c>
      <c r="O547">
        <v>0.16420000000000001</v>
      </c>
      <c r="P547">
        <v>6</v>
      </c>
      <c r="Q547">
        <v>53</v>
      </c>
      <c r="R547">
        <v>59</v>
      </c>
    </row>
    <row r="548" spans="1:18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546</v>
      </c>
      <c r="L548">
        <v>547</v>
      </c>
      <c r="M548">
        <v>0.13639999999999999</v>
      </c>
      <c r="N548">
        <v>0.63</v>
      </c>
      <c r="O548">
        <v>0.22389999999999999</v>
      </c>
      <c r="P548">
        <v>3</v>
      </c>
      <c r="Q548">
        <v>32</v>
      </c>
      <c r="R548">
        <v>35</v>
      </c>
    </row>
    <row r="549" spans="1:18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547</v>
      </c>
      <c r="L549">
        <v>548</v>
      </c>
      <c r="M549">
        <v>0.1515</v>
      </c>
      <c r="N549">
        <v>0.64</v>
      </c>
      <c r="O549">
        <v>0.25369999999999998</v>
      </c>
      <c r="P549">
        <v>3</v>
      </c>
      <c r="Q549">
        <v>21</v>
      </c>
      <c r="R549">
        <v>24</v>
      </c>
    </row>
    <row r="550" spans="1:18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548</v>
      </c>
      <c r="L550">
        <v>549</v>
      </c>
      <c r="M550">
        <v>0.13639999999999999</v>
      </c>
      <c r="N550">
        <v>0.69</v>
      </c>
      <c r="O550">
        <v>0.28360000000000002</v>
      </c>
      <c r="P550">
        <v>3</v>
      </c>
      <c r="Q550">
        <v>6</v>
      </c>
      <c r="R550">
        <v>9</v>
      </c>
    </row>
    <row r="551" spans="1:18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549</v>
      </c>
      <c r="L551">
        <v>550</v>
      </c>
      <c r="M551">
        <v>0.16669999999999999</v>
      </c>
      <c r="N551">
        <v>0.69</v>
      </c>
      <c r="O551">
        <v>0.16420000000000001</v>
      </c>
      <c r="P551">
        <v>0</v>
      </c>
      <c r="Q551">
        <v>5</v>
      </c>
      <c r="R551">
        <v>5</v>
      </c>
    </row>
    <row r="552" spans="1:18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550</v>
      </c>
      <c r="L552">
        <v>551</v>
      </c>
      <c r="M552">
        <v>0.1515</v>
      </c>
      <c r="N552">
        <v>0.69</v>
      </c>
      <c r="O552">
        <v>0.22389999999999999</v>
      </c>
      <c r="P552">
        <v>0</v>
      </c>
      <c r="Q552">
        <v>2</v>
      </c>
      <c r="R552">
        <v>2</v>
      </c>
    </row>
    <row r="553" spans="1:18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551</v>
      </c>
      <c r="L553">
        <v>552</v>
      </c>
      <c r="M553">
        <v>0.16669999999999999</v>
      </c>
      <c r="N553">
        <v>0.74</v>
      </c>
      <c r="O553">
        <v>0.1045</v>
      </c>
      <c r="P553">
        <v>0</v>
      </c>
      <c r="Q553">
        <v>1</v>
      </c>
      <c r="R553">
        <v>1</v>
      </c>
    </row>
    <row r="554" spans="1:18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552</v>
      </c>
      <c r="L554">
        <v>553</v>
      </c>
      <c r="M554">
        <v>0.13639999999999999</v>
      </c>
      <c r="N554">
        <v>0.74</v>
      </c>
      <c r="O554">
        <v>0.22389999999999999</v>
      </c>
      <c r="P554">
        <v>0</v>
      </c>
      <c r="Q554">
        <v>9</v>
      </c>
      <c r="R554">
        <v>9</v>
      </c>
    </row>
    <row r="555" spans="1:18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553</v>
      </c>
      <c r="L555">
        <v>554</v>
      </c>
      <c r="M555">
        <v>0.18179999999999999</v>
      </c>
      <c r="N555">
        <v>0.74</v>
      </c>
      <c r="O555">
        <v>0.1045</v>
      </c>
      <c r="P555">
        <v>1</v>
      </c>
      <c r="Q555">
        <v>35</v>
      </c>
      <c r="R555">
        <v>36</v>
      </c>
    </row>
    <row r="556" spans="1:18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554</v>
      </c>
      <c r="L556">
        <v>555</v>
      </c>
      <c r="M556">
        <v>0.1515</v>
      </c>
      <c r="N556">
        <v>0.74</v>
      </c>
      <c r="O556">
        <v>0.22389999999999999</v>
      </c>
      <c r="P556">
        <v>5</v>
      </c>
      <c r="Q556">
        <v>103</v>
      </c>
      <c r="R556">
        <v>108</v>
      </c>
    </row>
    <row r="557" spans="1:18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555</v>
      </c>
      <c r="L557">
        <v>556</v>
      </c>
      <c r="M557">
        <v>0.18179999999999999</v>
      </c>
      <c r="N557">
        <v>0.74</v>
      </c>
      <c r="O557">
        <v>0.1343</v>
      </c>
      <c r="P557">
        <v>5</v>
      </c>
      <c r="Q557">
        <v>233</v>
      </c>
      <c r="R557">
        <v>238</v>
      </c>
    </row>
    <row r="558" spans="1:18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556</v>
      </c>
      <c r="L558">
        <v>557</v>
      </c>
      <c r="M558">
        <v>0.2273</v>
      </c>
      <c r="N558">
        <v>0.64</v>
      </c>
      <c r="O558">
        <v>8.9599999999999999E-2</v>
      </c>
      <c r="P558">
        <v>10</v>
      </c>
      <c r="Q558">
        <v>134</v>
      </c>
      <c r="R558">
        <v>144</v>
      </c>
    </row>
    <row r="559" spans="1:18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557</v>
      </c>
      <c r="L559">
        <v>558</v>
      </c>
      <c r="M559">
        <v>0.2424</v>
      </c>
      <c r="N559">
        <v>0.6</v>
      </c>
      <c r="O559">
        <v>0.1045</v>
      </c>
      <c r="P559">
        <v>6</v>
      </c>
      <c r="Q559">
        <v>49</v>
      </c>
      <c r="R559">
        <v>55</v>
      </c>
    </row>
    <row r="560" spans="1:18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558</v>
      </c>
      <c r="L560">
        <v>559</v>
      </c>
      <c r="M560">
        <v>0.2424</v>
      </c>
      <c r="N560">
        <v>0.6</v>
      </c>
      <c r="O560">
        <v>0.1343</v>
      </c>
      <c r="P560">
        <v>6</v>
      </c>
      <c r="Q560">
        <v>55</v>
      </c>
      <c r="R560">
        <v>61</v>
      </c>
    </row>
    <row r="561" spans="1:18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559</v>
      </c>
      <c r="L561">
        <v>560</v>
      </c>
      <c r="M561">
        <v>0.28789999999999999</v>
      </c>
      <c r="N561">
        <v>0.56000000000000005</v>
      </c>
      <c r="O561">
        <v>8.9599999999999999E-2</v>
      </c>
      <c r="P561">
        <v>21</v>
      </c>
      <c r="Q561">
        <v>85</v>
      </c>
      <c r="R561">
        <v>106</v>
      </c>
    </row>
    <row r="562" spans="1:18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560</v>
      </c>
      <c r="L562">
        <v>561</v>
      </c>
      <c r="M562">
        <v>0.2727</v>
      </c>
      <c r="N562">
        <v>0.56000000000000005</v>
      </c>
      <c r="O562">
        <v>0.1343</v>
      </c>
      <c r="P562">
        <v>21</v>
      </c>
      <c r="Q562">
        <v>72</v>
      </c>
      <c r="R562">
        <v>93</v>
      </c>
    </row>
    <row r="563" spans="1:18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561</v>
      </c>
      <c r="L563">
        <v>562</v>
      </c>
      <c r="M563">
        <v>0.33329999999999999</v>
      </c>
      <c r="N563">
        <v>0.45</v>
      </c>
      <c r="O563">
        <v>0</v>
      </c>
      <c r="P563">
        <v>11</v>
      </c>
      <c r="Q563">
        <v>57</v>
      </c>
      <c r="R563">
        <v>68</v>
      </c>
    </row>
    <row r="564" spans="1:18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562</v>
      </c>
      <c r="L564">
        <v>563</v>
      </c>
      <c r="M564">
        <v>0.34849999999999998</v>
      </c>
      <c r="N564">
        <v>0.42</v>
      </c>
      <c r="O564">
        <v>0</v>
      </c>
      <c r="P564">
        <v>21</v>
      </c>
      <c r="Q564">
        <v>63</v>
      </c>
      <c r="R564">
        <v>84</v>
      </c>
    </row>
    <row r="565" spans="1:18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563</v>
      </c>
      <c r="L565">
        <v>564</v>
      </c>
      <c r="M565">
        <v>0.34849999999999998</v>
      </c>
      <c r="N565">
        <v>0.42</v>
      </c>
      <c r="O565">
        <v>0</v>
      </c>
      <c r="P565">
        <v>14</v>
      </c>
      <c r="Q565">
        <v>102</v>
      </c>
      <c r="R565">
        <v>116</v>
      </c>
    </row>
    <row r="566" spans="1:18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564</v>
      </c>
      <c r="L566">
        <v>565</v>
      </c>
      <c r="M566">
        <v>0.33329999999999999</v>
      </c>
      <c r="N566">
        <v>0.45</v>
      </c>
      <c r="O566">
        <v>0</v>
      </c>
      <c r="P566">
        <v>14</v>
      </c>
      <c r="Q566">
        <v>208</v>
      </c>
      <c r="R566">
        <v>222</v>
      </c>
    </row>
    <row r="567" spans="1:18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565</v>
      </c>
      <c r="L567">
        <v>566</v>
      </c>
      <c r="M567">
        <v>0.31819999999999998</v>
      </c>
      <c r="N567">
        <v>0.49</v>
      </c>
      <c r="O567">
        <v>8.9599999999999999E-2</v>
      </c>
      <c r="P567">
        <v>7</v>
      </c>
      <c r="Q567">
        <v>218</v>
      </c>
      <c r="R567">
        <v>225</v>
      </c>
    </row>
    <row r="568" spans="1:18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566</v>
      </c>
      <c r="L568">
        <v>567</v>
      </c>
      <c r="M568">
        <v>0.2576</v>
      </c>
      <c r="N568">
        <v>0.65</v>
      </c>
      <c r="O568">
        <v>0.16420000000000001</v>
      </c>
      <c r="P568">
        <v>13</v>
      </c>
      <c r="Q568">
        <v>133</v>
      </c>
      <c r="R568">
        <v>146</v>
      </c>
    </row>
    <row r="569" spans="1:18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567</v>
      </c>
      <c r="L569">
        <v>568</v>
      </c>
      <c r="M569">
        <v>0.2273</v>
      </c>
      <c r="N569">
        <v>0.65</v>
      </c>
      <c r="O569">
        <v>0.19400000000000001</v>
      </c>
      <c r="P569">
        <v>16</v>
      </c>
      <c r="Q569">
        <v>103</v>
      </c>
      <c r="R569">
        <v>119</v>
      </c>
    </row>
    <row r="570" spans="1:18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568</v>
      </c>
      <c r="L570">
        <v>569</v>
      </c>
      <c r="M570">
        <v>0.2273</v>
      </c>
      <c r="N570">
        <v>0.65</v>
      </c>
      <c r="O570">
        <v>0.19400000000000001</v>
      </c>
      <c r="P570">
        <v>5</v>
      </c>
      <c r="Q570">
        <v>40</v>
      </c>
      <c r="R570">
        <v>45</v>
      </c>
    </row>
    <row r="571" spans="1:18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569</v>
      </c>
      <c r="L571">
        <v>570</v>
      </c>
      <c r="M571">
        <v>0.2273</v>
      </c>
      <c r="N571">
        <v>0.64</v>
      </c>
      <c r="O571">
        <v>0.16420000000000001</v>
      </c>
      <c r="P571">
        <v>4</v>
      </c>
      <c r="Q571">
        <v>49</v>
      </c>
      <c r="R571">
        <v>53</v>
      </c>
    </row>
    <row r="572" spans="1:18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570</v>
      </c>
      <c r="L572">
        <v>571</v>
      </c>
      <c r="M572">
        <v>0.2273</v>
      </c>
      <c r="N572">
        <v>0.64</v>
      </c>
      <c r="O572">
        <v>0.16420000000000001</v>
      </c>
      <c r="P572">
        <v>3</v>
      </c>
      <c r="Q572">
        <v>37</v>
      </c>
      <c r="R572">
        <v>40</v>
      </c>
    </row>
    <row r="573" spans="1:18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571</v>
      </c>
      <c r="L573">
        <v>572</v>
      </c>
      <c r="M573">
        <v>0.2273</v>
      </c>
      <c r="N573">
        <v>0.69</v>
      </c>
      <c r="O573">
        <v>0.1343</v>
      </c>
      <c r="P573">
        <v>3</v>
      </c>
      <c r="Q573">
        <v>14</v>
      </c>
      <c r="R573">
        <v>17</v>
      </c>
    </row>
    <row r="574" spans="1:18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572</v>
      </c>
      <c r="L574">
        <v>573</v>
      </c>
      <c r="M574">
        <v>0.2424</v>
      </c>
      <c r="N574">
        <v>0.65</v>
      </c>
      <c r="O574">
        <v>0.1343</v>
      </c>
      <c r="P574">
        <v>0</v>
      </c>
      <c r="Q574">
        <v>5</v>
      </c>
      <c r="R574">
        <v>5</v>
      </c>
    </row>
    <row r="575" spans="1:18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573</v>
      </c>
      <c r="L575">
        <v>574</v>
      </c>
      <c r="M575">
        <v>0.2273</v>
      </c>
      <c r="N575">
        <v>0.69</v>
      </c>
      <c r="O575">
        <v>0.19400000000000001</v>
      </c>
      <c r="P575">
        <v>3</v>
      </c>
      <c r="Q575">
        <v>7</v>
      </c>
      <c r="R575">
        <v>10</v>
      </c>
    </row>
    <row r="576" spans="1:18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574</v>
      </c>
      <c r="L576">
        <v>575</v>
      </c>
      <c r="M576">
        <v>0.18179999999999999</v>
      </c>
      <c r="N576">
        <v>0.86</v>
      </c>
      <c r="O576">
        <v>0.28360000000000002</v>
      </c>
      <c r="P576">
        <v>0</v>
      </c>
      <c r="Q576">
        <v>1</v>
      </c>
      <c r="R576">
        <v>1</v>
      </c>
    </row>
    <row r="577" spans="1:18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575</v>
      </c>
      <c r="L577">
        <v>576</v>
      </c>
      <c r="M577">
        <v>0.18179999999999999</v>
      </c>
      <c r="N577">
        <v>0.86</v>
      </c>
      <c r="O577">
        <v>0.28360000000000002</v>
      </c>
      <c r="P577">
        <v>0</v>
      </c>
      <c r="Q577">
        <v>8</v>
      </c>
      <c r="R577">
        <v>8</v>
      </c>
    </row>
    <row r="578" spans="1:18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576</v>
      </c>
      <c r="L578">
        <v>577</v>
      </c>
      <c r="M578">
        <v>0.21210000000000001</v>
      </c>
      <c r="N578">
        <v>0.87</v>
      </c>
      <c r="O578">
        <v>0.29849999999999999</v>
      </c>
      <c r="P578">
        <v>1</v>
      </c>
      <c r="Q578">
        <v>29</v>
      </c>
      <c r="R578">
        <v>30</v>
      </c>
    </row>
    <row r="579" spans="1:18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577</v>
      </c>
      <c r="L579">
        <v>578</v>
      </c>
      <c r="M579">
        <v>0.21210000000000001</v>
      </c>
      <c r="N579">
        <v>0.87</v>
      </c>
      <c r="O579">
        <v>0.29849999999999999</v>
      </c>
      <c r="P579">
        <v>3</v>
      </c>
      <c r="Q579">
        <v>69</v>
      </c>
      <c r="R579">
        <v>72</v>
      </c>
    </row>
    <row r="580" spans="1:18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578</v>
      </c>
      <c r="L580">
        <v>579</v>
      </c>
      <c r="M580">
        <v>0.21210000000000001</v>
      </c>
      <c r="N580">
        <v>0.87</v>
      </c>
      <c r="O580">
        <v>0.29849999999999999</v>
      </c>
      <c r="P580">
        <v>3</v>
      </c>
      <c r="Q580">
        <v>55</v>
      </c>
      <c r="R580">
        <v>58</v>
      </c>
    </row>
    <row r="581" spans="1:18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579</v>
      </c>
      <c r="L581">
        <v>580</v>
      </c>
      <c r="M581">
        <v>0.21210000000000001</v>
      </c>
      <c r="N581">
        <v>0.93</v>
      </c>
      <c r="O581">
        <v>0.28360000000000002</v>
      </c>
      <c r="P581">
        <v>2</v>
      </c>
      <c r="Q581">
        <v>26</v>
      </c>
      <c r="R581">
        <v>28</v>
      </c>
    </row>
    <row r="582" spans="1:18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580</v>
      </c>
      <c r="L582">
        <v>581</v>
      </c>
      <c r="M582">
        <v>0.19700000000000001</v>
      </c>
      <c r="N582">
        <v>0.93</v>
      </c>
      <c r="O582">
        <v>0.32840000000000003</v>
      </c>
      <c r="P582">
        <v>6</v>
      </c>
      <c r="Q582">
        <v>35</v>
      </c>
      <c r="R582">
        <v>41</v>
      </c>
    </row>
    <row r="583" spans="1:18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581</v>
      </c>
      <c r="L583">
        <v>582</v>
      </c>
      <c r="M583">
        <v>0.19700000000000001</v>
      </c>
      <c r="N583">
        <v>0.93</v>
      </c>
      <c r="O583">
        <v>0.32840000000000003</v>
      </c>
      <c r="P583">
        <v>7</v>
      </c>
      <c r="Q583">
        <v>41</v>
      </c>
      <c r="R583">
        <v>48</v>
      </c>
    </row>
    <row r="584" spans="1:18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582</v>
      </c>
      <c r="L584">
        <v>583</v>
      </c>
      <c r="M584">
        <v>0.19700000000000001</v>
      </c>
      <c r="N584">
        <v>0.93</v>
      </c>
      <c r="O584">
        <v>0.32840000000000003</v>
      </c>
      <c r="P584">
        <v>4</v>
      </c>
      <c r="Q584">
        <v>43</v>
      </c>
      <c r="R584">
        <v>47</v>
      </c>
    </row>
    <row r="585" spans="1:18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583</v>
      </c>
      <c r="L585">
        <v>584</v>
      </c>
      <c r="M585">
        <v>0.19700000000000001</v>
      </c>
      <c r="N585">
        <v>0.93</v>
      </c>
      <c r="O585">
        <v>0.35820000000000002</v>
      </c>
      <c r="P585">
        <v>0</v>
      </c>
      <c r="Q585">
        <v>36</v>
      </c>
      <c r="R585">
        <v>36</v>
      </c>
    </row>
    <row r="586" spans="1:18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584</v>
      </c>
      <c r="L586">
        <v>585</v>
      </c>
      <c r="M586">
        <v>0.18179999999999999</v>
      </c>
      <c r="N586">
        <v>0.93</v>
      </c>
      <c r="O586">
        <v>0.4627</v>
      </c>
      <c r="P586">
        <v>1</v>
      </c>
      <c r="Q586">
        <v>42</v>
      </c>
      <c r="R586">
        <v>43</v>
      </c>
    </row>
    <row r="587" spans="1:18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585</v>
      </c>
      <c r="L587">
        <v>586</v>
      </c>
      <c r="M587">
        <v>0.19700000000000001</v>
      </c>
      <c r="N587">
        <v>0.93</v>
      </c>
      <c r="O587">
        <v>0.32840000000000003</v>
      </c>
      <c r="P587">
        <v>1</v>
      </c>
      <c r="Q587">
        <v>35</v>
      </c>
      <c r="R587">
        <v>36</v>
      </c>
    </row>
    <row r="588" spans="1:18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586</v>
      </c>
      <c r="L588">
        <v>587</v>
      </c>
      <c r="M588">
        <v>0.18179999999999999</v>
      </c>
      <c r="N588">
        <v>0.93</v>
      </c>
      <c r="O588">
        <v>0.35820000000000002</v>
      </c>
      <c r="P588">
        <v>0</v>
      </c>
      <c r="Q588">
        <v>26</v>
      </c>
      <c r="R588">
        <v>26</v>
      </c>
    </row>
    <row r="589" spans="1:18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587</v>
      </c>
      <c r="L589">
        <v>588</v>
      </c>
      <c r="M589">
        <v>0.2273</v>
      </c>
      <c r="N589">
        <v>0.55000000000000004</v>
      </c>
      <c r="O589">
        <v>0.19400000000000001</v>
      </c>
      <c r="P589">
        <v>1</v>
      </c>
      <c r="Q589">
        <v>23</v>
      </c>
      <c r="R589">
        <v>24</v>
      </c>
    </row>
    <row r="590" spans="1:18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588</v>
      </c>
      <c r="L590">
        <v>589</v>
      </c>
      <c r="M590">
        <v>0.2424</v>
      </c>
      <c r="N590">
        <v>0.55000000000000004</v>
      </c>
      <c r="O590">
        <v>0.1045</v>
      </c>
      <c r="P590">
        <v>2</v>
      </c>
      <c r="Q590">
        <v>82</v>
      </c>
      <c r="R590">
        <v>84</v>
      </c>
    </row>
    <row r="591" spans="1:18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589</v>
      </c>
      <c r="L591">
        <v>590</v>
      </c>
      <c r="M591">
        <v>0.2273</v>
      </c>
      <c r="N591">
        <v>0.69</v>
      </c>
      <c r="O591">
        <v>8.9599999999999999E-2</v>
      </c>
      <c r="P591">
        <v>3</v>
      </c>
      <c r="Q591">
        <v>101</v>
      </c>
      <c r="R591">
        <v>104</v>
      </c>
    </row>
    <row r="592" spans="1:18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590</v>
      </c>
      <c r="L592">
        <v>591</v>
      </c>
      <c r="M592">
        <v>0.2273</v>
      </c>
      <c r="N592">
        <v>0.69</v>
      </c>
      <c r="O592">
        <v>8.9599999999999999E-2</v>
      </c>
      <c r="P592">
        <v>3</v>
      </c>
      <c r="Q592">
        <v>76</v>
      </c>
      <c r="R592">
        <v>79</v>
      </c>
    </row>
    <row r="593" spans="1:18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591</v>
      </c>
      <c r="L593">
        <v>592</v>
      </c>
      <c r="M593">
        <v>0.21210000000000001</v>
      </c>
      <c r="N593">
        <v>0.74</v>
      </c>
      <c r="O593">
        <v>8.9599999999999999E-2</v>
      </c>
      <c r="P593">
        <v>4</v>
      </c>
      <c r="Q593">
        <v>55</v>
      </c>
      <c r="R593">
        <v>59</v>
      </c>
    </row>
    <row r="594" spans="1:18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592</v>
      </c>
      <c r="L594">
        <v>593</v>
      </c>
      <c r="M594">
        <v>0.21210000000000001</v>
      </c>
      <c r="N594">
        <v>0.74</v>
      </c>
      <c r="O594">
        <v>8.9599999999999999E-2</v>
      </c>
      <c r="P594">
        <v>2</v>
      </c>
      <c r="Q594">
        <v>36</v>
      </c>
      <c r="R594">
        <v>38</v>
      </c>
    </row>
    <row r="595" spans="1:18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593</v>
      </c>
      <c r="L595">
        <v>594</v>
      </c>
      <c r="M595">
        <v>0.21210000000000001</v>
      </c>
      <c r="N595">
        <v>0.74</v>
      </c>
      <c r="O595">
        <v>8.9599999999999999E-2</v>
      </c>
      <c r="P595">
        <v>0</v>
      </c>
      <c r="Q595">
        <v>27</v>
      </c>
      <c r="R595">
        <v>27</v>
      </c>
    </row>
    <row r="596" spans="1:18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594</v>
      </c>
      <c r="L596">
        <v>595</v>
      </c>
      <c r="M596">
        <v>0.19700000000000001</v>
      </c>
      <c r="N596">
        <v>0.8</v>
      </c>
      <c r="O596">
        <v>0.16420000000000001</v>
      </c>
      <c r="P596">
        <v>0</v>
      </c>
      <c r="Q596">
        <v>16</v>
      </c>
      <c r="R596">
        <v>16</v>
      </c>
    </row>
    <row r="597" spans="1:18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595</v>
      </c>
      <c r="L597">
        <v>596</v>
      </c>
      <c r="M597">
        <v>0.21210000000000001</v>
      </c>
      <c r="N597">
        <v>0.75</v>
      </c>
      <c r="O597">
        <v>0.1343</v>
      </c>
      <c r="P597">
        <v>0</v>
      </c>
      <c r="Q597">
        <v>9</v>
      </c>
      <c r="R597">
        <v>9</v>
      </c>
    </row>
    <row r="598" spans="1:18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596</v>
      </c>
      <c r="L598">
        <v>597</v>
      </c>
      <c r="M598">
        <v>0.21210000000000001</v>
      </c>
      <c r="N598">
        <v>0.75</v>
      </c>
      <c r="O598">
        <v>0.1343</v>
      </c>
      <c r="P598">
        <v>1</v>
      </c>
      <c r="Q598">
        <v>2</v>
      </c>
      <c r="R598">
        <v>3</v>
      </c>
    </row>
    <row r="599" spans="1:18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597</v>
      </c>
      <c r="L599">
        <v>598</v>
      </c>
      <c r="M599">
        <v>0.21210000000000001</v>
      </c>
      <c r="N599">
        <v>0.75</v>
      </c>
      <c r="O599">
        <v>0.16420000000000001</v>
      </c>
      <c r="P599">
        <v>0</v>
      </c>
      <c r="Q599">
        <v>2</v>
      </c>
      <c r="R599">
        <v>2</v>
      </c>
    </row>
    <row r="600" spans="1:18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598</v>
      </c>
      <c r="L600">
        <v>599</v>
      </c>
      <c r="M600">
        <v>0.2273</v>
      </c>
      <c r="N600">
        <v>0.75</v>
      </c>
      <c r="O600">
        <v>0.1045</v>
      </c>
      <c r="P600">
        <v>1</v>
      </c>
      <c r="Q600">
        <v>0</v>
      </c>
      <c r="R600">
        <v>1</v>
      </c>
    </row>
    <row r="601" spans="1:18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599</v>
      </c>
      <c r="L601">
        <v>600</v>
      </c>
      <c r="M601">
        <v>0.21210000000000001</v>
      </c>
      <c r="N601">
        <v>0.8</v>
      </c>
      <c r="O601">
        <v>0.1045</v>
      </c>
      <c r="P601">
        <v>0</v>
      </c>
      <c r="Q601">
        <v>4</v>
      </c>
      <c r="R601">
        <v>4</v>
      </c>
    </row>
    <row r="602" spans="1:18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600</v>
      </c>
      <c r="L602">
        <v>601</v>
      </c>
      <c r="M602">
        <v>0.19700000000000001</v>
      </c>
      <c r="N602">
        <v>0.8</v>
      </c>
      <c r="O602">
        <v>0.1343</v>
      </c>
      <c r="P602">
        <v>0</v>
      </c>
      <c r="Q602">
        <v>16</v>
      </c>
      <c r="R602">
        <v>16</v>
      </c>
    </row>
    <row r="603" spans="1:18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601</v>
      </c>
      <c r="L603">
        <v>602</v>
      </c>
      <c r="M603">
        <v>0.19700000000000001</v>
      </c>
      <c r="N603">
        <v>0.86</v>
      </c>
      <c r="O603">
        <v>8.9599999999999999E-2</v>
      </c>
      <c r="P603">
        <v>2</v>
      </c>
      <c r="Q603">
        <v>58</v>
      </c>
      <c r="R603">
        <v>60</v>
      </c>
    </row>
    <row r="604" spans="1:18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602</v>
      </c>
      <c r="L604">
        <v>603</v>
      </c>
      <c r="M604">
        <v>0.19700000000000001</v>
      </c>
      <c r="N604">
        <v>0.86</v>
      </c>
      <c r="O604">
        <v>8.9599999999999999E-2</v>
      </c>
      <c r="P604">
        <v>2</v>
      </c>
      <c r="Q604">
        <v>155</v>
      </c>
      <c r="R604">
        <v>157</v>
      </c>
    </row>
    <row r="605" spans="1:18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603</v>
      </c>
      <c r="L605">
        <v>604</v>
      </c>
      <c r="M605">
        <v>0.21210000000000001</v>
      </c>
      <c r="N605">
        <v>0.86</v>
      </c>
      <c r="O605">
        <v>8.9599999999999999E-2</v>
      </c>
      <c r="P605">
        <v>6</v>
      </c>
      <c r="Q605">
        <v>95</v>
      </c>
      <c r="R605">
        <v>101</v>
      </c>
    </row>
    <row r="606" spans="1:18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604</v>
      </c>
      <c r="L606">
        <v>605</v>
      </c>
      <c r="M606">
        <v>0.21210000000000001</v>
      </c>
      <c r="N606">
        <v>0.86</v>
      </c>
      <c r="O606">
        <v>0.1045</v>
      </c>
      <c r="P606">
        <v>0</v>
      </c>
      <c r="Q606">
        <v>49</v>
      </c>
      <c r="R606">
        <v>49</v>
      </c>
    </row>
    <row r="607" spans="1:18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605</v>
      </c>
      <c r="L607">
        <v>606</v>
      </c>
      <c r="M607">
        <v>0.21210000000000001</v>
      </c>
      <c r="N607">
        <v>0.93</v>
      </c>
      <c r="O607">
        <v>0.1045</v>
      </c>
      <c r="P607">
        <v>0</v>
      </c>
      <c r="Q607">
        <v>30</v>
      </c>
      <c r="R607">
        <v>30</v>
      </c>
    </row>
    <row r="608" spans="1:18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606</v>
      </c>
      <c r="L608">
        <v>607</v>
      </c>
      <c r="M608">
        <v>0.21210000000000001</v>
      </c>
      <c r="N608">
        <v>0.93</v>
      </c>
      <c r="O608">
        <v>0.1045</v>
      </c>
      <c r="P608">
        <v>1</v>
      </c>
      <c r="Q608">
        <v>28</v>
      </c>
      <c r="R608">
        <v>29</v>
      </c>
    </row>
    <row r="609" spans="1:18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607</v>
      </c>
      <c r="L609">
        <v>608</v>
      </c>
      <c r="M609">
        <v>0.21210000000000001</v>
      </c>
      <c r="N609">
        <v>0.93</v>
      </c>
      <c r="O609">
        <v>0.1045</v>
      </c>
      <c r="P609">
        <v>0</v>
      </c>
      <c r="Q609">
        <v>31</v>
      </c>
      <c r="R609">
        <v>31</v>
      </c>
    </row>
    <row r="610" spans="1:18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608</v>
      </c>
      <c r="L610">
        <v>609</v>
      </c>
      <c r="M610">
        <v>0.2727</v>
      </c>
      <c r="N610">
        <v>0.8</v>
      </c>
      <c r="O610">
        <v>0</v>
      </c>
      <c r="P610">
        <v>2</v>
      </c>
      <c r="Q610">
        <v>36</v>
      </c>
      <c r="R610">
        <v>38</v>
      </c>
    </row>
    <row r="611" spans="1:18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609</v>
      </c>
      <c r="L611">
        <v>610</v>
      </c>
      <c r="M611">
        <v>0.2576</v>
      </c>
      <c r="N611">
        <v>0.86</v>
      </c>
      <c r="O611">
        <v>0</v>
      </c>
      <c r="P611">
        <v>1</v>
      </c>
      <c r="Q611">
        <v>40</v>
      </c>
      <c r="R611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13C3-25F2-4318-B53A-14F01E9D5E08}">
  <dimension ref="A1:V1001"/>
  <sheetViews>
    <sheetView topLeftCell="C1" workbookViewId="0">
      <selection activeCell="G5" sqref="G5"/>
    </sheetView>
  </sheetViews>
  <sheetFormatPr defaultRowHeight="14.4" x14ac:dyDescent="0.3"/>
  <cols>
    <col min="1" max="1" width="9" bestFit="1" customWidth="1"/>
    <col min="2" max="2" width="9.33203125" bestFit="1" customWidth="1"/>
    <col min="3" max="3" width="9" customWidth="1"/>
    <col min="4" max="4" width="4.77734375" customWidth="1"/>
    <col min="5" max="5" width="8.33203125" bestFit="1" customWidth="1"/>
    <col min="6" max="6" width="7.5546875" customWidth="1"/>
    <col min="7" max="7" width="4.88671875" bestFit="1" customWidth="1"/>
    <col min="8" max="8" width="9.33203125" bestFit="1" customWidth="1"/>
    <col min="9" max="9" width="10.33203125" bestFit="1" customWidth="1"/>
    <col min="10" max="10" width="10.33203125" customWidth="1"/>
    <col min="11" max="11" width="10.5546875" customWidth="1"/>
    <col min="12" max="12" width="24.88671875" bestFit="1" customWidth="1"/>
    <col min="13" max="13" width="12" customWidth="1"/>
    <col min="14" max="14" width="7.6640625" bestFit="1" customWidth="1"/>
    <col min="15" max="15" width="13.109375" customWidth="1"/>
    <col min="16" max="16" width="10" customWidth="1"/>
    <col min="17" max="17" width="8.6640625" bestFit="1" customWidth="1"/>
    <col min="18" max="18" width="6.88671875" bestFit="1" customWidth="1"/>
    <col min="19" max="19" width="12.33203125" bestFit="1" customWidth="1"/>
    <col min="20" max="20" width="8.6640625" bestFit="1" customWidth="1"/>
    <col min="21" max="21" width="11.6640625" bestFit="1" customWidth="1"/>
    <col min="22" max="22" width="5.88671875" bestFit="1" customWidth="1"/>
    <col min="24" max="24" width="16.44140625" bestFit="1" customWidth="1"/>
    <col min="25" max="25" width="15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  <c r="I1" t="s">
        <v>18</v>
      </c>
      <c r="J1" t="s">
        <v>22</v>
      </c>
      <c r="K1" t="s">
        <v>21</v>
      </c>
      <c r="L1" t="s">
        <v>19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 x14ac:dyDescent="0.3">
      <c r="A2">
        <v>1</v>
      </c>
      <c r="B2" s="1">
        <v>40544</v>
      </c>
      <c r="C2">
        <v>1</v>
      </c>
      <c r="D2">
        <v>0</v>
      </c>
      <c r="E2" t="str">
        <f>TEXT(Append1[[#This Row],[dteday]],"MMMM")</f>
        <v>January</v>
      </c>
      <c r="F2">
        <v>1</v>
      </c>
      <c r="G2">
        <v>0</v>
      </c>
      <c r="H2" t="b">
        <v>0</v>
      </c>
      <c r="I2" t="str">
        <f>TEXT(Append1[[#This Row],[dteday]],"DDDD")</f>
        <v>Saturday</v>
      </c>
      <c r="J2" t="str" cm="1">
        <f t="array" ref="J2">_xlfn.IFS(Append1[[#This Row],[weekday cnt]]=0,"Weekend",Append1[[#This Row],[weekday cnt]]=6,"Weekend",Append1[[#This Row],[weekday cnt]]&gt;0,"Weekday")</f>
        <v>Weekend</v>
      </c>
      <c r="K2">
        <v>6</v>
      </c>
      <c r="L2" t="str" cm="1">
        <f t="array" ref="L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">
        <v>1</v>
      </c>
      <c r="N2">
        <v>0.24</v>
      </c>
      <c r="O2">
        <v>0</v>
      </c>
      <c r="P2">
        <v>1</v>
      </c>
      <c r="Q2">
        <v>0.28789999999999999</v>
      </c>
      <c r="R2">
        <v>0.81</v>
      </c>
      <c r="S2">
        <v>0</v>
      </c>
      <c r="T2">
        <v>3</v>
      </c>
      <c r="U2">
        <v>13</v>
      </c>
      <c r="V2">
        <v>16</v>
      </c>
    </row>
    <row r="3" spans="1:22" x14ac:dyDescent="0.3">
      <c r="A3">
        <v>2</v>
      </c>
      <c r="B3" s="1">
        <v>40544</v>
      </c>
      <c r="C3">
        <v>1</v>
      </c>
      <c r="D3">
        <v>0</v>
      </c>
      <c r="E3" t="str">
        <f>TEXT(Append1[[#This Row],[dteday]],"MMMM")</f>
        <v>January</v>
      </c>
      <c r="F3">
        <v>1</v>
      </c>
      <c r="G3">
        <v>1</v>
      </c>
      <c r="H3" t="b">
        <v>0</v>
      </c>
      <c r="I3" t="str">
        <f>TEXT(Append1[[#This Row],[dteday]],"DDDD")</f>
        <v>Saturday</v>
      </c>
      <c r="J3" t="str" cm="1">
        <f t="array" ref="J3">_xlfn.IFS(Append1[[#This Row],[weekday cnt]]=0,"Weekend",Append1[[#This Row],[weekday cnt]]=6,"Weekend",Append1[[#This Row],[weekday cnt]]&gt;0,"Weekday")</f>
        <v>Weekend</v>
      </c>
      <c r="K3">
        <v>6</v>
      </c>
      <c r="L3" t="str" cm="1">
        <f t="array" ref="L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">
        <v>1</v>
      </c>
      <c r="N3">
        <v>0.22</v>
      </c>
      <c r="O3">
        <v>1</v>
      </c>
      <c r="P3">
        <v>2</v>
      </c>
      <c r="Q3">
        <v>0.2727</v>
      </c>
      <c r="R3">
        <v>0.8</v>
      </c>
      <c r="S3">
        <v>0</v>
      </c>
      <c r="T3">
        <v>8</v>
      </c>
      <c r="U3">
        <v>32</v>
      </c>
      <c r="V3">
        <v>40</v>
      </c>
    </row>
    <row r="4" spans="1:22" x14ac:dyDescent="0.3">
      <c r="A4">
        <v>3</v>
      </c>
      <c r="B4" s="1">
        <v>40544</v>
      </c>
      <c r="C4">
        <v>1</v>
      </c>
      <c r="D4">
        <v>0</v>
      </c>
      <c r="E4" t="str">
        <f>TEXT(Append1[[#This Row],[dteday]],"MMMM")</f>
        <v>January</v>
      </c>
      <c r="F4">
        <v>1</v>
      </c>
      <c r="G4">
        <v>2</v>
      </c>
      <c r="H4" t="b">
        <v>0</v>
      </c>
      <c r="I4" t="str">
        <f>TEXT(Append1[[#This Row],[dteday]],"DDDD")</f>
        <v>Saturday</v>
      </c>
      <c r="J4" t="str" cm="1">
        <f t="array" ref="J4">_xlfn.IFS(Append1[[#This Row],[weekday cnt]]=0,"Weekend",Append1[[#This Row],[weekday cnt]]=6,"Weekend",Append1[[#This Row],[weekday cnt]]&gt;0,"Weekday")</f>
        <v>Weekend</v>
      </c>
      <c r="K4">
        <v>6</v>
      </c>
      <c r="L4" t="str" cm="1">
        <f t="array" ref="L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">
        <v>1</v>
      </c>
      <c r="N4">
        <v>0.22</v>
      </c>
      <c r="O4">
        <v>2</v>
      </c>
      <c r="P4">
        <v>3</v>
      </c>
      <c r="Q4">
        <v>0.2727</v>
      </c>
      <c r="R4">
        <v>0.8</v>
      </c>
      <c r="S4">
        <v>0</v>
      </c>
      <c r="T4">
        <v>5</v>
      </c>
      <c r="U4">
        <v>27</v>
      </c>
      <c r="V4">
        <v>32</v>
      </c>
    </row>
    <row r="5" spans="1:22" x14ac:dyDescent="0.3">
      <c r="A5">
        <v>4</v>
      </c>
      <c r="B5" s="1">
        <v>40544</v>
      </c>
      <c r="C5">
        <v>1</v>
      </c>
      <c r="D5">
        <v>0</v>
      </c>
      <c r="E5" t="str">
        <f>TEXT(Append1[[#This Row],[dteday]],"MMMM")</f>
        <v>January</v>
      </c>
      <c r="F5">
        <v>1</v>
      </c>
      <c r="G5">
        <v>3</v>
      </c>
      <c r="H5" t="b">
        <v>0</v>
      </c>
      <c r="I5" t="str">
        <f>TEXT(Append1[[#This Row],[dteday]],"DDDD")</f>
        <v>Saturday</v>
      </c>
      <c r="J5" t="str" cm="1">
        <f t="array" ref="J5">_xlfn.IFS(Append1[[#This Row],[weekday cnt]]=0,"Weekend",Append1[[#This Row],[weekday cnt]]=6,"Weekend",Append1[[#This Row],[weekday cnt]]&gt;0,"Weekday")</f>
        <v>Weekend</v>
      </c>
      <c r="K5">
        <v>6</v>
      </c>
      <c r="L5" t="str" cm="1">
        <f t="array" ref="L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">
        <v>1</v>
      </c>
      <c r="N5">
        <v>0.24</v>
      </c>
      <c r="O5">
        <v>3</v>
      </c>
      <c r="P5">
        <v>4</v>
      </c>
      <c r="Q5">
        <v>0.28789999999999999</v>
      </c>
      <c r="R5">
        <v>0.75</v>
      </c>
      <c r="S5">
        <v>0</v>
      </c>
      <c r="T5">
        <v>3</v>
      </c>
      <c r="U5">
        <v>10</v>
      </c>
      <c r="V5">
        <v>13</v>
      </c>
    </row>
    <row r="6" spans="1:22" x14ac:dyDescent="0.3">
      <c r="A6">
        <v>5</v>
      </c>
      <c r="B6" s="1">
        <v>40544</v>
      </c>
      <c r="C6">
        <v>1</v>
      </c>
      <c r="D6">
        <v>0</v>
      </c>
      <c r="E6" t="str">
        <f>TEXT(Append1[[#This Row],[dteday]],"MMMM")</f>
        <v>January</v>
      </c>
      <c r="F6">
        <v>1</v>
      </c>
      <c r="G6">
        <v>4</v>
      </c>
      <c r="H6" t="b">
        <v>0</v>
      </c>
      <c r="I6" t="str">
        <f>TEXT(Append1[[#This Row],[dteday]],"DDDD")</f>
        <v>Saturday</v>
      </c>
      <c r="J6" t="str" cm="1">
        <f t="array" ref="J6">_xlfn.IFS(Append1[[#This Row],[weekday cnt]]=0,"Weekend",Append1[[#This Row],[weekday cnt]]=6,"Weekend",Append1[[#This Row],[weekday cnt]]&gt;0,"Weekday")</f>
        <v>Weekend</v>
      </c>
      <c r="K6">
        <v>6</v>
      </c>
      <c r="L6" t="str" cm="1">
        <f t="array" ref="L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">
        <v>1</v>
      </c>
      <c r="N6">
        <v>0.24</v>
      </c>
      <c r="O6">
        <v>4</v>
      </c>
      <c r="P6">
        <v>5</v>
      </c>
      <c r="Q6">
        <v>0.28789999999999999</v>
      </c>
      <c r="R6">
        <v>0.75</v>
      </c>
      <c r="S6">
        <v>0</v>
      </c>
      <c r="T6">
        <v>0</v>
      </c>
      <c r="U6">
        <v>1</v>
      </c>
      <c r="V6">
        <v>1</v>
      </c>
    </row>
    <row r="7" spans="1:22" x14ac:dyDescent="0.3">
      <c r="A7">
        <v>6</v>
      </c>
      <c r="B7" s="1">
        <v>40544</v>
      </c>
      <c r="C7">
        <v>1</v>
      </c>
      <c r="D7">
        <v>0</v>
      </c>
      <c r="E7" t="str">
        <f>TEXT(Append1[[#This Row],[dteday]],"MMMM")</f>
        <v>January</v>
      </c>
      <c r="F7">
        <v>1</v>
      </c>
      <c r="G7">
        <v>5</v>
      </c>
      <c r="H7" t="b">
        <v>0</v>
      </c>
      <c r="I7" t="str">
        <f>TEXT(Append1[[#This Row],[dteday]],"DDDD")</f>
        <v>Saturday</v>
      </c>
      <c r="J7" t="str" cm="1">
        <f t="array" ref="J7">_xlfn.IFS(Append1[[#This Row],[weekday cnt]]=0,"Weekend",Append1[[#This Row],[weekday cnt]]=6,"Weekend",Append1[[#This Row],[weekday cnt]]&gt;0,"Weekday")</f>
        <v>Weekend</v>
      </c>
      <c r="K7">
        <v>6</v>
      </c>
      <c r="L7" t="str" cm="1">
        <f t="array" ref="L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">
        <v>2</v>
      </c>
      <c r="N7">
        <v>0.24</v>
      </c>
      <c r="O7">
        <v>5</v>
      </c>
      <c r="P7">
        <v>6</v>
      </c>
      <c r="Q7">
        <v>0.2576</v>
      </c>
      <c r="R7">
        <v>0.75</v>
      </c>
      <c r="S7">
        <v>8.9599999999999999E-2</v>
      </c>
      <c r="T7">
        <v>0</v>
      </c>
      <c r="U7">
        <v>1</v>
      </c>
      <c r="V7">
        <v>1</v>
      </c>
    </row>
    <row r="8" spans="1:22" x14ac:dyDescent="0.3">
      <c r="A8">
        <v>7</v>
      </c>
      <c r="B8" s="1">
        <v>40544</v>
      </c>
      <c r="C8">
        <v>1</v>
      </c>
      <c r="D8">
        <v>0</v>
      </c>
      <c r="E8" t="str">
        <f>TEXT(Append1[[#This Row],[dteday]],"MMMM")</f>
        <v>January</v>
      </c>
      <c r="F8">
        <v>1</v>
      </c>
      <c r="G8">
        <v>6</v>
      </c>
      <c r="H8" t="b">
        <v>0</v>
      </c>
      <c r="I8" t="str">
        <f>TEXT(Append1[[#This Row],[dteday]],"DDDD")</f>
        <v>Saturday</v>
      </c>
      <c r="J8" t="str" cm="1">
        <f t="array" ref="J8">_xlfn.IFS(Append1[[#This Row],[weekday cnt]]=0,"Weekend",Append1[[#This Row],[weekday cnt]]=6,"Weekend",Append1[[#This Row],[weekday cnt]]&gt;0,"Weekday")</f>
        <v>Weekend</v>
      </c>
      <c r="K8">
        <v>6</v>
      </c>
      <c r="L8" t="str" cm="1">
        <f t="array" ref="L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">
        <v>1</v>
      </c>
      <c r="N8">
        <v>0.22</v>
      </c>
      <c r="O8">
        <v>6</v>
      </c>
      <c r="P8">
        <v>7</v>
      </c>
      <c r="Q8">
        <v>0.2727</v>
      </c>
      <c r="R8">
        <v>0.8</v>
      </c>
      <c r="S8">
        <v>0</v>
      </c>
      <c r="T8">
        <v>2</v>
      </c>
      <c r="U8">
        <v>0</v>
      </c>
      <c r="V8">
        <v>2</v>
      </c>
    </row>
    <row r="9" spans="1:22" x14ac:dyDescent="0.3">
      <c r="A9">
        <v>8</v>
      </c>
      <c r="B9" s="1">
        <v>40544</v>
      </c>
      <c r="C9">
        <v>1</v>
      </c>
      <c r="D9">
        <v>0</v>
      </c>
      <c r="E9" t="str">
        <f>TEXT(Append1[[#This Row],[dteday]],"MMMM")</f>
        <v>January</v>
      </c>
      <c r="F9">
        <v>1</v>
      </c>
      <c r="G9">
        <v>7</v>
      </c>
      <c r="H9" t="b">
        <v>0</v>
      </c>
      <c r="I9" t="str">
        <f>TEXT(Append1[[#This Row],[dteday]],"DDDD")</f>
        <v>Saturday</v>
      </c>
      <c r="J9" t="str" cm="1">
        <f t="array" ref="J9">_xlfn.IFS(Append1[[#This Row],[weekday cnt]]=0,"Weekend",Append1[[#This Row],[weekday cnt]]=6,"Weekend",Append1[[#This Row],[weekday cnt]]&gt;0,"Weekday")</f>
        <v>Weekend</v>
      </c>
      <c r="K9">
        <v>6</v>
      </c>
      <c r="L9" t="str" cm="1">
        <f t="array" ref="L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">
        <v>1</v>
      </c>
      <c r="N9">
        <v>0.2</v>
      </c>
      <c r="O9">
        <v>7</v>
      </c>
      <c r="P9">
        <v>8</v>
      </c>
      <c r="Q9">
        <v>0.2576</v>
      </c>
      <c r="R9">
        <v>0.86</v>
      </c>
      <c r="S9">
        <v>0</v>
      </c>
      <c r="T9">
        <v>1</v>
      </c>
      <c r="U9">
        <v>2</v>
      </c>
      <c r="V9">
        <v>3</v>
      </c>
    </row>
    <row r="10" spans="1:22" x14ac:dyDescent="0.3">
      <c r="A10">
        <v>9</v>
      </c>
      <c r="B10" s="1">
        <v>40544</v>
      </c>
      <c r="C10">
        <v>1</v>
      </c>
      <c r="D10">
        <v>0</v>
      </c>
      <c r="E10" t="str">
        <f>TEXT(Append1[[#This Row],[dteday]],"MMMM")</f>
        <v>January</v>
      </c>
      <c r="F10">
        <v>1</v>
      </c>
      <c r="G10">
        <v>8</v>
      </c>
      <c r="H10" t="b">
        <v>0</v>
      </c>
      <c r="I10" t="str">
        <f>TEXT(Append1[[#This Row],[dteday]],"DDDD")</f>
        <v>Saturday</v>
      </c>
      <c r="J10" t="str" cm="1">
        <f t="array" ref="J10">_xlfn.IFS(Append1[[#This Row],[weekday cnt]]=0,"Weekend",Append1[[#This Row],[weekday cnt]]=6,"Weekend",Append1[[#This Row],[weekday cnt]]&gt;0,"Weekday")</f>
        <v>Weekend</v>
      </c>
      <c r="K10">
        <v>6</v>
      </c>
      <c r="L10" t="str" cm="1">
        <f t="array" ref="L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">
        <v>1</v>
      </c>
      <c r="N10">
        <v>0.24</v>
      </c>
      <c r="O10">
        <v>8</v>
      </c>
      <c r="P10">
        <v>9</v>
      </c>
      <c r="Q10">
        <v>0.19993</v>
      </c>
      <c r="R10">
        <v>0.75</v>
      </c>
      <c r="S10">
        <v>0</v>
      </c>
      <c r="T10">
        <v>1</v>
      </c>
      <c r="U10">
        <v>7</v>
      </c>
      <c r="V10">
        <v>8</v>
      </c>
    </row>
    <row r="11" spans="1:22" x14ac:dyDescent="0.3">
      <c r="A11">
        <v>10</v>
      </c>
      <c r="B11" s="1">
        <v>40544</v>
      </c>
      <c r="C11">
        <v>1</v>
      </c>
      <c r="D11">
        <v>0</v>
      </c>
      <c r="E11" t="str">
        <f>TEXT(Append1[[#This Row],[dteday]],"MMMM")</f>
        <v>January</v>
      </c>
      <c r="F11">
        <v>1</v>
      </c>
      <c r="G11">
        <v>9</v>
      </c>
      <c r="H11" t="b">
        <v>0</v>
      </c>
      <c r="I11" t="str">
        <f>TEXT(Append1[[#This Row],[dteday]],"DDDD")</f>
        <v>Saturday</v>
      </c>
      <c r="J11" t="str" cm="1">
        <f t="array" ref="J11">_xlfn.IFS(Append1[[#This Row],[weekday cnt]]=0,"Weekend",Append1[[#This Row],[weekday cnt]]=6,"Weekend",Append1[[#This Row],[weekday cnt]]&gt;0,"Weekday")</f>
        <v>Weekend</v>
      </c>
      <c r="K11">
        <v>6</v>
      </c>
      <c r="L11" t="str" cm="1">
        <f t="array" ref="L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">
        <v>1</v>
      </c>
      <c r="N11">
        <v>0.32</v>
      </c>
      <c r="O11">
        <v>9</v>
      </c>
      <c r="P11">
        <v>10</v>
      </c>
      <c r="Q11">
        <v>0.34849999999999998</v>
      </c>
      <c r="R11">
        <v>0.76</v>
      </c>
      <c r="S11">
        <v>0</v>
      </c>
      <c r="T11">
        <v>8</v>
      </c>
      <c r="U11">
        <v>6</v>
      </c>
      <c r="V11">
        <v>14</v>
      </c>
    </row>
    <row r="12" spans="1:22" x14ac:dyDescent="0.3">
      <c r="A12">
        <v>11</v>
      </c>
      <c r="B12" s="1">
        <v>40544</v>
      </c>
      <c r="C12">
        <v>1</v>
      </c>
      <c r="D12">
        <v>0</v>
      </c>
      <c r="E12" t="str">
        <f>TEXT(Append1[[#This Row],[dteday]],"MMMM")</f>
        <v>January</v>
      </c>
      <c r="F12">
        <v>1</v>
      </c>
      <c r="G12">
        <v>10</v>
      </c>
      <c r="H12" t="b">
        <v>0</v>
      </c>
      <c r="I12" t="str">
        <f>TEXT(Append1[[#This Row],[dteday]],"DDDD")</f>
        <v>Saturday</v>
      </c>
      <c r="J12" t="str" cm="1">
        <f t="array" ref="J12">_xlfn.IFS(Append1[[#This Row],[weekday cnt]]=0,"Weekend",Append1[[#This Row],[weekday cnt]]=6,"Weekend",Append1[[#This Row],[weekday cnt]]&gt;0,"Weekday")</f>
        <v>Weekend</v>
      </c>
      <c r="K12">
        <v>6</v>
      </c>
      <c r="L12" t="str" cm="1">
        <f t="array" ref="L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2">
        <v>1</v>
      </c>
      <c r="N12">
        <v>0.38</v>
      </c>
      <c r="O12">
        <v>10</v>
      </c>
      <c r="P12">
        <v>11</v>
      </c>
      <c r="Q12">
        <v>0.39389999999999997</v>
      </c>
      <c r="R12">
        <v>0.76</v>
      </c>
      <c r="S12">
        <v>0.25369999999999998</v>
      </c>
      <c r="T12">
        <v>12</v>
      </c>
      <c r="U12">
        <v>24</v>
      </c>
      <c r="V12">
        <v>36</v>
      </c>
    </row>
    <row r="13" spans="1:22" x14ac:dyDescent="0.3">
      <c r="A13">
        <v>12</v>
      </c>
      <c r="B13" s="1">
        <v>40544</v>
      </c>
      <c r="C13">
        <v>1</v>
      </c>
      <c r="D13">
        <v>0</v>
      </c>
      <c r="E13" t="str">
        <f>TEXT(Append1[[#This Row],[dteday]],"MMMM")</f>
        <v>January</v>
      </c>
      <c r="F13">
        <v>1</v>
      </c>
      <c r="G13">
        <v>11</v>
      </c>
      <c r="H13" t="b">
        <v>0</v>
      </c>
      <c r="I13" t="str">
        <f>TEXT(Append1[[#This Row],[dteday]],"DDDD")</f>
        <v>Saturday</v>
      </c>
      <c r="J13" t="str" cm="1">
        <f t="array" ref="J13">_xlfn.IFS(Append1[[#This Row],[weekday cnt]]=0,"Weekend",Append1[[#This Row],[weekday cnt]]=6,"Weekend",Append1[[#This Row],[weekday cnt]]&gt;0,"Weekday")</f>
        <v>Weekend</v>
      </c>
      <c r="K13">
        <v>6</v>
      </c>
      <c r="L13" t="str" cm="1">
        <f t="array" ref="L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3">
        <v>1</v>
      </c>
      <c r="N13">
        <v>0.36</v>
      </c>
      <c r="O13">
        <v>11</v>
      </c>
      <c r="P13">
        <v>12</v>
      </c>
      <c r="Q13">
        <v>0.33329999999999999</v>
      </c>
      <c r="R13">
        <v>0.81</v>
      </c>
      <c r="S13">
        <v>0.28360000000000002</v>
      </c>
      <c r="T13">
        <v>26</v>
      </c>
      <c r="U13">
        <v>30</v>
      </c>
      <c r="V13">
        <v>56</v>
      </c>
    </row>
    <row r="14" spans="1:22" x14ac:dyDescent="0.3">
      <c r="A14">
        <v>13</v>
      </c>
      <c r="B14" s="1">
        <v>40544</v>
      </c>
      <c r="C14">
        <v>1</v>
      </c>
      <c r="D14">
        <v>0</v>
      </c>
      <c r="E14" t="str">
        <f>TEXT(Append1[[#This Row],[dteday]],"MMMM")</f>
        <v>January</v>
      </c>
      <c r="F14">
        <v>1</v>
      </c>
      <c r="G14">
        <v>12</v>
      </c>
      <c r="H14" t="b">
        <v>0</v>
      </c>
      <c r="I14" t="str">
        <f>TEXT(Append1[[#This Row],[dteday]],"DDDD")</f>
        <v>Saturday</v>
      </c>
      <c r="J14" t="str" cm="1">
        <f t="array" ref="J14">_xlfn.IFS(Append1[[#This Row],[weekday cnt]]=0,"Weekend",Append1[[#This Row],[weekday cnt]]=6,"Weekend",Append1[[#This Row],[weekday cnt]]&gt;0,"Weekday")</f>
        <v>Weekend</v>
      </c>
      <c r="K14">
        <v>6</v>
      </c>
      <c r="L14" t="str" cm="1">
        <f t="array" ref="L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4">
        <v>1</v>
      </c>
      <c r="N14">
        <v>0.42</v>
      </c>
      <c r="O14">
        <v>12</v>
      </c>
      <c r="P14">
        <v>13</v>
      </c>
      <c r="Q14">
        <v>0.42420000000000002</v>
      </c>
      <c r="R14">
        <v>0.77</v>
      </c>
      <c r="S14">
        <v>0.28360000000000002</v>
      </c>
      <c r="T14">
        <v>29</v>
      </c>
      <c r="U14">
        <v>55</v>
      </c>
      <c r="V14">
        <v>84</v>
      </c>
    </row>
    <row r="15" spans="1:22" x14ac:dyDescent="0.3">
      <c r="A15">
        <v>14</v>
      </c>
      <c r="B15" s="1">
        <v>40544</v>
      </c>
      <c r="C15">
        <v>1</v>
      </c>
      <c r="D15">
        <v>0</v>
      </c>
      <c r="E15" t="str">
        <f>TEXT(Append1[[#This Row],[dteday]],"MMMM")</f>
        <v>January</v>
      </c>
      <c r="F15">
        <v>1</v>
      </c>
      <c r="G15">
        <v>13</v>
      </c>
      <c r="H15" t="b">
        <v>0</v>
      </c>
      <c r="I15" t="str">
        <f>TEXT(Append1[[#This Row],[dteday]],"DDDD")</f>
        <v>Saturday</v>
      </c>
      <c r="J15" t="str" cm="1">
        <f t="array" ref="J15">_xlfn.IFS(Append1[[#This Row],[weekday cnt]]=0,"Weekend",Append1[[#This Row],[weekday cnt]]=6,"Weekend",Append1[[#This Row],[weekday cnt]]&gt;0,"Weekday")</f>
        <v>Weekend</v>
      </c>
      <c r="K15">
        <v>6</v>
      </c>
      <c r="L15" t="str" cm="1">
        <f t="array" ref="L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5">
        <v>2</v>
      </c>
      <c r="N15">
        <v>0.46</v>
      </c>
      <c r="O15">
        <v>13</v>
      </c>
      <c r="P15">
        <v>14</v>
      </c>
      <c r="Q15">
        <v>0.45450000000000002</v>
      </c>
      <c r="R15">
        <v>0.72</v>
      </c>
      <c r="S15">
        <v>0.29849999999999999</v>
      </c>
      <c r="T15">
        <v>47</v>
      </c>
      <c r="U15">
        <v>47</v>
      </c>
      <c r="V15">
        <v>94</v>
      </c>
    </row>
    <row r="16" spans="1:22" x14ac:dyDescent="0.3">
      <c r="A16">
        <v>15</v>
      </c>
      <c r="B16" s="1">
        <v>40544</v>
      </c>
      <c r="C16">
        <v>1</v>
      </c>
      <c r="D16">
        <v>0</v>
      </c>
      <c r="E16" t="str">
        <f>TEXT(Append1[[#This Row],[dteday]],"MMMM")</f>
        <v>January</v>
      </c>
      <c r="F16">
        <v>1</v>
      </c>
      <c r="G16">
        <v>14</v>
      </c>
      <c r="H16" t="b">
        <v>0</v>
      </c>
      <c r="I16" t="str">
        <f>TEXT(Append1[[#This Row],[dteday]],"DDDD")</f>
        <v>Saturday</v>
      </c>
      <c r="J16" t="str" cm="1">
        <f t="array" ref="J16">_xlfn.IFS(Append1[[#This Row],[weekday cnt]]=0,"Weekend",Append1[[#This Row],[weekday cnt]]=6,"Weekend",Append1[[#This Row],[weekday cnt]]&gt;0,"Weekday")</f>
        <v>Weekend</v>
      </c>
      <c r="K16">
        <v>6</v>
      </c>
      <c r="L16" t="str" cm="1">
        <f t="array" ref="L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6">
        <v>2</v>
      </c>
      <c r="N16">
        <v>0.46</v>
      </c>
      <c r="O16">
        <v>14</v>
      </c>
      <c r="P16">
        <v>15</v>
      </c>
      <c r="Q16">
        <v>0.45450000000000002</v>
      </c>
      <c r="R16">
        <v>0.72</v>
      </c>
      <c r="S16">
        <v>0.28360000000000002</v>
      </c>
      <c r="T16">
        <v>35</v>
      </c>
      <c r="U16">
        <v>71</v>
      </c>
      <c r="V16">
        <v>106</v>
      </c>
    </row>
    <row r="17" spans="1:22" x14ac:dyDescent="0.3">
      <c r="A17">
        <v>16</v>
      </c>
      <c r="B17" s="1">
        <v>40544</v>
      </c>
      <c r="C17">
        <v>1</v>
      </c>
      <c r="D17">
        <v>0</v>
      </c>
      <c r="E17" t="str">
        <f>TEXT(Append1[[#This Row],[dteday]],"MMMM")</f>
        <v>January</v>
      </c>
      <c r="F17">
        <v>1</v>
      </c>
      <c r="G17">
        <v>15</v>
      </c>
      <c r="H17" t="b">
        <v>0</v>
      </c>
      <c r="I17" t="str">
        <f>TEXT(Append1[[#This Row],[dteday]],"DDDD")</f>
        <v>Saturday</v>
      </c>
      <c r="J17" t="str" cm="1">
        <f t="array" ref="J17">_xlfn.IFS(Append1[[#This Row],[weekday cnt]]=0,"Weekend",Append1[[#This Row],[weekday cnt]]=6,"Weekend",Append1[[#This Row],[weekday cnt]]&gt;0,"Weekday")</f>
        <v>Weekend</v>
      </c>
      <c r="K17">
        <v>6</v>
      </c>
      <c r="L17" t="str" cm="1">
        <f t="array" ref="L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7">
        <v>2</v>
      </c>
      <c r="N17">
        <v>0.44</v>
      </c>
      <c r="O17">
        <v>15</v>
      </c>
      <c r="P17">
        <v>16</v>
      </c>
      <c r="Q17">
        <v>0.43940000000000001</v>
      </c>
      <c r="R17">
        <v>0.77</v>
      </c>
      <c r="S17">
        <v>0.29849999999999999</v>
      </c>
      <c r="T17">
        <v>40</v>
      </c>
      <c r="U17">
        <v>70</v>
      </c>
      <c r="V17">
        <v>110</v>
      </c>
    </row>
    <row r="18" spans="1:22" x14ac:dyDescent="0.3">
      <c r="A18">
        <v>17</v>
      </c>
      <c r="B18" s="1">
        <v>40544</v>
      </c>
      <c r="C18">
        <v>1</v>
      </c>
      <c r="D18">
        <v>0</v>
      </c>
      <c r="E18" t="str">
        <f>TEXT(Append1[[#This Row],[dteday]],"MMMM")</f>
        <v>January</v>
      </c>
      <c r="F18">
        <v>1</v>
      </c>
      <c r="G18">
        <v>16</v>
      </c>
      <c r="H18" t="b">
        <v>0</v>
      </c>
      <c r="I18" t="str">
        <f>TEXT(Append1[[#This Row],[dteday]],"DDDD")</f>
        <v>Saturday</v>
      </c>
      <c r="J18" t="str" cm="1">
        <f t="array" ref="J18">_xlfn.IFS(Append1[[#This Row],[weekday cnt]]=0,"Weekend",Append1[[#This Row],[weekday cnt]]=6,"Weekend",Append1[[#This Row],[weekday cnt]]&gt;0,"Weekday")</f>
        <v>Weekend</v>
      </c>
      <c r="K18">
        <v>6</v>
      </c>
      <c r="L18" t="str" cm="1">
        <f t="array" ref="L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8">
        <v>2</v>
      </c>
      <c r="N18">
        <v>0.42</v>
      </c>
      <c r="O18">
        <v>16</v>
      </c>
      <c r="P18">
        <v>17</v>
      </c>
      <c r="Q18">
        <v>0.42420000000000002</v>
      </c>
      <c r="R18">
        <v>0.82</v>
      </c>
      <c r="S18">
        <v>0.29849999999999999</v>
      </c>
      <c r="T18">
        <v>41</v>
      </c>
      <c r="U18">
        <v>52</v>
      </c>
      <c r="V18">
        <v>93</v>
      </c>
    </row>
    <row r="19" spans="1:22" x14ac:dyDescent="0.3">
      <c r="A19">
        <v>18</v>
      </c>
      <c r="B19" s="1">
        <v>40544</v>
      </c>
      <c r="C19">
        <v>1</v>
      </c>
      <c r="D19">
        <v>0</v>
      </c>
      <c r="E19" t="str">
        <f>TEXT(Append1[[#This Row],[dteday]],"MMMM")</f>
        <v>January</v>
      </c>
      <c r="F19">
        <v>1</v>
      </c>
      <c r="G19">
        <v>17</v>
      </c>
      <c r="H19" t="b">
        <v>0</v>
      </c>
      <c r="I19" t="str">
        <f>TEXT(Append1[[#This Row],[dteday]],"DDDD")</f>
        <v>Saturday</v>
      </c>
      <c r="J19" t="str" cm="1">
        <f t="array" ref="J19">_xlfn.IFS(Append1[[#This Row],[weekday cnt]]=0,"Weekend",Append1[[#This Row],[weekday cnt]]=6,"Weekend",Append1[[#This Row],[weekday cnt]]&gt;0,"Weekday")</f>
        <v>Weekend</v>
      </c>
      <c r="K19">
        <v>6</v>
      </c>
      <c r="L19" t="str" cm="1">
        <f t="array" ref="L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9">
        <v>2</v>
      </c>
      <c r="N19">
        <v>0.44</v>
      </c>
      <c r="O19">
        <v>17</v>
      </c>
      <c r="P19">
        <v>18</v>
      </c>
      <c r="Q19">
        <v>0.19993</v>
      </c>
      <c r="R19">
        <v>0.82</v>
      </c>
      <c r="S19">
        <v>0.28360000000000002</v>
      </c>
      <c r="T19">
        <v>15</v>
      </c>
      <c r="U19">
        <v>52</v>
      </c>
      <c r="V19">
        <v>67</v>
      </c>
    </row>
    <row r="20" spans="1:22" x14ac:dyDescent="0.3">
      <c r="A20">
        <v>19</v>
      </c>
      <c r="B20" s="1">
        <v>40544</v>
      </c>
      <c r="C20">
        <v>1</v>
      </c>
      <c r="D20">
        <v>0</v>
      </c>
      <c r="E20" t="str">
        <f>TEXT(Append1[[#This Row],[dteday]],"MMMM")</f>
        <v>January</v>
      </c>
      <c r="F20">
        <v>1</v>
      </c>
      <c r="G20">
        <v>18</v>
      </c>
      <c r="H20" t="b">
        <v>0</v>
      </c>
      <c r="I20" t="str">
        <f>TEXT(Append1[[#This Row],[dteday]],"DDDD")</f>
        <v>Saturday</v>
      </c>
      <c r="J20" t="str" cm="1">
        <f t="array" ref="J20">_xlfn.IFS(Append1[[#This Row],[weekday cnt]]=0,"Weekend",Append1[[#This Row],[weekday cnt]]=6,"Weekend",Append1[[#This Row],[weekday cnt]]&gt;0,"Weekday")</f>
        <v>Weekend</v>
      </c>
      <c r="K20">
        <v>6</v>
      </c>
      <c r="L20" t="str" cm="1">
        <f t="array" ref="L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20">
        <v>3</v>
      </c>
      <c r="N20">
        <v>0.42</v>
      </c>
      <c r="O20">
        <v>18</v>
      </c>
      <c r="P20">
        <v>19</v>
      </c>
      <c r="Q20">
        <v>0.42420000000000002</v>
      </c>
      <c r="R20">
        <v>0.88</v>
      </c>
      <c r="S20">
        <v>0.25369999999999998</v>
      </c>
      <c r="T20">
        <v>9</v>
      </c>
      <c r="U20">
        <v>26</v>
      </c>
      <c r="V20">
        <v>35</v>
      </c>
    </row>
    <row r="21" spans="1:22" x14ac:dyDescent="0.3">
      <c r="A21">
        <v>20</v>
      </c>
      <c r="B21" s="1">
        <v>40544</v>
      </c>
      <c r="C21">
        <v>1</v>
      </c>
      <c r="D21">
        <v>0</v>
      </c>
      <c r="E21" t="str">
        <f>TEXT(Append1[[#This Row],[dteday]],"MMMM")</f>
        <v>January</v>
      </c>
      <c r="F21">
        <v>1</v>
      </c>
      <c r="G21">
        <v>19</v>
      </c>
      <c r="H21" t="b">
        <v>0</v>
      </c>
      <c r="I21" t="str">
        <f>TEXT(Append1[[#This Row],[dteday]],"DDDD")</f>
        <v>Saturday</v>
      </c>
      <c r="J21" t="str" cm="1">
        <f t="array" ref="J21">_xlfn.IFS(Append1[[#This Row],[weekday cnt]]=0,"Weekend",Append1[[#This Row],[weekday cnt]]=6,"Weekend",Append1[[#This Row],[weekday cnt]]&gt;0,"Weekday")</f>
        <v>Weekend</v>
      </c>
      <c r="K21">
        <v>6</v>
      </c>
      <c r="L21" t="str" cm="1">
        <f t="array" ref="L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21">
        <v>3</v>
      </c>
      <c r="N21">
        <v>0.42</v>
      </c>
      <c r="O21">
        <v>19</v>
      </c>
      <c r="P21">
        <v>20</v>
      </c>
      <c r="Q21">
        <v>0.42420000000000002</v>
      </c>
      <c r="R21">
        <v>0.88</v>
      </c>
      <c r="S21">
        <v>0.25369999999999998</v>
      </c>
      <c r="T21">
        <v>6</v>
      </c>
      <c r="U21">
        <v>31</v>
      </c>
      <c r="V21">
        <v>37</v>
      </c>
    </row>
    <row r="22" spans="1:22" x14ac:dyDescent="0.3">
      <c r="A22">
        <v>21</v>
      </c>
      <c r="B22" s="1">
        <v>40544</v>
      </c>
      <c r="C22">
        <v>1</v>
      </c>
      <c r="D22">
        <v>0</v>
      </c>
      <c r="E22" t="str">
        <f>TEXT(Append1[[#This Row],[dteday]],"MMMM")</f>
        <v>January</v>
      </c>
      <c r="F22">
        <v>1</v>
      </c>
      <c r="G22">
        <v>20</v>
      </c>
      <c r="H22" t="b">
        <v>0</v>
      </c>
      <c r="I22" t="str">
        <f>TEXT(Append1[[#This Row],[dteday]],"DDDD")</f>
        <v>Saturday</v>
      </c>
      <c r="J22" t="str" cm="1">
        <f t="array" ref="J22">_xlfn.IFS(Append1[[#This Row],[weekday cnt]]=0,"Weekend",Append1[[#This Row],[weekday cnt]]=6,"Weekend",Append1[[#This Row],[weekday cnt]]&gt;0,"Weekday")</f>
        <v>Weekend</v>
      </c>
      <c r="K22">
        <v>6</v>
      </c>
      <c r="L22" t="str" cm="1">
        <f t="array" ref="L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2">
        <v>2</v>
      </c>
      <c r="N22">
        <v>0.4</v>
      </c>
      <c r="O22">
        <v>20</v>
      </c>
      <c r="P22">
        <v>21</v>
      </c>
      <c r="Q22">
        <v>0.40910000000000002</v>
      </c>
      <c r="R22">
        <v>0.87</v>
      </c>
      <c r="S22">
        <v>0.25369999999999998</v>
      </c>
      <c r="T22">
        <v>11</v>
      </c>
      <c r="U22">
        <v>25</v>
      </c>
      <c r="V22">
        <v>36</v>
      </c>
    </row>
    <row r="23" spans="1:22" x14ac:dyDescent="0.3">
      <c r="A23">
        <v>22</v>
      </c>
      <c r="B23" s="1">
        <v>40544</v>
      </c>
      <c r="C23">
        <v>1</v>
      </c>
      <c r="D23">
        <v>0</v>
      </c>
      <c r="E23" t="str">
        <f>TEXT(Append1[[#This Row],[dteday]],"MMMM")</f>
        <v>January</v>
      </c>
      <c r="F23">
        <v>1</v>
      </c>
      <c r="G23">
        <v>21</v>
      </c>
      <c r="H23" t="b">
        <v>0</v>
      </c>
      <c r="I23" t="str">
        <f>TEXT(Append1[[#This Row],[dteday]],"DDDD")</f>
        <v>Saturday</v>
      </c>
      <c r="J23" t="str" cm="1">
        <f t="array" ref="J23">_xlfn.IFS(Append1[[#This Row],[weekday cnt]]=0,"Weekend",Append1[[#This Row],[weekday cnt]]=6,"Weekend",Append1[[#This Row],[weekday cnt]]&gt;0,"Weekday")</f>
        <v>Weekend</v>
      </c>
      <c r="K23">
        <v>6</v>
      </c>
      <c r="L23" t="str" cm="1">
        <f t="array" ref="L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3">
        <v>2</v>
      </c>
      <c r="N23">
        <v>0.4</v>
      </c>
      <c r="O23">
        <v>21</v>
      </c>
      <c r="P23">
        <v>22</v>
      </c>
      <c r="Q23">
        <v>0.40910000000000002</v>
      </c>
      <c r="R23">
        <v>0.87</v>
      </c>
      <c r="S23">
        <v>0.19400000000000001</v>
      </c>
      <c r="T23">
        <v>3</v>
      </c>
      <c r="U23">
        <v>31</v>
      </c>
      <c r="V23">
        <v>34</v>
      </c>
    </row>
    <row r="24" spans="1:22" x14ac:dyDescent="0.3">
      <c r="A24">
        <v>23</v>
      </c>
      <c r="B24" s="1">
        <v>40544</v>
      </c>
      <c r="C24">
        <v>1</v>
      </c>
      <c r="D24">
        <v>0</v>
      </c>
      <c r="E24" t="str">
        <f>TEXT(Append1[[#This Row],[dteday]],"MMMM")</f>
        <v>January</v>
      </c>
      <c r="F24">
        <v>1</v>
      </c>
      <c r="G24">
        <v>22</v>
      </c>
      <c r="H24" t="b">
        <v>0</v>
      </c>
      <c r="I24" t="str">
        <f>TEXT(Append1[[#This Row],[dteday]],"DDDD")</f>
        <v>Saturday</v>
      </c>
      <c r="J24" t="str" cm="1">
        <f t="array" ref="J24">_xlfn.IFS(Append1[[#This Row],[weekday cnt]]=0,"Weekend",Append1[[#This Row],[weekday cnt]]=6,"Weekend",Append1[[#This Row],[weekday cnt]]&gt;0,"Weekday")</f>
        <v>Weekend</v>
      </c>
      <c r="K24">
        <v>6</v>
      </c>
      <c r="L24" t="str" cm="1">
        <f t="array" ref="L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">
        <v>2</v>
      </c>
      <c r="N24">
        <v>0.4</v>
      </c>
      <c r="O24">
        <v>22</v>
      </c>
      <c r="P24">
        <v>23</v>
      </c>
      <c r="Q24">
        <v>0.40910000000000002</v>
      </c>
      <c r="R24">
        <v>0.94</v>
      </c>
      <c r="S24">
        <v>0.22389999999999999</v>
      </c>
      <c r="T24">
        <v>11</v>
      </c>
      <c r="U24">
        <v>17</v>
      </c>
      <c r="V24">
        <v>28</v>
      </c>
    </row>
    <row r="25" spans="1:22" x14ac:dyDescent="0.3">
      <c r="A25">
        <v>24</v>
      </c>
      <c r="B25" s="1">
        <v>40544</v>
      </c>
      <c r="C25">
        <v>1</v>
      </c>
      <c r="D25">
        <v>0</v>
      </c>
      <c r="E25" t="str">
        <f>TEXT(Append1[[#This Row],[dteday]],"MMMM")</f>
        <v>January</v>
      </c>
      <c r="F25">
        <v>1</v>
      </c>
      <c r="G25">
        <v>23</v>
      </c>
      <c r="H25" t="b">
        <v>0</v>
      </c>
      <c r="I25" t="str">
        <f>TEXT(Append1[[#This Row],[dteday]],"DDDD")</f>
        <v>Saturday</v>
      </c>
      <c r="J25" t="str" cm="1">
        <f t="array" ref="J25">_xlfn.IFS(Append1[[#This Row],[weekday cnt]]=0,"Weekend",Append1[[#This Row],[weekday cnt]]=6,"Weekend",Append1[[#This Row],[weekday cnt]]&gt;0,"Weekday")</f>
        <v>Weekend</v>
      </c>
      <c r="K25">
        <v>6</v>
      </c>
      <c r="L25" t="str" cm="1">
        <f t="array" ref="L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5">
        <v>2</v>
      </c>
      <c r="N25">
        <v>0.46</v>
      </c>
      <c r="O25">
        <v>23</v>
      </c>
      <c r="P25">
        <v>24</v>
      </c>
      <c r="Q25">
        <v>0.19993</v>
      </c>
      <c r="R25">
        <v>0.88</v>
      </c>
      <c r="S25">
        <v>0.29849999999999999</v>
      </c>
      <c r="T25">
        <v>15</v>
      </c>
      <c r="U25">
        <v>24</v>
      </c>
      <c r="V25">
        <v>39</v>
      </c>
    </row>
    <row r="26" spans="1:22" x14ac:dyDescent="0.3">
      <c r="A26">
        <v>25</v>
      </c>
      <c r="B26" s="1">
        <v>40545</v>
      </c>
      <c r="C26">
        <v>1</v>
      </c>
      <c r="D26">
        <v>0</v>
      </c>
      <c r="E26" t="str">
        <f>TEXT(Append1[[#This Row],[dteday]],"MMMM")</f>
        <v>January</v>
      </c>
      <c r="F26">
        <v>1</v>
      </c>
      <c r="G26">
        <v>0</v>
      </c>
      <c r="H26" t="b">
        <v>0</v>
      </c>
      <c r="I26" t="str">
        <f>TEXT(Append1[[#This Row],[dteday]],"DDDD")</f>
        <v>Sunday</v>
      </c>
      <c r="J26" t="str" cm="1">
        <f t="array" ref="J26">_xlfn.IFS(Append1[[#This Row],[weekday cnt]]=0,"Weekend",Append1[[#This Row],[weekday cnt]]=6,"Weekend",Append1[[#This Row],[weekday cnt]]&gt;0,"Weekday")</f>
        <v>Weekend</v>
      </c>
      <c r="K26">
        <v>0</v>
      </c>
      <c r="L26" t="str" cm="1">
        <f t="array" ref="L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6">
        <v>2</v>
      </c>
      <c r="N26">
        <v>0.46</v>
      </c>
      <c r="O26">
        <v>24</v>
      </c>
      <c r="P26">
        <v>25</v>
      </c>
      <c r="Q26">
        <v>0.45450000000000002</v>
      </c>
      <c r="R26">
        <v>0.88</v>
      </c>
      <c r="S26">
        <v>0.29849999999999999</v>
      </c>
      <c r="T26">
        <v>4</v>
      </c>
      <c r="U26">
        <v>13</v>
      </c>
      <c r="V26">
        <v>17</v>
      </c>
    </row>
    <row r="27" spans="1:22" x14ac:dyDescent="0.3">
      <c r="A27">
        <v>26</v>
      </c>
      <c r="B27" s="1">
        <v>40545</v>
      </c>
      <c r="C27">
        <v>1</v>
      </c>
      <c r="D27">
        <v>0</v>
      </c>
      <c r="E27" t="str">
        <f>TEXT(Append1[[#This Row],[dteday]],"MMMM")</f>
        <v>January</v>
      </c>
      <c r="F27">
        <v>1</v>
      </c>
      <c r="G27">
        <v>1</v>
      </c>
      <c r="H27" t="b">
        <v>0</v>
      </c>
      <c r="I27" t="str">
        <f>TEXT(Append1[[#This Row],[dteday]],"DDDD")</f>
        <v>Sunday</v>
      </c>
      <c r="J27" t="str" cm="1">
        <f t="array" ref="J27">_xlfn.IFS(Append1[[#This Row],[weekday cnt]]=0,"Weekend",Append1[[#This Row],[weekday cnt]]=6,"Weekend",Append1[[#This Row],[weekday cnt]]&gt;0,"Weekday")</f>
        <v>Weekend</v>
      </c>
      <c r="K27">
        <v>0</v>
      </c>
      <c r="L27" t="str" cm="1">
        <f t="array" ref="L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7">
        <v>2</v>
      </c>
      <c r="N27">
        <v>0.44</v>
      </c>
      <c r="O27">
        <v>25</v>
      </c>
      <c r="P27">
        <v>26</v>
      </c>
      <c r="Q27">
        <v>0.43940000000000001</v>
      </c>
      <c r="R27">
        <v>0.94</v>
      </c>
      <c r="S27">
        <v>0.25369999999999998</v>
      </c>
      <c r="T27">
        <v>1</v>
      </c>
      <c r="U27">
        <v>16</v>
      </c>
      <c r="V27">
        <v>17</v>
      </c>
    </row>
    <row r="28" spans="1:22" x14ac:dyDescent="0.3">
      <c r="A28">
        <v>27</v>
      </c>
      <c r="B28" s="1">
        <v>40545</v>
      </c>
      <c r="C28">
        <v>1</v>
      </c>
      <c r="D28">
        <v>0</v>
      </c>
      <c r="E28" t="str">
        <f>TEXT(Append1[[#This Row],[dteday]],"MMMM")</f>
        <v>January</v>
      </c>
      <c r="F28">
        <v>1</v>
      </c>
      <c r="G28">
        <v>2</v>
      </c>
      <c r="H28" t="b">
        <v>0</v>
      </c>
      <c r="I28" t="str">
        <f>TEXT(Append1[[#This Row],[dteday]],"DDDD")</f>
        <v>Sunday</v>
      </c>
      <c r="J28" t="str" cm="1">
        <f t="array" ref="J28">_xlfn.IFS(Append1[[#This Row],[weekday cnt]]=0,"Weekend",Append1[[#This Row],[weekday cnt]]=6,"Weekend",Append1[[#This Row],[weekday cnt]]&gt;0,"Weekday")</f>
        <v>Weekend</v>
      </c>
      <c r="K28">
        <v>0</v>
      </c>
      <c r="L28" t="str" cm="1">
        <f t="array" ref="L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8">
        <v>2</v>
      </c>
      <c r="N28">
        <v>0.42</v>
      </c>
      <c r="O28">
        <v>26</v>
      </c>
      <c r="P28">
        <v>27</v>
      </c>
      <c r="Q28">
        <v>0.42420000000000002</v>
      </c>
      <c r="R28">
        <v>1</v>
      </c>
      <c r="S28">
        <v>0.28360000000000002</v>
      </c>
      <c r="T28">
        <v>1</v>
      </c>
      <c r="U28">
        <v>8</v>
      </c>
      <c r="V28">
        <v>9</v>
      </c>
    </row>
    <row r="29" spans="1:22" x14ac:dyDescent="0.3">
      <c r="A29">
        <v>28</v>
      </c>
      <c r="B29" s="1">
        <v>40545</v>
      </c>
      <c r="C29">
        <v>1</v>
      </c>
      <c r="D29">
        <v>0</v>
      </c>
      <c r="E29" t="str">
        <f>TEXT(Append1[[#This Row],[dteday]],"MMMM")</f>
        <v>January</v>
      </c>
      <c r="F29">
        <v>1</v>
      </c>
      <c r="G29">
        <v>3</v>
      </c>
      <c r="H29" t="b">
        <v>0</v>
      </c>
      <c r="I29" t="str">
        <f>TEXT(Append1[[#This Row],[dteday]],"DDDD")</f>
        <v>Sunday</v>
      </c>
      <c r="J29" t="str" cm="1">
        <f t="array" ref="J29">_xlfn.IFS(Append1[[#This Row],[weekday cnt]]=0,"Weekend",Append1[[#This Row],[weekday cnt]]=6,"Weekend",Append1[[#This Row],[weekday cnt]]&gt;0,"Weekday")</f>
        <v>Weekend</v>
      </c>
      <c r="K29">
        <v>0</v>
      </c>
      <c r="L29" t="str" cm="1">
        <f t="array" ref="L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9">
        <v>2</v>
      </c>
      <c r="N29">
        <v>0.46</v>
      </c>
      <c r="O29">
        <v>27</v>
      </c>
      <c r="P29">
        <v>28</v>
      </c>
      <c r="Q29">
        <v>0.45450000000000002</v>
      </c>
      <c r="R29">
        <v>0.94</v>
      </c>
      <c r="S29">
        <v>0.19400000000000001</v>
      </c>
      <c r="T29">
        <v>2</v>
      </c>
      <c r="U29">
        <v>4</v>
      </c>
      <c r="V29">
        <v>6</v>
      </c>
    </row>
    <row r="30" spans="1:22" x14ac:dyDescent="0.3">
      <c r="A30">
        <v>29</v>
      </c>
      <c r="B30" s="1">
        <v>40545</v>
      </c>
      <c r="C30">
        <v>1</v>
      </c>
      <c r="D30">
        <v>0</v>
      </c>
      <c r="E30" t="str">
        <f>TEXT(Append1[[#This Row],[dteday]],"MMMM")</f>
        <v>January</v>
      </c>
      <c r="F30">
        <v>1</v>
      </c>
      <c r="G30">
        <v>4</v>
      </c>
      <c r="H30" t="b">
        <v>0</v>
      </c>
      <c r="I30" t="str">
        <f>TEXT(Append1[[#This Row],[dteday]],"DDDD")</f>
        <v>Sunday</v>
      </c>
      <c r="J30" t="str" cm="1">
        <f t="array" ref="J30">_xlfn.IFS(Append1[[#This Row],[weekday cnt]]=0,"Weekend",Append1[[#This Row],[weekday cnt]]=6,"Weekend",Append1[[#This Row],[weekday cnt]]&gt;0,"Weekday")</f>
        <v>Weekend</v>
      </c>
      <c r="K30">
        <v>0</v>
      </c>
      <c r="L30" t="str" cm="1">
        <f t="array" ref="L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0">
        <v>2</v>
      </c>
      <c r="N30">
        <v>0.46</v>
      </c>
      <c r="O30">
        <v>28</v>
      </c>
      <c r="P30">
        <v>29</v>
      </c>
      <c r="Q30">
        <v>0.19993</v>
      </c>
      <c r="R30">
        <v>0.94</v>
      </c>
      <c r="S30">
        <v>0.19400000000000001</v>
      </c>
      <c r="T30">
        <v>2</v>
      </c>
      <c r="U30">
        <v>1</v>
      </c>
      <c r="V30">
        <v>3</v>
      </c>
    </row>
    <row r="31" spans="1:22" x14ac:dyDescent="0.3">
      <c r="A31">
        <v>30</v>
      </c>
      <c r="B31" s="1">
        <v>40545</v>
      </c>
      <c r="C31">
        <v>1</v>
      </c>
      <c r="D31">
        <v>0</v>
      </c>
      <c r="E31" t="str">
        <f>TEXT(Append1[[#This Row],[dteday]],"MMMM")</f>
        <v>January</v>
      </c>
      <c r="F31">
        <v>1</v>
      </c>
      <c r="G31">
        <v>6</v>
      </c>
      <c r="H31" t="b">
        <v>0</v>
      </c>
      <c r="I31" t="str">
        <f>TEXT(Append1[[#This Row],[dteday]],"DDDD")</f>
        <v>Sunday</v>
      </c>
      <c r="J31" t="str" cm="1">
        <f t="array" ref="J31">_xlfn.IFS(Append1[[#This Row],[weekday cnt]]=0,"Weekend",Append1[[#This Row],[weekday cnt]]=6,"Weekend",Append1[[#This Row],[weekday cnt]]&gt;0,"Weekday")</f>
        <v>Weekend</v>
      </c>
      <c r="K31">
        <v>0</v>
      </c>
      <c r="L31" t="str" cm="1">
        <f t="array" ref="L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31">
        <v>3</v>
      </c>
      <c r="N31">
        <v>0.42</v>
      </c>
      <c r="O31">
        <v>29</v>
      </c>
      <c r="P31">
        <v>30</v>
      </c>
      <c r="Q31">
        <v>0.42420000000000002</v>
      </c>
      <c r="R31">
        <v>0.77</v>
      </c>
      <c r="S31">
        <v>0.29849999999999999</v>
      </c>
      <c r="T31">
        <v>0</v>
      </c>
      <c r="U31">
        <v>2</v>
      </c>
      <c r="V31">
        <v>2</v>
      </c>
    </row>
    <row r="32" spans="1:22" x14ac:dyDescent="0.3">
      <c r="A32">
        <v>31</v>
      </c>
      <c r="B32" s="1">
        <v>40545</v>
      </c>
      <c r="C32">
        <v>1</v>
      </c>
      <c r="D32">
        <v>0</v>
      </c>
      <c r="E32" t="str">
        <f>TEXT(Append1[[#This Row],[dteday]],"MMMM")</f>
        <v>January</v>
      </c>
      <c r="F32">
        <v>1</v>
      </c>
      <c r="G32">
        <v>7</v>
      </c>
      <c r="H32" t="b">
        <v>0</v>
      </c>
      <c r="I32" t="str">
        <f>TEXT(Append1[[#This Row],[dteday]],"DDDD")</f>
        <v>Sunday</v>
      </c>
      <c r="J32" t="str" cm="1">
        <f t="array" ref="J32">_xlfn.IFS(Append1[[#This Row],[weekday cnt]]=0,"Weekend",Append1[[#This Row],[weekday cnt]]=6,"Weekend",Append1[[#This Row],[weekday cnt]]&gt;0,"Weekday")</f>
        <v>Weekend</v>
      </c>
      <c r="K32">
        <v>0</v>
      </c>
      <c r="L32" t="str" cm="1">
        <f t="array" ref="L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2">
        <v>2</v>
      </c>
      <c r="N32">
        <v>0.4</v>
      </c>
      <c r="O32">
        <v>30</v>
      </c>
      <c r="P32">
        <v>31</v>
      </c>
      <c r="Q32">
        <v>0.40910000000000002</v>
      </c>
      <c r="R32">
        <v>0.76</v>
      </c>
      <c r="S32">
        <v>0.19400000000000001</v>
      </c>
      <c r="T32">
        <v>0</v>
      </c>
      <c r="U32">
        <v>1</v>
      </c>
      <c r="V32">
        <v>1</v>
      </c>
    </row>
    <row r="33" spans="1:22" x14ac:dyDescent="0.3">
      <c r="A33">
        <v>32</v>
      </c>
      <c r="B33" s="1">
        <v>40545</v>
      </c>
      <c r="C33">
        <v>1</v>
      </c>
      <c r="D33">
        <v>0</v>
      </c>
      <c r="E33" t="str">
        <f>TEXT(Append1[[#This Row],[dteday]],"MMMM")</f>
        <v>January</v>
      </c>
      <c r="F33">
        <v>1</v>
      </c>
      <c r="G33">
        <v>8</v>
      </c>
      <c r="H33" t="b">
        <v>0</v>
      </c>
      <c r="I33" t="str">
        <f>TEXT(Append1[[#This Row],[dteday]],"DDDD")</f>
        <v>Sunday</v>
      </c>
      <c r="J33" t="str" cm="1">
        <f t="array" ref="J33">_xlfn.IFS(Append1[[#This Row],[weekday cnt]]=0,"Weekend",Append1[[#This Row],[weekday cnt]]=6,"Weekend",Append1[[#This Row],[weekday cnt]]&gt;0,"Weekday")</f>
        <v>Weekend</v>
      </c>
      <c r="K33">
        <v>0</v>
      </c>
      <c r="L33" t="str" cm="1">
        <f t="array" ref="L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33">
        <v>3</v>
      </c>
      <c r="N33">
        <v>0.4</v>
      </c>
      <c r="O33">
        <v>31</v>
      </c>
      <c r="P33">
        <v>32</v>
      </c>
      <c r="Q33">
        <v>0.40910000000000002</v>
      </c>
      <c r="R33">
        <v>0.71</v>
      </c>
      <c r="S33">
        <v>0.22389999999999999</v>
      </c>
      <c r="T33">
        <v>0</v>
      </c>
      <c r="U33">
        <v>8</v>
      </c>
      <c r="V33">
        <v>8</v>
      </c>
    </row>
    <row r="34" spans="1:22" x14ac:dyDescent="0.3">
      <c r="A34">
        <v>33</v>
      </c>
      <c r="B34" s="1">
        <v>40545</v>
      </c>
      <c r="C34">
        <v>1</v>
      </c>
      <c r="D34">
        <v>0</v>
      </c>
      <c r="E34" t="str">
        <f>TEXT(Append1[[#This Row],[dteday]],"MMMM")</f>
        <v>January</v>
      </c>
      <c r="F34">
        <v>1</v>
      </c>
      <c r="G34">
        <v>9</v>
      </c>
      <c r="H34" t="b">
        <v>0</v>
      </c>
      <c r="I34" t="str">
        <f>TEXT(Append1[[#This Row],[dteday]],"DDDD")</f>
        <v>Sunday</v>
      </c>
      <c r="J34" t="str" cm="1">
        <f t="array" ref="J34">_xlfn.IFS(Append1[[#This Row],[weekday cnt]]=0,"Weekend",Append1[[#This Row],[weekday cnt]]=6,"Weekend",Append1[[#This Row],[weekday cnt]]&gt;0,"Weekday")</f>
        <v>Weekend</v>
      </c>
      <c r="K34">
        <v>0</v>
      </c>
      <c r="L34" t="str" cm="1">
        <f t="array" ref="L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4">
        <v>2</v>
      </c>
      <c r="N34">
        <v>0.38</v>
      </c>
      <c r="O34">
        <v>32</v>
      </c>
      <c r="P34">
        <v>33</v>
      </c>
      <c r="Q34">
        <v>0.19993</v>
      </c>
      <c r="R34">
        <v>0.76</v>
      </c>
      <c r="S34">
        <v>0.22389999999999999</v>
      </c>
      <c r="T34">
        <v>1</v>
      </c>
      <c r="U34">
        <v>19</v>
      </c>
      <c r="V34">
        <v>20</v>
      </c>
    </row>
    <row r="35" spans="1:22" x14ac:dyDescent="0.3">
      <c r="A35">
        <v>34</v>
      </c>
      <c r="B35" s="1">
        <v>40545</v>
      </c>
      <c r="C35">
        <v>1</v>
      </c>
      <c r="D35">
        <v>0</v>
      </c>
      <c r="E35" t="str">
        <f>TEXT(Append1[[#This Row],[dteday]],"MMMM")</f>
        <v>January</v>
      </c>
      <c r="F35">
        <v>1</v>
      </c>
      <c r="G35">
        <v>10</v>
      </c>
      <c r="H35" t="b">
        <v>0</v>
      </c>
      <c r="I35" t="str">
        <f>TEXT(Append1[[#This Row],[dteday]],"DDDD")</f>
        <v>Sunday</v>
      </c>
      <c r="J35" t="str" cm="1">
        <f t="array" ref="J35">_xlfn.IFS(Append1[[#This Row],[weekday cnt]]=0,"Weekend",Append1[[#This Row],[weekday cnt]]=6,"Weekend",Append1[[#This Row],[weekday cnt]]&gt;0,"Weekday")</f>
        <v>Weekend</v>
      </c>
      <c r="K35">
        <v>0</v>
      </c>
      <c r="L35" t="str" cm="1">
        <f t="array" ref="L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5">
        <v>2</v>
      </c>
      <c r="N35">
        <v>0.36</v>
      </c>
      <c r="O35">
        <v>33</v>
      </c>
      <c r="P35">
        <v>34</v>
      </c>
      <c r="Q35">
        <v>0.34849999999999998</v>
      </c>
      <c r="R35">
        <v>0.81</v>
      </c>
      <c r="S35">
        <v>0.22389999999999999</v>
      </c>
      <c r="T35">
        <v>7</v>
      </c>
      <c r="U35">
        <v>46</v>
      </c>
      <c r="V35">
        <v>53</v>
      </c>
    </row>
    <row r="36" spans="1:22" x14ac:dyDescent="0.3">
      <c r="A36">
        <v>35</v>
      </c>
      <c r="B36" s="1">
        <v>40545</v>
      </c>
      <c r="C36">
        <v>1</v>
      </c>
      <c r="D36">
        <v>0</v>
      </c>
      <c r="E36" t="str">
        <f>TEXT(Append1[[#This Row],[dteday]],"MMMM")</f>
        <v>January</v>
      </c>
      <c r="F36">
        <v>1</v>
      </c>
      <c r="G36">
        <v>11</v>
      </c>
      <c r="H36" t="b">
        <v>0</v>
      </c>
      <c r="I36" t="str">
        <f>TEXT(Append1[[#This Row],[dteday]],"DDDD")</f>
        <v>Sunday</v>
      </c>
      <c r="J36" t="str" cm="1">
        <f t="array" ref="J36">_xlfn.IFS(Append1[[#This Row],[weekday cnt]]=0,"Weekend",Append1[[#This Row],[weekday cnt]]=6,"Weekend",Append1[[#This Row],[weekday cnt]]&gt;0,"Weekday")</f>
        <v>Weekend</v>
      </c>
      <c r="K36">
        <v>0</v>
      </c>
      <c r="L36" t="str" cm="1">
        <f t="array" ref="L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6">
        <v>2</v>
      </c>
      <c r="N36">
        <v>0.36</v>
      </c>
      <c r="O36">
        <v>34</v>
      </c>
      <c r="P36">
        <v>35</v>
      </c>
      <c r="Q36">
        <v>0.33329999999999999</v>
      </c>
      <c r="R36">
        <v>0.71</v>
      </c>
      <c r="S36">
        <v>0.25369999999999998</v>
      </c>
      <c r="T36">
        <v>16</v>
      </c>
      <c r="U36">
        <v>54</v>
      </c>
      <c r="V36">
        <v>70</v>
      </c>
    </row>
    <row r="37" spans="1:22" x14ac:dyDescent="0.3">
      <c r="A37">
        <v>36</v>
      </c>
      <c r="B37" s="1">
        <v>40545</v>
      </c>
      <c r="C37">
        <v>1</v>
      </c>
      <c r="D37">
        <v>0</v>
      </c>
      <c r="E37" t="str">
        <f>TEXT(Append1[[#This Row],[dteday]],"MMMM")</f>
        <v>January</v>
      </c>
      <c r="F37">
        <v>1</v>
      </c>
      <c r="G37">
        <v>12</v>
      </c>
      <c r="H37" t="b">
        <v>0</v>
      </c>
      <c r="I37" t="str">
        <f>TEXT(Append1[[#This Row],[dteday]],"DDDD")</f>
        <v>Sunday</v>
      </c>
      <c r="J37" t="str" cm="1">
        <f t="array" ref="J37">_xlfn.IFS(Append1[[#This Row],[weekday cnt]]=0,"Weekend",Append1[[#This Row],[weekday cnt]]=6,"Weekend",Append1[[#This Row],[weekday cnt]]&gt;0,"Weekday")</f>
        <v>Weekend</v>
      </c>
      <c r="K37">
        <v>0</v>
      </c>
      <c r="L37" t="str" cm="1">
        <f t="array" ref="L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7">
        <v>2</v>
      </c>
      <c r="N37">
        <v>0.36</v>
      </c>
      <c r="O37">
        <v>35</v>
      </c>
      <c r="P37">
        <v>36</v>
      </c>
      <c r="Q37">
        <v>0.33329999999999999</v>
      </c>
      <c r="R37">
        <v>0.66</v>
      </c>
      <c r="S37">
        <v>0.29849999999999999</v>
      </c>
      <c r="T37">
        <v>20</v>
      </c>
      <c r="U37">
        <v>73</v>
      </c>
      <c r="V37">
        <v>93</v>
      </c>
    </row>
    <row r="38" spans="1:22" x14ac:dyDescent="0.3">
      <c r="A38">
        <v>37</v>
      </c>
      <c r="B38" s="1">
        <v>40545</v>
      </c>
      <c r="C38">
        <v>1</v>
      </c>
      <c r="D38">
        <v>0</v>
      </c>
      <c r="E38" t="str">
        <f>TEXT(Append1[[#This Row],[dteday]],"MMMM")</f>
        <v>January</v>
      </c>
      <c r="F38">
        <v>1</v>
      </c>
      <c r="G38">
        <v>13</v>
      </c>
      <c r="H38" t="b">
        <v>0</v>
      </c>
      <c r="I38" t="str">
        <f>TEXT(Append1[[#This Row],[dteday]],"DDDD")</f>
        <v>Sunday</v>
      </c>
      <c r="J38" t="str" cm="1">
        <f t="array" ref="J38">_xlfn.IFS(Append1[[#This Row],[weekday cnt]]=0,"Weekend",Append1[[#This Row],[weekday cnt]]=6,"Weekend",Append1[[#This Row],[weekday cnt]]&gt;0,"Weekday")</f>
        <v>Weekend</v>
      </c>
      <c r="K38">
        <v>0</v>
      </c>
      <c r="L38" t="str" cm="1">
        <f t="array" ref="L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">
        <v>2</v>
      </c>
      <c r="N38">
        <v>0.36</v>
      </c>
      <c r="O38">
        <v>36</v>
      </c>
      <c r="P38">
        <v>37</v>
      </c>
      <c r="Q38">
        <v>0.34849999999999998</v>
      </c>
      <c r="R38">
        <v>0.66</v>
      </c>
      <c r="S38">
        <v>0.1343</v>
      </c>
      <c r="T38">
        <v>11</v>
      </c>
      <c r="U38">
        <v>64</v>
      </c>
      <c r="V38">
        <v>75</v>
      </c>
    </row>
    <row r="39" spans="1:22" x14ac:dyDescent="0.3">
      <c r="A39">
        <v>38</v>
      </c>
      <c r="B39" s="1">
        <v>40545</v>
      </c>
      <c r="C39">
        <v>1</v>
      </c>
      <c r="D39">
        <v>0</v>
      </c>
      <c r="E39" t="str">
        <f>TEXT(Append1[[#This Row],[dteday]],"MMMM")</f>
        <v>January</v>
      </c>
      <c r="F39">
        <v>1</v>
      </c>
      <c r="G39">
        <v>14</v>
      </c>
      <c r="H39" t="b">
        <v>0</v>
      </c>
      <c r="I39" t="str">
        <f>TEXT(Append1[[#This Row],[dteday]],"DDDD")</f>
        <v>Sunday</v>
      </c>
      <c r="J39" t="str" cm="1">
        <f t="array" ref="J39">_xlfn.IFS(Append1[[#This Row],[weekday cnt]]=0,"Weekend",Append1[[#This Row],[weekday cnt]]=6,"Weekend",Append1[[#This Row],[weekday cnt]]&gt;0,"Weekday")</f>
        <v>Weekend</v>
      </c>
      <c r="K39">
        <v>0</v>
      </c>
      <c r="L39" t="str" cm="1">
        <f t="array" ref="L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39">
        <v>3</v>
      </c>
      <c r="N39">
        <v>0.36</v>
      </c>
      <c r="O39">
        <v>37</v>
      </c>
      <c r="P39">
        <v>38</v>
      </c>
      <c r="Q39">
        <v>0.19993</v>
      </c>
      <c r="R39">
        <v>0.76</v>
      </c>
      <c r="S39">
        <v>0.19400000000000001</v>
      </c>
      <c r="T39">
        <v>4</v>
      </c>
      <c r="U39">
        <v>55</v>
      </c>
      <c r="V39">
        <v>59</v>
      </c>
    </row>
    <row r="40" spans="1:22" x14ac:dyDescent="0.3">
      <c r="A40">
        <v>39</v>
      </c>
      <c r="B40" s="1">
        <v>40545</v>
      </c>
      <c r="C40">
        <v>1</v>
      </c>
      <c r="D40">
        <v>0</v>
      </c>
      <c r="E40" t="str">
        <f>TEXT(Append1[[#This Row],[dteday]],"MMMM")</f>
        <v>January</v>
      </c>
      <c r="F40">
        <v>1</v>
      </c>
      <c r="G40">
        <v>15</v>
      </c>
      <c r="H40" t="b">
        <v>0</v>
      </c>
      <c r="I40" t="str">
        <f>TEXT(Append1[[#This Row],[dteday]],"DDDD")</f>
        <v>Sunday</v>
      </c>
      <c r="J40" t="str" cm="1">
        <f t="array" ref="J40">_xlfn.IFS(Append1[[#This Row],[weekday cnt]]=0,"Weekend",Append1[[#This Row],[weekday cnt]]=6,"Weekend",Append1[[#This Row],[weekday cnt]]&gt;0,"Weekday")</f>
        <v>Weekend</v>
      </c>
      <c r="K40">
        <v>0</v>
      </c>
      <c r="L40" t="str" cm="1">
        <f t="array" ref="L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40">
        <v>3</v>
      </c>
      <c r="N40">
        <v>0.34</v>
      </c>
      <c r="O40">
        <v>38</v>
      </c>
      <c r="P40">
        <v>39</v>
      </c>
      <c r="Q40">
        <v>0.33329999999999999</v>
      </c>
      <c r="R40">
        <v>0.81</v>
      </c>
      <c r="S40">
        <v>0.16420000000000001</v>
      </c>
      <c r="T40">
        <v>19</v>
      </c>
      <c r="U40">
        <v>55</v>
      </c>
      <c r="V40">
        <v>74</v>
      </c>
    </row>
    <row r="41" spans="1:22" x14ac:dyDescent="0.3">
      <c r="A41">
        <v>40</v>
      </c>
      <c r="B41" s="1">
        <v>40545</v>
      </c>
      <c r="C41">
        <v>1</v>
      </c>
      <c r="D41">
        <v>0</v>
      </c>
      <c r="E41" t="str">
        <f>TEXT(Append1[[#This Row],[dteday]],"MMMM")</f>
        <v>January</v>
      </c>
      <c r="F41">
        <v>1</v>
      </c>
      <c r="G41">
        <v>16</v>
      </c>
      <c r="H41" t="b">
        <v>0</v>
      </c>
      <c r="I41" t="str">
        <f>TEXT(Append1[[#This Row],[dteday]],"DDDD")</f>
        <v>Sunday</v>
      </c>
      <c r="J41" t="str" cm="1">
        <f t="array" ref="J41">_xlfn.IFS(Append1[[#This Row],[weekday cnt]]=0,"Weekend",Append1[[#This Row],[weekday cnt]]=6,"Weekend",Append1[[#This Row],[weekday cnt]]&gt;0,"Weekday")</f>
        <v>Weekend</v>
      </c>
      <c r="K41">
        <v>0</v>
      </c>
      <c r="L41" t="str" cm="1">
        <f t="array" ref="L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41">
        <v>3</v>
      </c>
      <c r="N41">
        <v>0.34</v>
      </c>
      <c r="O41">
        <v>39</v>
      </c>
      <c r="P41">
        <v>40</v>
      </c>
      <c r="Q41">
        <v>0.33329999999999999</v>
      </c>
      <c r="R41">
        <v>0.71</v>
      </c>
      <c r="S41">
        <v>0.16420000000000001</v>
      </c>
      <c r="T41">
        <v>9</v>
      </c>
      <c r="U41">
        <v>67</v>
      </c>
      <c r="V41">
        <v>76</v>
      </c>
    </row>
    <row r="42" spans="1:22" x14ac:dyDescent="0.3">
      <c r="A42">
        <v>41</v>
      </c>
      <c r="B42" s="1">
        <v>40545</v>
      </c>
      <c r="C42">
        <v>1</v>
      </c>
      <c r="D42">
        <v>0</v>
      </c>
      <c r="E42" t="str">
        <f>TEXT(Append1[[#This Row],[dteday]],"MMMM")</f>
        <v>January</v>
      </c>
      <c r="F42">
        <v>1</v>
      </c>
      <c r="G42">
        <v>17</v>
      </c>
      <c r="H42" t="b">
        <v>0</v>
      </c>
      <c r="I42" t="str">
        <f>TEXT(Append1[[#This Row],[dteday]],"DDDD")</f>
        <v>Sunday</v>
      </c>
      <c r="J42" t="str" cm="1">
        <f t="array" ref="J42">_xlfn.IFS(Append1[[#This Row],[weekday cnt]]=0,"Weekend",Append1[[#This Row],[weekday cnt]]=6,"Weekend",Append1[[#This Row],[weekday cnt]]&gt;0,"Weekday")</f>
        <v>Weekend</v>
      </c>
      <c r="K42">
        <v>0</v>
      </c>
      <c r="L42" t="str" cm="1">
        <f t="array" ref="L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2">
        <v>1</v>
      </c>
      <c r="N42">
        <v>0.34</v>
      </c>
      <c r="O42">
        <v>40</v>
      </c>
      <c r="P42">
        <v>41</v>
      </c>
      <c r="Q42">
        <v>0.33329999999999999</v>
      </c>
      <c r="R42">
        <v>0.56999999999999995</v>
      </c>
      <c r="S42">
        <v>0.19400000000000001</v>
      </c>
      <c r="T42">
        <v>7</v>
      </c>
      <c r="U42">
        <v>58</v>
      </c>
      <c r="V42">
        <v>65</v>
      </c>
    </row>
    <row r="43" spans="1:22" x14ac:dyDescent="0.3">
      <c r="A43">
        <v>42</v>
      </c>
      <c r="B43" s="1">
        <v>40545</v>
      </c>
      <c r="C43">
        <v>1</v>
      </c>
      <c r="D43">
        <v>0</v>
      </c>
      <c r="E43" t="str">
        <f>TEXT(Append1[[#This Row],[dteday]],"MMMM")</f>
        <v>January</v>
      </c>
      <c r="F43">
        <v>1</v>
      </c>
      <c r="G43">
        <v>18</v>
      </c>
      <c r="H43" t="b">
        <v>0</v>
      </c>
      <c r="I43" t="str">
        <f>TEXT(Append1[[#This Row],[dteday]],"DDDD")</f>
        <v>Sunday</v>
      </c>
      <c r="J43" t="str" cm="1">
        <f t="array" ref="J43">_xlfn.IFS(Append1[[#This Row],[weekday cnt]]=0,"Weekend",Append1[[#This Row],[weekday cnt]]=6,"Weekend",Append1[[#This Row],[weekday cnt]]&gt;0,"Weekday")</f>
        <v>Weekend</v>
      </c>
      <c r="K43">
        <v>0</v>
      </c>
      <c r="L43" t="str" cm="1">
        <f t="array" ref="L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3">
        <v>2</v>
      </c>
      <c r="N43">
        <v>0.36</v>
      </c>
      <c r="O43">
        <v>41</v>
      </c>
      <c r="P43">
        <v>42</v>
      </c>
      <c r="Q43">
        <v>0.33329999999999999</v>
      </c>
      <c r="R43">
        <v>0.46</v>
      </c>
      <c r="S43">
        <v>0.32840000000000003</v>
      </c>
      <c r="T43">
        <v>10</v>
      </c>
      <c r="U43">
        <v>43</v>
      </c>
      <c r="V43">
        <v>53</v>
      </c>
    </row>
    <row r="44" spans="1:22" x14ac:dyDescent="0.3">
      <c r="A44">
        <v>43</v>
      </c>
      <c r="B44" s="1">
        <v>40545</v>
      </c>
      <c r="C44">
        <v>1</v>
      </c>
      <c r="D44">
        <v>0</v>
      </c>
      <c r="E44" t="str">
        <f>TEXT(Append1[[#This Row],[dteday]],"MMMM")</f>
        <v>January</v>
      </c>
      <c r="F44">
        <v>1</v>
      </c>
      <c r="G44">
        <v>19</v>
      </c>
      <c r="H44" t="b">
        <v>0</v>
      </c>
      <c r="I44" t="str">
        <f>TEXT(Append1[[#This Row],[dteday]],"DDDD")</f>
        <v>Sunday</v>
      </c>
      <c r="J44" t="str" cm="1">
        <f t="array" ref="J44">_xlfn.IFS(Append1[[#This Row],[weekday cnt]]=0,"Weekend",Append1[[#This Row],[weekday cnt]]=6,"Weekend",Append1[[#This Row],[weekday cnt]]&gt;0,"Weekday")</f>
        <v>Weekend</v>
      </c>
      <c r="K44">
        <v>0</v>
      </c>
      <c r="L44" t="str" cm="1">
        <f t="array" ref="L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4">
        <v>1</v>
      </c>
      <c r="N44">
        <v>0.32</v>
      </c>
      <c r="O44">
        <v>42</v>
      </c>
      <c r="P44">
        <v>43</v>
      </c>
      <c r="Q44">
        <v>0.28789999999999999</v>
      </c>
      <c r="R44">
        <v>0.42</v>
      </c>
      <c r="S44">
        <v>0.44779999999999998</v>
      </c>
      <c r="T44">
        <v>1</v>
      </c>
      <c r="U44">
        <v>29</v>
      </c>
      <c r="V44">
        <v>30</v>
      </c>
    </row>
    <row r="45" spans="1:22" x14ac:dyDescent="0.3">
      <c r="A45">
        <v>44</v>
      </c>
      <c r="B45" s="1">
        <v>40545</v>
      </c>
      <c r="C45">
        <v>1</v>
      </c>
      <c r="D45">
        <v>0</v>
      </c>
      <c r="E45" t="str">
        <f>TEXT(Append1[[#This Row],[dteday]],"MMMM")</f>
        <v>January</v>
      </c>
      <c r="F45">
        <v>1</v>
      </c>
      <c r="G45">
        <v>20</v>
      </c>
      <c r="H45" t="b">
        <v>0</v>
      </c>
      <c r="I45" t="str">
        <f>TEXT(Append1[[#This Row],[dteday]],"DDDD")</f>
        <v>Sunday</v>
      </c>
      <c r="J45" t="str" cm="1">
        <f t="array" ref="J45">_xlfn.IFS(Append1[[#This Row],[weekday cnt]]=0,"Weekend",Append1[[#This Row],[weekday cnt]]=6,"Weekend",Append1[[#This Row],[weekday cnt]]&gt;0,"Weekday")</f>
        <v>Weekend</v>
      </c>
      <c r="K45">
        <v>0</v>
      </c>
      <c r="L45" t="str" cm="1">
        <f t="array" ref="L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5">
        <v>1</v>
      </c>
      <c r="N45">
        <v>0.3</v>
      </c>
      <c r="O45">
        <v>43</v>
      </c>
      <c r="P45">
        <v>44</v>
      </c>
      <c r="Q45">
        <v>0.19993</v>
      </c>
      <c r="R45">
        <v>0.39</v>
      </c>
      <c r="S45">
        <v>0.35820000000000002</v>
      </c>
      <c r="T45">
        <v>5</v>
      </c>
      <c r="U45">
        <v>17</v>
      </c>
      <c r="V45">
        <v>22</v>
      </c>
    </row>
    <row r="46" spans="1:22" x14ac:dyDescent="0.3">
      <c r="A46">
        <v>45</v>
      </c>
      <c r="B46" s="1">
        <v>40545</v>
      </c>
      <c r="C46">
        <v>1</v>
      </c>
      <c r="D46">
        <v>0</v>
      </c>
      <c r="E46" t="str">
        <f>TEXT(Append1[[#This Row],[dteday]],"MMMM")</f>
        <v>January</v>
      </c>
      <c r="F46">
        <v>1</v>
      </c>
      <c r="G46">
        <v>21</v>
      </c>
      <c r="H46" t="b">
        <v>0</v>
      </c>
      <c r="I46" t="str">
        <f>TEXT(Append1[[#This Row],[dteday]],"DDDD")</f>
        <v>Sunday</v>
      </c>
      <c r="J46" t="str" cm="1">
        <f t="array" ref="J46">_xlfn.IFS(Append1[[#This Row],[weekday cnt]]=0,"Weekend",Append1[[#This Row],[weekday cnt]]=6,"Weekend",Append1[[#This Row],[weekday cnt]]&gt;0,"Weekday")</f>
        <v>Weekend</v>
      </c>
      <c r="K46">
        <v>0</v>
      </c>
      <c r="L46" t="str" cm="1">
        <f t="array" ref="L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6">
        <v>1</v>
      </c>
      <c r="N46">
        <v>0.26</v>
      </c>
      <c r="O46">
        <v>44</v>
      </c>
      <c r="P46">
        <v>45</v>
      </c>
      <c r="Q46">
        <v>0.2273</v>
      </c>
      <c r="R46">
        <v>0.44</v>
      </c>
      <c r="S46">
        <v>0.32840000000000003</v>
      </c>
      <c r="T46">
        <v>11</v>
      </c>
      <c r="U46">
        <v>20</v>
      </c>
      <c r="V46">
        <v>31</v>
      </c>
    </row>
    <row r="47" spans="1:22" x14ac:dyDescent="0.3">
      <c r="A47">
        <v>46</v>
      </c>
      <c r="B47" s="1">
        <v>40545</v>
      </c>
      <c r="C47">
        <v>1</v>
      </c>
      <c r="D47">
        <v>0</v>
      </c>
      <c r="E47" t="str">
        <f>TEXT(Append1[[#This Row],[dteday]],"MMMM")</f>
        <v>January</v>
      </c>
      <c r="F47">
        <v>1</v>
      </c>
      <c r="G47">
        <v>22</v>
      </c>
      <c r="H47" t="b">
        <v>0</v>
      </c>
      <c r="I47" t="str">
        <f>TEXT(Append1[[#This Row],[dteday]],"DDDD")</f>
        <v>Sunday</v>
      </c>
      <c r="J47" t="str" cm="1">
        <f t="array" ref="J47">_xlfn.IFS(Append1[[#This Row],[weekday cnt]]=0,"Weekend",Append1[[#This Row],[weekday cnt]]=6,"Weekend",Append1[[#This Row],[weekday cnt]]&gt;0,"Weekday")</f>
        <v>Weekend</v>
      </c>
      <c r="K47">
        <v>0</v>
      </c>
      <c r="L47" t="str" cm="1">
        <f t="array" ref="L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">
        <v>1</v>
      </c>
      <c r="N47">
        <v>0.24</v>
      </c>
      <c r="O47">
        <v>45</v>
      </c>
      <c r="P47">
        <v>46</v>
      </c>
      <c r="Q47">
        <v>0.21210000000000001</v>
      </c>
      <c r="R47">
        <v>0.44</v>
      </c>
      <c r="S47">
        <v>0.29849999999999999</v>
      </c>
      <c r="T47">
        <v>0</v>
      </c>
      <c r="U47">
        <v>9</v>
      </c>
      <c r="V47">
        <v>9</v>
      </c>
    </row>
    <row r="48" spans="1:22" x14ac:dyDescent="0.3">
      <c r="A48">
        <v>47</v>
      </c>
      <c r="B48" s="1">
        <v>40545</v>
      </c>
      <c r="C48">
        <v>1</v>
      </c>
      <c r="D48">
        <v>0</v>
      </c>
      <c r="E48" t="str">
        <f>TEXT(Append1[[#This Row],[dteday]],"MMMM")</f>
        <v>January</v>
      </c>
      <c r="F48">
        <v>1</v>
      </c>
      <c r="G48">
        <v>23</v>
      </c>
      <c r="H48" t="b">
        <v>0</v>
      </c>
      <c r="I48" t="str">
        <f>TEXT(Append1[[#This Row],[dteday]],"DDDD")</f>
        <v>Sunday</v>
      </c>
      <c r="J48" t="str" cm="1">
        <f t="array" ref="J48">_xlfn.IFS(Append1[[#This Row],[weekday cnt]]=0,"Weekend",Append1[[#This Row],[weekday cnt]]=6,"Weekend",Append1[[#This Row],[weekday cnt]]&gt;0,"Weekday")</f>
        <v>Weekend</v>
      </c>
      <c r="K48">
        <v>0</v>
      </c>
      <c r="L48" t="str" cm="1">
        <f t="array" ref="L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8">
        <v>1</v>
      </c>
      <c r="N48">
        <v>0.22</v>
      </c>
      <c r="O48">
        <v>46</v>
      </c>
      <c r="P48">
        <v>47</v>
      </c>
      <c r="Q48">
        <v>0.2273</v>
      </c>
      <c r="R48">
        <v>0.47</v>
      </c>
      <c r="S48">
        <v>0.16420000000000001</v>
      </c>
      <c r="T48">
        <v>0</v>
      </c>
      <c r="U48">
        <v>8</v>
      </c>
      <c r="V48">
        <v>8</v>
      </c>
    </row>
    <row r="49" spans="1:22" x14ac:dyDescent="0.3">
      <c r="A49">
        <v>48</v>
      </c>
      <c r="B49" s="1">
        <v>40546</v>
      </c>
      <c r="C49">
        <v>1</v>
      </c>
      <c r="D49">
        <v>0</v>
      </c>
      <c r="E49" t="str">
        <f>TEXT(Append1[[#This Row],[dteday]],"MMMM")</f>
        <v>January</v>
      </c>
      <c r="F49">
        <v>1</v>
      </c>
      <c r="G49">
        <v>0</v>
      </c>
      <c r="H49" t="b">
        <v>0</v>
      </c>
      <c r="I49" t="str">
        <f>TEXT(Append1[[#This Row],[dteday]],"DDDD")</f>
        <v>Monday</v>
      </c>
      <c r="J49" t="str" cm="1">
        <f t="array" ref="J49">_xlfn.IFS(Append1[[#This Row],[weekday cnt]]=0,"Weekend",Append1[[#This Row],[weekday cnt]]=6,"Weekend",Append1[[#This Row],[weekday cnt]]&gt;0,"Weekday")</f>
        <v>Weekday</v>
      </c>
      <c r="K49">
        <v>1</v>
      </c>
      <c r="L49" t="str" cm="1">
        <f t="array" ref="L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9">
        <v>1</v>
      </c>
      <c r="N49">
        <v>0.22</v>
      </c>
      <c r="O49">
        <v>47</v>
      </c>
      <c r="P49">
        <v>48</v>
      </c>
      <c r="Q49">
        <v>0.19700000000000001</v>
      </c>
      <c r="R49">
        <v>0.44</v>
      </c>
      <c r="S49">
        <v>0.35820000000000002</v>
      </c>
      <c r="T49">
        <v>0</v>
      </c>
      <c r="U49">
        <v>5</v>
      </c>
      <c r="V49">
        <v>5</v>
      </c>
    </row>
    <row r="50" spans="1:22" x14ac:dyDescent="0.3">
      <c r="A50">
        <v>49</v>
      </c>
      <c r="B50" s="1">
        <v>40546</v>
      </c>
      <c r="C50">
        <v>1</v>
      </c>
      <c r="D50">
        <v>0</v>
      </c>
      <c r="E50" t="str">
        <f>TEXT(Append1[[#This Row],[dteday]],"MMMM")</f>
        <v>January</v>
      </c>
      <c r="F50">
        <v>1</v>
      </c>
      <c r="G50">
        <v>1</v>
      </c>
      <c r="H50" t="b">
        <v>0</v>
      </c>
      <c r="I50" t="str">
        <f>TEXT(Append1[[#This Row],[dteday]],"DDDD")</f>
        <v>Monday</v>
      </c>
      <c r="J50" t="str" cm="1">
        <f t="array" ref="J50">_xlfn.IFS(Append1[[#This Row],[weekday cnt]]=0,"Weekend",Append1[[#This Row],[weekday cnt]]=6,"Weekend",Append1[[#This Row],[weekday cnt]]&gt;0,"Weekday")</f>
        <v>Weekday</v>
      </c>
      <c r="K50">
        <v>1</v>
      </c>
      <c r="L50" t="str" cm="1">
        <f t="array" ref="L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0">
        <v>1</v>
      </c>
      <c r="N50">
        <v>0.2</v>
      </c>
      <c r="O50">
        <v>48</v>
      </c>
      <c r="P50">
        <v>49</v>
      </c>
      <c r="Q50">
        <v>0.19993</v>
      </c>
      <c r="R50">
        <v>0.44</v>
      </c>
      <c r="S50">
        <v>0.41789999999999999</v>
      </c>
      <c r="T50">
        <v>0</v>
      </c>
      <c r="U50">
        <v>2</v>
      </c>
      <c r="V50">
        <v>2</v>
      </c>
    </row>
    <row r="51" spans="1:22" x14ac:dyDescent="0.3">
      <c r="A51">
        <v>50</v>
      </c>
      <c r="B51" s="1">
        <v>40546</v>
      </c>
      <c r="C51">
        <v>1</v>
      </c>
      <c r="D51">
        <v>0</v>
      </c>
      <c r="E51" t="str">
        <f>TEXT(Append1[[#This Row],[dteday]],"MMMM")</f>
        <v>January</v>
      </c>
      <c r="F51">
        <v>1</v>
      </c>
      <c r="G51">
        <v>4</v>
      </c>
      <c r="H51" t="b">
        <v>0</v>
      </c>
      <c r="I51" t="str">
        <f>TEXT(Append1[[#This Row],[dteday]],"DDDD")</f>
        <v>Monday</v>
      </c>
      <c r="J51" t="str" cm="1">
        <f t="array" ref="J51">_xlfn.IFS(Append1[[#This Row],[weekday cnt]]=0,"Weekend",Append1[[#This Row],[weekday cnt]]=6,"Weekend",Append1[[#This Row],[weekday cnt]]&gt;0,"Weekday")</f>
        <v>Weekday</v>
      </c>
      <c r="K51">
        <v>1</v>
      </c>
      <c r="L51" t="str" cm="1">
        <f t="array" ref="L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">
        <v>1</v>
      </c>
      <c r="N51">
        <v>0.16</v>
      </c>
      <c r="O51">
        <v>49</v>
      </c>
      <c r="P51">
        <v>50</v>
      </c>
      <c r="Q51">
        <v>0.13639999999999999</v>
      </c>
      <c r="R51">
        <v>0.47</v>
      </c>
      <c r="S51">
        <v>0.3881</v>
      </c>
      <c r="T51">
        <v>0</v>
      </c>
      <c r="U51">
        <v>1</v>
      </c>
      <c r="V51">
        <v>1</v>
      </c>
    </row>
    <row r="52" spans="1:22" x14ac:dyDescent="0.3">
      <c r="A52">
        <v>51</v>
      </c>
      <c r="B52" s="1">
        <v>40546</v>
      </c>
      <c r="C52">
        <v>1</v>
      </c>
      <c r="D52">
        <v>0</v>
      </c>
      <c r="E52" t="str">
        <f>TEXT(Append1[[#This Row],[dteday]],"MMMM")</f>
        <v>January</v>
      </c>
      <c r="F52">
        <v>1</v>
      </c>
      <c r="G52">
        <v>5</v>
      </c>
      <c r="H52" t="b">
        <v>0</v>
      </c>
      <c r="I52" t="str">
        <f>TEXT(Append1[[#This Row],[dteday]],"DDDD")</f>
        <v>Monday</v>
      </c>
      <c r="J52" t="str" cm="1">
        <f t="array" ref="J52">_xlfn.IFS(Append1[[#This Row],[weekday cnt]]=0,"Weekend",Append1[[#This Row],[weekday cnt]]=6,"Weekend",Append1[[#This Row],[weekday cnt]]&gt;0,"Weekday")</f>
        <v>Weekday</v>
      </c>
      <c r="K52">
        <v>1</v>
      </c>
      <c r="L52" t="str" cm="1">
        <f t="array" ref="L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">
        <v>1</v>
      </c>
      <c r="N52">
        <v>0.16</v>
      </c>
      <c r="O52">
        <v>50</v>
      </c>
      <c r="P52">
        <v>51</v>
      </c>
      <c r="Q52">
        <v>0.13639999999999999</v>
      </c>
      <c r="R52">
        <v>0.47</v>
      </c>
      <c r="S52">
        <v>0.28360000000000002</v>
      </c>
      <c r="T52">
        <v>0</v>
      </c>
      <c r="U52">
        <v>3</v>
      </c>
      <c r="V52">
        <v>3</v>
      </c>
    </row>
    <row r="53" spans="1:22" x14ac:dyDescent="0.3">
      <c r="A53">
        <v>52</v>
      </c>
      <c r="B53" s="1">
        <v>40546</v>
      </c>
      <c r="C53">
        <v>1</v>
      </c>
      <c r="D53">
        <v>0</v>
      </c>
      <c r="E53" t="str">
        <f>TEXT(Append1[[#This Row],[dteday]],"MMMM")</f>
        <v>January</v>
      </c>
      <c r="F53">
        <v>1</v>
      </c>
      <c r="G53">
        <v>6</v>
      </c>
      <c r="H53" t="b">
        <v>0</v>
      </c>
      <c r="I53" t="str">
        <f>TEXT(Append1[[#This Row],[dteday]],"DDDD")</f>
        <v>Monday</v>
      </c>
      <c r="J53" t="str" cm="1">
        <f t="array" ref="J53">_xlfn.IFS(Append1[[#This Row],[weekday cnt]]=0,"Weekend",Append1[[#This Row],[weekday cnt]]=6,"Weekend",Append1[[#This Row],[weekday cnt]]&gt;0,"Weekday")</f>
        <v>Weekday</v>
      </c>
      <c r="K53">
        <v>1</v>
      </c>
      <c r="L53" t="str" cm="1">
        <f t="array" ref="L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3">
        <v>1</v>
      </c>
      <c r="N53">
        <v>0.14000000000000001</v>
      </c>
      <c r="O53">
        <v>51</v>
      </c>
      <c r="P53">
        <v>52</v>
      </c>
      <c r="Q53">
        <v>0.1061</v>
      </c>
      <c r="R53">
        <v>0.5</v>
      </c>
      <c r="S53">
        <v>0.3881</v>
      </c>
      <c r="T53">
        <v>0</v>
      </c>
      <c r="U53">
        <v>30</v>
      </c>
      <c r="V53">
        <v>30</v>
      </c>
    </row>
    <row r="54" spans="1:22" x14ac:dyDescent="0.3">
      <c r="A54">
        <v>53</v>
      </c>
      <c r="B54" s="1">
        <v>40546</v>
      </c>
      <c r="C54">
        <v>1</v>
      </c>
      <c r="D54">
        <v>0</v>
      </c>
      <c r="E54" t="str">
        <f>TEXT(Append1[[#This Row],[dteday]],"MMMM")</f>
        <v>January</v>
      </c>
      <c r="F54">
        <v>1</v>
      </c>
      <c r="G54">
        <v>7</v>
      </c>
      <c r="H54" t="b">
        <v>0</v>
      </c>
      <c r="I54" t="str">
        <f>TEXT(Append1[[#This Row],[dteday]],"DDDD")</f>
        <v>Monday</v>
      </c>
      <c r="J54" t="str" cm="1">
        <f t="array" ref="J54">_xlfn.IFS(Append1[[#This Row],[weekday cnt]]=0,"Weekend",Append1[[#This Row],[weekday cnt]]=6,"Weekend",Append1[[#This Row],[weekday cnt]]&gt;0,"Weekday")</f>
        <v>Weekday</v>
      </c>
      <c r="K54">
        <v>1</v>
      </c>
      <c r="L54" t="str" cm="1">
        <f t="array" ref="L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4">
        <v>1</v>
      </c>
      <c r="N54">
        <v>0.14000000000000001</v>
      </c>
      <c r="O54">
        <v>52</v>
      </c>
      <c r="P54">
        <v>53</v>
      </c>
      <c r="Q54">
        <v>0.13639999999999999</v>
      </c>
      <c r="R54">
        <v>0.5</v>
      </c>
      <c r="S54">
        <v>0.19400000000000001</v>
      </c>
      <c r="T54">
        <v>1</v>
      </c>
      <c r="U54">
        <v>63</v>
      </c>
      <c r="V54">
        <v>64</v>
      </c>
    </row>
    <row r="55" spans="1:22" x14ac:dyDescent="0.3">
      <c r="A55">
        <v>54</v>
      </c>
      <c r="B55" s="1">
        <v>40546</v>
      </c>
      <c r="C55">
        <v>1</v>
      </c>
      <c r="D55">
        <v>0</v>
      </c>
      <c r="E55" t="str">
        <f>TEXT(Append1[[#This Row],[dteday]],"MMMM")</f>
        <v>January</v>
      </c>
      <c r="F55">
        <v>1</v>
      </c>
      <c r="G55">
        <v>8</v>
      </c>
      <c r="H55" t="b">
        <v>0</v>
      </c>
      <c r="I55" t="str">
        <f>TEXT(Append1[[#This Row],[dteday]],"DDDD")</f>
        <v>Monday</v>
      </c>
      <c r="J55" t="str" cm="1">
        <f t="array" ref="J55">_xlfn.IFS(Append1[[#This Row],[weekday cnt]]=0,"Weekend",Append1[[#This Row],[weekday cnt]]=6,"Weekend",Append1[[#This Row],[weekday cnt]]&gt;0,"Weekday")</f>
        <v>Weekday</v>
      </c>
      <c r="K55">
        <v>1</v>
      </c>
      <c r="L55" t="str" cm="1">
        <f t="array" ref="L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5">
        <v>1</v>
      </c>
      <c r="N55">
        <v>0.14000000000000001</v>
      </c>
      <c r="O55">
        <v>53</v>
      </c>
      <c r="P55">
        <v>54</v>
      </c>
      <c r="Q55">
        <v>0.1212</v>
      </c>
      <c r="R55">
        <v>0.5</v>
      </c>
      <c r="S55">
        <v>0.28360000000000002</v>
      </c>
      <c r="T55">
        <v>1</v>
      </c>
      <c r="U55">
        <v>153</v>
      </c>
      <c r="V55">
        <v>154</v>
      </c>
    </row>
    <row r="56" spans="1:22" x14ac:dyDescent="0.3">
      <c r="A56">
        <v>55</v>
      </c>
      <c r="B56" s="1">
        <v>40546</v>
      </c>
      <c r="C56">
        <v>1</v>
      </c>
      <c r="D56">
        <v>0</v>
      </c>
      <c r="E56" t="str">
        <f>TEXT(Append1[[#This Row],[dteday]],"MMMM")</f>
        <v>January</v>
      </c>
      <c r="F56">
        <v>1</v>
      </c>
      <c r="G56">
        <v>9</v>
      </c>
      <c r="H56" t="b">
        <v>0</v>
      </c>
      <c r="I56" t="str">
        <f>TEXT(Append1[[#This Row],[dteday]],"DDDD")</f>
        <v>Monday</v>
      </c>
      <c r="J56" t="str" cm="1">
        <f t="array" ref="J56">_xlfn.IFS(Append1[[#This Row],[weekday cnt]]=0,"Weekend",Append1[[#This Row],[weekday cnt]]=6,"Weekend",Append1[[#This Row],[weekday cnt]]&gt;0,"Weekday")</f>
        <v>Weekday</v>
      </c>
      <c r="K56">
        <v>1</v>
      </c>
      <c r="L56" t="str" cm="1">
        <f t="array" ref="L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6">
        <v>1</v>
      </c>
      <c r="N56">
        <v>0.16</v>
      </c>
      <c r="O56">
        <v>54</v>
      </c>
      <c r="P56">
        <v>55</v>
      </c>
      <c r="Q56">
        <v>0.13639999999999999</v>
      </c>
      <c r="R56">
        <v>0.43</v>
      </c>
      <c r="S56">
        <v>0.3881</v>
      </c>
      <c r="T56">
        <v>7</v>
      </c>
      <c r="U56">
        <v>81</v>
      </c>
      <c r="V56">
        <v>88</v>
      </c>
    </row>
    <row r="57" spans="1:22" x14ac:dyDescent="0.3">
      <c r="A57">
        <v>56</v>
      </c>
      <c r="B57" s="1">
        <v>40546</v>
      </c>
      <c r="C57">
        <v>1</v>
      </c>
      <c r="D57">
        <v>0</v>
      </c>
      <c r="E57" t="str">
        <f>TEXT(Append1[[#This Row],[dteday]],"MMMM")</f>
        <v>January</v>
      </c>
      <c r="F57">
        <v>1</v>
      </c>
      <c r="G57">
        <v>10</v>
      </c>
      <c r="H57" t="b">
        <v>0</v>
      </c>
      <c r="I57" t="str">
        <f>TEXT(Append1[[#This Row],[dteday]],"DDDD")</f>
        <v>Monday</v>
      </c>
      <c r="J57" t="str" cm="1">
        <f t="array" ref="J57">_xlfn.IFS(Append1[[#This Row],[weekday cnt]]=0,"Weekend",Append1[[#This Row],[weekday cnt]]=6,"Weekend",Append1[[#This Row],[weekday cnt]]&gt;0,"Weekday")</f>
        <v>Weekday</v>
      </c>
      <c r="K57">
        <v>1</v>
      </c>
      <c r="L57" t="str" cm="1">
        <f t="array" ref="L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7">
        <v>1</v>
      </c>
      <c r="N57">
        <v>0.18</v>
      </c>
      <c r="O57">
        <v>55</v>
      </c>
      <c r="P57">
        <v>56</v>
      </c>
      <c r="Q57">
        <v>0.16669999999999999</v>
      </c>
      <c r="R57">
        <v>0.43</v>
      </c>
      <c r="S57">
        <v>0.25369999999999998</v>
      </c>
      <c r="T57">
        <v>11</v>
      </c>
      <c r="U57">
        <v>33</v>
      </c>
      <c r="V57">
        <v>44</v>
      </c>
    </row>
    <row r="58" spans="1:22" x14ac:dyDescent="0.3">
      <c r="A58">
        <v>57</v>
      </c>
      <c r="B58" s="1">
        <v>40546</v>
      </c>
      <c r="C58">
        <v>1</v>
      </c>
      <c r="D58">
        <v>0</v>
      </c>
      <c r="E58" t="str">
        <f>TEXT(Append1[[#This Row],[dteday]],"MMMM")</f>
        <v>January</v>
      </c>
      <c r="F58">
        <v>1</v>
      </c>
      <c r="G58">
        <v>11</v>
      </c>
      <c r="H58" t="b">
        <v>0</v>
      </c>
      <c r="I58" t="str">
        <f>TEXT(Append1[[#This Row],[dteday]],"DDDD")</f>
        <v>Monday</v>
      </c>
      <c r="J58" t="str" cm="1">
        <f t="array" ref="J58">_xlfn.IFS(Append1[[#This Row],[weekday cnt]]=0,"Weekend",Append1[[#This Row],[weekday cnt]]=6,"Weekend",Append1[[#This Row],[weekday cnt]]&gt;0,"Weekday")</f>
        <v>Weekday</v>
      </c>
      <c r="K58">
        <v>1</v>
      </c>
      <c r="L58" t="str" cm="1">
        <f t="array" ref="L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8">
        <v>1</v>
      </c>
      <c r="N58">
        <v>0.2</v>
      </c>
      <c r="O58">
        <v>56</v>
      </c>
      <c r="P58">
        <v>57</v>
      </c>
      <c r="Q58">
        <v>0.18179999999999999</v>
      </c>
      <c r="R58">
        <v>0.4</v>
      </c>
      <c r="S58">
        <v>0.32840000000000003</v>
      </c>
      <c r="T58">
        <v>10</v>
      </c>
      <c r="U58">
        <v>41</v>
      </c>
      <c r="V58">
        <v>51</v>
      </c>
    </row>
    <row r="59" spans="1:22" x14ac:dyDescent="0.3">
      <c r="A59">
        <v>58</v>
      </c>
      <c r="B59" s="1">
        <v>40546</v>
      </c>
      <c r="C59">
        <v>1</v>
      </c>
      <c r="D59">
        <v>0</v>
      </c>
      <c r="E59" t="str">
        <f>TEXT(Append1[[#This Row],[dteday]],"MMMM")</f>
        <v>January</v>
      </c>
      <c r="F59">
        <v>1</v>
      </c>
      <c r="G59">
        <v>12</v>
      </c>
      <c r="H59" t="b">
        <v>0</v>
      </c>
      <c r="I59" t="str">
        <f>TEXT(Append1[[#This Row],[dteday]],"DDDD")</f>
        <v>Monday</v>
      </c>
      <c r="J59" t="str" cm="1">
        <f t="array" ref="J59">_xlfn.IFS(Append1[[#This Row],[weekday cnt]]=0,"Weekend",Append1[[#This Row],[weekday cnt]]=6,"Weekend",Append1[[#This Row],[weekday cnt]]&gt;0,"Weekday")</f>
        <v>Weekday</v>
      </c>
      <c r="K59">
        <v>1</v>
      </c>
      <c r="L59" t="str" cm="1">
        <f t="array" ref="L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9">
        <v>1</v>
      </c>
      <c r="N59">
        <v>0.22</v>
      </c>
      <c r="O59">
        <v>57</v>
      </c>
      <c r="P59">
        <v>58</v>
      </c>
      <c r="Q59">
        <v>0.21210000000000001</v>
      </c>
      <c r="R59">
        <v>0.35</v>
      </c>
      <c r="S59">
        <v>0.29849999999999999</v>
      </c>
      <c r="T59">
        <v>13</v>
      </c>
      <c r="U59">
        <v>48</v>
      </c>
      <c r="V59">
        <v>61</v>
      </c>
    </row>
    <row r="60" spans="1:22" x14ac:dyDescent="0.3">
      <c r="A60">
        <v>59</v>
      </c>
      <c r="B60" s="1">
        <v>40546</v>
      </c>
      <c r="C60">
        <v>1</v>
      </c>
      <c r="D60">
        <v>0</v>
      </c>
      <c r="E60" t="str">
        <f>TEXT(Append1[[#This Row],[dteday]],"MMMM")</f>
        <v>January</v>
      </c>
      <c r="F60">
        <v>1</v>
      </c>
      <c r="G60">
        <v>13</v>
      </c>
      <c r="H60" t="b">
        <v>0</v>
      </c>
      <c r="I60" t="str">
        <f>TEXT(Append1[[#This Row],[dteday]],"DDDD")</f>
        <v>Monday</v>
      </c>
      <c r="J60" t="str" cm="1">
        <f t="array" ref="J60">_xlfn.IFS(Append1[[#This Row],[weekday cnt]]=0,"Weekend",Append1[[#This Row],[weekday cnt]]=6,"Weekend",Append1[[#This Row],[weekday cnt]]&gt;0,"Weekday")</f>
        <v>Weekday</v>
      </c>
      <c r="K60">
        <v>1</v>
      </c>
      <c r="L60" t="str" cm="1">
        <f t="array" ref="L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0">
        <v>1</v>
      </c>
      <c r="N60">
        <v>0.24</v>
      </c>
      <c r="O60">
        <v>58</v>
      </c>
      <c r="P60">
        <v>59</v>
      </c>
      <c r="Q60">
        <v>0.19993</v>
      </c>
      <c r="R60">
        <v>0.35</v>
      </c>
      <c r="S60">
        <v>0.28360000000000002</v>
      </c>
      <c r="T60">
        <v>8</v>
      </c>
      <c r="U60">
        <v>53</v>
      </c>
      <c r="V60">
        <v>61</v>
      </c>
    </row>
    <row r="61" spans="1:22" x14ac:dyDescent="0.3">
      <c r="A61">
        <v>60</v>
      </c>
      <c r="B61" s="1">
        <v>40546</v>
      </c>
      <c r="C61">
        <v>1</v>
      </c>
      <c r="D61">
        <v>0</v>
      </c>
      <c r="E61" t="str">
        <f>TEXT(Append1[[#This Row],[dteday]],"MMMM")</f>
        <v>January</v>
      </c>
      <c r="F61">
        <v>1</v>
      </c>
      <c r="G61">
        <v>14</v>
      </c>
      <c r="H61" t="b">
        <v>0</v>
      </c>
      <c r="I61" t="str">
        <f>TEXT(Append1[[#This Row],[dteday]],"DDDD")</f>
        <v>Monday</v>
      </c>
      <c r="J61" t="str" cm="1">
        <f t="array" ref="J61">_xlfn.IFS(Append1[[#This Row],[weekday cnt]]=0,"Weekend",Append1[[#This Row],[weekday cnt]]=6,"Weekend",Append1[[#This Row],[weekday cnt]]&gt;0,"Weekday")</f>
        <v>Weekday</v>
      </c>
      <c r="K61">
        <v>1</v>
      </c>
      <c r="L61" t="str" cm="1">
        <f t="array" ref="L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1">
        <v>1</v>
      </c>
      <c r="N61">
        <v>0.26</v>
      </c>
      <c r="O61">
        <v>59</v>
      </c>
      <c r="P61">
        <v>60</v>
      </c>
      <c r="Q61">
        <v>0.2424</v>
      </c>
      <c r="R61">
        <v>0.3</v>
      </c>
      <c r="S61">
        <v>0.28360000000000002</v>
      </c>
      <c r="T61">
        <v>11</v>
      </c>
      <c r="U61">
        <v>66</v>
      </c>
      <c r="V61">
        <v>77</v>
      </c>
    </row>
    <row r="62" spans="1:22" x14ac:dyDescent="0.3">
      <c r="A62">
        <v>61</v>
      </c>
      <c r="B62" s="1">
        <v>40546</v>
      </c>
      <c r="C62">
        <v>1</v>
      </c>
      <c r="D62">
        <v>0</v>
      </c>
      <c r="E62" t="str">
        <f>TEXT(Append1[[#This Row],[dteday]],"MMMM")</f>
        <v>January</v>
      </c>
      <c r="F62">
        <v>1</v>
      </c>
      <c r="G62">
        <v>15</v>
      </c>
      <c r="H62" t="b">
        <v>0</v>
      </c>
      <c r="I62" t="str">
        <f>TEXT(Append1[[#This Row],[dteday]],"DDDD")</f>
        <v>Monday</v>
      </c>
      <c r="J62" t="str" cm="1">
        <f t="array" ref="J62">_xlfn.IFS(Append1[[#This Row],[weekday cnt]]=0,"Weekend",Append1[[#This Row],[weekday cnt]]=6,"Weekend",Append1[[#This Row],[weekday cnt]]&gt;0,"Weekday")</f>
        <v>Weekday</v>
      </c>
      <c r="K62">
        <v>1</v>
      </c>
      <c r="L62" t="str" cm="1">
        <f t="array" ref="L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">
        <v>1</v>
      </c>
      <c r="N62">
        <v>0.26</v>
      </c>
      <c r="O62">
        <v>60</v>
      </c>
      <c r="P62">
        <v>61</v>
      </c>
      <c r="Q62">
        <v>0.2424</v>
      </c>
      <c r="R62">
        <v>0.3</v>
      </c>
      <c r="S62">
        <v>0.25369999999999998</v>
      </c>
      <c r="T62">
        <v>14</v>
      </c>
      <c r="U62">
        <v>58</v>
      </c>
      <c r="V62">
        <v>72</v>
      </c>
    </row>
    <row r="63" spans="1:22" x14ac:dyDescent="0.3">
      <c r="A63">
        <v>62</v>
      </c>
      <c r="B63" s="1">
        <v>40546</v>
      </c>
      <c r="C63">
        <v>1</v>
      </c>
      <c r="D63">
        <v>0</v>
      </c>
      <c r="E63" t="str">
        <f>TEXT(Append1[[#This Row],[dteday]],"MMMM")</f>
        <v>January</v>
      </c>
      <c r="F63">
        <v>1</v>
      </c>
      <c r="G63">
        <v>16</v>
      </c>
      <c r="H63" t="b">
        <v>0</v>
      </c>
      <c r="I63" t="str">
        <f>TEXT(Append1[[#This Row],[dteday]],"DDDD")</f>
        <v>Monday</v>
      </c>
      <c r="J63" t="str" cm="1">
        <f t="array" ref="J63">_xlfn.IFS(Append1[[#This Row],[weekday cnt]]=0,"Weekend",Append1[[#This Row],[weekday cnt]]=6,"Weekend",Append1[[#This Row],[weekday cnt]]&gt;0,"Weekday")</f>
        <v>Weekday</v>
      </c>
      <c r="K63">
        <v>1</v>
      </c>
      <c r="L63" t="str" cm="1">
        <f t="array" ref="L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3">
        <v>1</v>
      </c>
      <c r="N63">
        <v>0.26</v>
      </c>
      <c r="O63">
        <v>61</v>
      </c>
      <c r="P63">
        <v>62</v>
      </c>
      <c r="Q63">
        <v>0.2424</v>
      </c>
      <c r="R63">
        <v>0.3</v>
      </c>
      <c r="S63">
        <v>0.25369999999999998</v>
      </c>
      <c r="T63">
        <v>9</v>
      </c>
      <c r="U63">
        <v>67</v>
      </c>
      <c r="V63">
        <v>76</v>
      </c>
    </row>
    <row r="64" spans="1:22" x14ac:dyDescent="0.3">
      <c r="A64">
        <v>63</v>
      </c>
      <c r="B64" s="1">
        <v>40546</v>
      </c>
      <c r="C64">
        <v>1</v>
      </c>
      <c r="D64">
        <v>0</v>
      </c>
      <c r="E64" t="str">
        <f>TEXT(Append1[[#This Row],[dteday]],"MMMM")</f>
        <v>January</v>
      </c>
      <c r="F64">
        <v>1</v>
      </c>
      <c r="G64">
        <v>17</v>
      </c>
      <c r="H64" t="b">
        <v>0</v>
      </c>
      <c r="I64" t="str">
        <f>TEXT(Append1[[#This Row],[dteday]],"DDDD")</f>
        <v>Monday</v>
      </c>
      <c r="J64" t="str" cm="1">
        <f t="array" ref="J64">_xlfn.IFS(Append1[[#This Row],[weekday cnt]]=0,"Weekend",Append1[[#This Row],[weekday cnt]]=6,"Weekend",Append1[[#This Row],[weekday cnt]]&gt;0,"Weekday")</f>
        <v>Weekday</v>
      </c>
      <c r="K64">
        <v>1</v>
      </c>
      <c r="L64" t="str" cm="1">
        <f t="array" ref="L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">
        <v>1</v>
      </c>
      <c r="N64">
        <v>0.24</v>
      </c>
      <c r="O64">
        <v>62</v>
      </c>
      <c r="P64">
        <v>63</v>
      </c>
      <c r="Q64">
        <v>0.2273</v>
      </c>
      <c r="R64">
        <v>0.3</v>
      </c>
      <c r="S64">
        <v>0.22389999999999999</v>
      </c>
      <c r="T64">
        <v>11</v>
      </c>
      <c r="U64">
        <v>146</v>
      </c>
      <c r="V64">
        <v>157</v>
      </c>
    </row>
    <row r="65" spans="1:22" x14ac:dyDescent="0.3">
      <c r="A65">
        <v>64</v>
      </c>
      <c r="B65" s="1">
        <v>40546</v>
      </c>
      <c r="C65">
        <v>1</v>
      </c>
      <c r="D65">
        <v>0</v>
      </c>
      <c r="E65" t="str">
        <f>TEXT(Append1[[#This Row],[dteday]],"MMMM")</f>
        <v>January</v>
      </c>
      <c r="F65">
        <v>1</v>
      </c>
      <c r="G65">
        <v>18</v>
      </c>
      <c r="H65" t="b">
        <v>0</v>
      </c>
      <c r="I65" t="str">
        <f>TEXT(Append1[[#This Row],[dteday]],"DDDD")</f>
        <v>Monday</v>
      </c>
      <c r="J65" t="str" cm="1">
        <f t="array" ref="J65">_xlfn.IFS(Append1[[#This Row],[weekday cnt]]=0,"Weekend",Append1[[#This Row],[weekday cnt]]=6,"Weekend",Append1[[#This Row],[weekday cnt]]&gt;0,"Weekday")</f>
        <v>Weekday</v>
      </c>
      <c r="K65">
        <v>1</v>
      </c>
      <c r="L65" t="str" cm="1">
        <f t="array" ref="L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5">
        <v>1</v>
      </c>
      <c r="N65">
        <v>0.24</v>
      </c>
      <c r="O65">
        <v>63</v>
      </c>
      <c r="P65">
        <v>64</v>
      </c>
      <c r="Q65">
        <v>0.2576</v>
      </c>
      <c r="R65">
        <v>0.32</v>
      </c>
      <c r="S65">
        <v>0.1045</v>
      </c>
      <c r="T65">
        <v>9</v>
      </c>
      <c r="U65">
        <v>148</v>
      </c>
      <c r="V65">
        <v>157</v>
      </c>
    </row>
    <row r="66" spans="1:22" x14ac:dyDescent="0.3">
      <c r="A66">
        <v>65</v>
      </c>
      <c r="B66" s="1">
        <v>40546</v>
      </c>
      <c r="C66">
        <v>1</v>
      </c>
      <c r="D66">
        <v>0</v>
      </c>
      <c r="E66" t="str">
        <f>TEXT(Append1[[#This Row],[dteday]],"MMMM")</f>
        <v>January</v>
      </c>
      <c r="F66">
        <v>1</v>
      </c>
      <c r="G66">
        <v>19</v>
      </c>
      <c r="H66" t="b">
        <v>0</v>
      </c>
      <c r="I66" t="str">
        <f>TEXT(Append1[[#This Row],[dteday]],"DDDD")</f>
        <v>Monday</v>
      </c>
      <c r="J66" t="str" cm="1">
        <f t="array" ref="J66">_xlfn.IFS(Append1[[#This Row],[weekday cnt]]=0,"Weekend",Append1[[#This Row],[weekday cnt]]=6,"Weekend",Append1[[#This Row],[weekday cnt]]&gt;0,"Weekday")</f>
        <v>Weekday</v>
      </c>
      <c r="K66">
        <v>1</v>
      </c>
      <c r="L66" t="str" cm="1">
        <f t="array" ref="L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6">
        <v>1</v>
      </c>
      <c r="N66">
        <v>0.2</v>
      </c>
      <c r="O66">
        <v>64</v>
      </c>
      <c r="P66">
        <v>65</v>
      </c>
      <c r="Q66">
        <v>0.2576</v>
      </c>
      <c r="R66">
        <v>0.47</v>
      </c>
      <c r="S66">
        <v>0</v>
      </c>
      <c r="T66">
        <v>8</v>
      </c>
      <c r="U66">
        <v>102</v>
      </c>
      <c r="V66">
        <v>110</v>
      </c>
    </row>
    <row r="67" spans="1:22" x14ac:dyDescent="0.3">
      <c r="A67">
        <v>66</v>
      </c>
      <c r="B67" s="1">
        <v>40546</v>
      </c>
      <c r="C67">
        <v>1</v>
      </c>
      <c r="D67">
        <v>0</v>
      </c>
      <c r="E67" t="str">
        <f>TEXT(Append1[[#This Row],[dteday]],"MMMM")</f>
        <v>January</v>
      </c>
      <c r="F67">
        <v>1</v>
      </c>
      <c r="G67">
        <v>20</v>
      </c>
      <c r="H67" t="b">
        <v>0</v>
      </c>
      <c r="I67" t="str">
        <f>TEXT(Append1[[#This Row],[dteday]],"DDDD")</f>
        <v>Monday</v>
      </c>
      <c r="J67" t="str" cm="1">
        <f t="array" ref="J67">_xlfn.IFS(Append1[[#This Row],[weekday cnt]]=0,"Weekend",Append1[[#This Row],[weekday cnt]]=6,"Weekend",Append1[[#This Row],[weekday cnt]]&gt;0,"Weekday")</f>
        <v>Weekday</v>
      </c>
      <c r="K67">
        <v>1</v>
      </c>
      <c r="L67" t="str" cm="1">
        <f t="array" ref="L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7">
        <v>1</v>
      </c>
      <c r="N67">
        <v>0.2</v>
      </c>
      <c r="O67">
        <v>65</v>
      </c>
      <c r="P67">
        <v>66</v>
      </c>
      <c r="Q67">
        <v>0.19993</v>
      </c>
      <c r="R67">
        <v>0.47</v>
      </c>
      <c r="S67">
        <v>0.1045</v>
      </c>
      <c r="T67">
        <v>3</v>
      </c>
      <c r="U67">
        <v>49</v>
      </c>
      <c r="V67">
        <v>52</v>
      </c>
    </row>
    <row r="68" spans="1:22" x14ac:dyDescent="0.3">
      <c r="A68">
        <v>67</v>
      </c>
      <c r="B68" s="1">
        <v>40546</v>
      </c>
      <c r="C68">
        <v>1</v>
      </c>
      <c r="D68">
        <v>0</v>
      </c>
      <c r="E68" t="str">
        <f>TEXT(Append1[[#This Row],[dteday]],"MMMM")</f>
        <v>January</v>
      </c>
      <c r="F68">
        <v>1</v>
      </c>
      <c r="G68">
        <v>21</v>
      </c>
      <c r="H68" t="b">
        <v>0</v>
      </c>
      <c r="I68" t="str">
        <f>TEXT(Append1[[#This Row],[dteday]],"DDDD")</f>
        <v>Monday</v>
      </c>
      <c r="J68" t="str" cm="1">
        <f t="array" ref="J68">_xlfn.IFS(Append1[[#This Row],[weekday cnt]]=0,"Weekend",Append1[[#This Row],[weekday cnt]]=6,"Weekend",Append1[[#This Row],[weekday cnt]]&gt;0,"Weekday")</f>
        <v>Weekday</v>
      </c>
      <c r="K68">
        <v>1</v>
      </c>
      <c r="L68" t="str" cm="1">
        <f t="array" ref="L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8">
        <v>1</v>
      </c>
      <c r="N68">
        <v>0.18</v>
      </c>
      <c r="O68">
        <v>66</v>
      </c>
      <c r="P68">
        <v>67</v>
      </c>
      <c r="Q68">
        <v>0.19700000000000001</v>
      </c>
      <c r="R68">
        <v>0.64</v>
      </c>
      <c r="S68">
        <v>0.1343</v>
      </c>
      <c r="T68">
        <v>3</v>
      </c>
      <c r="U68">
        <v>49</v>
      </c>
      <c r="V68">
        <v>52</v>
      </c>
    </row>
    <row r="69" spans="1:22" x14ac:dyDescent="0.3">
      <c r="A69">
        <v>68</v>
      </c>
      <c r="B69" s="1">
        <v>40546</v>
      </c>
      <c r="C69">
        <v>1</v>
      </c>
      <c r="D69">
        <v>0</v>
      </c>
      <c r="E69" t="str">
        <f>TEXT(Append1[[#This Row],[dteday]],"MMMM")</f>
        <v>January</v>
      </c>
      <c r="F69">
        <v>1</v>
      </c>
      <c r="G69">
        <v>22</v>
      </c>
      <c r="H69" t="b">
        <v>0</v>
      </c>
      <c r="I69" t="str">
        <f>TEXT(Append1[[#This Row],[dteday]],"DDDD")</f>
        <v>Monday</v>
      </c>
      <c r="J69" t="str" cm="1">
        <f t="array" ref="J69">_xlfn.IFS(Append1[[#This Row],[weekday cnt]]=0,"Weekend",Append1[[#This Row],[weekday cnt]]=6,"Weekend",Append1[[#This Row],[weekday cnt]]&gt;0,"Weekday")</f>
        <v>Weekday</v>
      </c>
      <c r="K69">
        <v>1</v>
      </c>
      <c r="L69" t="str" cm="1">
        <f t="array" ref="L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9">
        <v>1</v>
      </c>
      <c r="N69">
        <v>0.14000000000000001</v>
      </c>
      <c r="O69">
        <v>67</v>
      </c>
      <c r="P69">
        <v>68</v>
      </c>
      <c r="Q69">
        <v>0.1515</v>
      </c>
      <c r="R69">
        <v>0.69</v>
      </c>
      <c r="S69">
        <v>0.1343</v>
      </c>
      <c r="T69">
        <v>0</v>
      </c>
      <c r="U69">
        <v>20</v>
      </c>
      <c r="V69">
        <v>20</v>
      </c>
    </row>
    <row r="70" spans="1:22" x14ac:dyDescent="0.3">
      <c r="A70">
        <v>69</v>
      </c>
      <c r="B70" s="1">
        <v>40546</v>
      </c>
      <c r="C70">
        <v>1</v>
      </c>
      <c r="D70">
        <v>0</v>
      </c>
      <c r="E70" t="str">
        <f>TEXT(Append1[[#This Row],[dteday]],"MMMM")</f>
        <v>January</v>
      </c>
      <c r="F70">
        <v>1</v>
      </c>
      <c r="G70">
        <v>23</v>
      </c>
      <c r="H70" t="b">
        <v>0</v>
      </c>
      <c r="I70" t="str">
        <f>TEXT(Append1[[#This Row],[dteday]],"DDDD")</f>
        <v>Monday</v>
      </c>
      <c r="J70" t="str" cm="1">
        <f t="array" ref="J70">_xlfn.IFS(Append1[[#This Row],[weekday cnt]]=0,"Weekend",Append1[[#This Row],[weekday cnt]]=6,"Weekend",Append1[[#This Row],[weekday cnt]]&gt;0,"Weekday")</f>
        <v>Weekday</v>
      </c>
      <c r="K70">
        <v>1</v>
      </c>
      <c r="L70" t="str" cm="1">
        <f t="array" ref="L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0">
        <v>1</v>
      </c>
      <c r="N70">
        <v>0.18</v>
      </c>
      <c r="O70">
        <v>68</v>
      </c>
      <c r="P70">
        <v>69</v>
      </c>
      <c r="Q70">
        <v>0.21210000000000001</v>
      </c>
      <c r="R70">
        <v>0.55000000000000004</v>
      </c>
      <c r="S70">
        <v>0.1045</v>
      </c>
      <c r="T70">
        <v>1</v>
      </c>
      <c r="U70">
        <v>11</v>
      </c>
      <c r="V70">
        <v>12</v>
      </c>
    </row>
    <row r="71" spans="1:22" x14ac:dyDescent="0.3">
      <c r="A71">
        <v>70</v>
      </c>
      <c r="B71" s="1">
        <v>40547</v>
      </c>
      <c r="C71">
        <v>1</v>
      </c>
      <c r="D71">
        <v>0</v>
      </c>
      <c r="E71" t="str">
        <f>TEXT(Append1[[#This Row],[dteday]],"MMMM")</f>
        <v>January</v>
      </c>
      <c r="F71">
        <v>1</v>
      </c>
      <c r="G71">
        <v>0</v>
      </c>
      <c r="H71" t="b">
        <v>0</v>
      </c>
      <c r="I71" t="str">
        <f>TEXT(Append1[[#This Row],[dteday]],"DDDD")</f>
        <v>Tuesday</v>
      </c>
      <c r="J71" t="str" cm="1">
        <f t="array" ref="J71">_xlfn.IFS(Append1[[#This Row],[weekday cnt]]=0,"Weekend",Append1[[#This Row],[weekday cnt]]=6,"Weekend",Append1[[#This Row],[weekday cnt]]&gt;0,"Weekday")</f>
        <v>Weekday</v>
      </c>
      <c r="K71">
        <v>2</v>
      </c>
      <c r="L71" t="str" cm="1">
        <f t="array" ref="L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1">
        <v>1</v>
      </c>
      <c r="N71">
        <v>0.16</v>
      </c>
      <c r="O71">
        <v>69</v>
      </c>
      <c r="P71">
        <v>70</v>
      </c>
      <c r="Q71">
        <v>0.19993</v>
      </c>
      <c r="R71">
        <v>0.55000000000000004</v>
      </c>
      <c r="S71">
        <v>0.1045</v>
      </c>
      <c r="T71">
        <v>0</v>
      </c>
      <c r="U71">
        <v>5</v>
      </c>
      <c r="V71">
        <v>5</v>
      </c>
    </row>
    <row r="72" spans="1:22" x14ac:dyDescent="0.3">
      <c r="A72">
        <v>71</v>
      </c>
      <c r="B72" s="1">
        <v>40547</v>
      </c>
      <c r="C72">
        <v>1</v>
      </c>
      <c r="D72">
        <v>0</v>
      </c>
      <c r="E72" t="str">
        <f>TEXT(Append1[[#This Row],[dteday]],"MMMM")</f>
        <v>January</v>
      </c>
      <c r="F72">
        <v>1</v>
      </c>
      <c r="G72">
        <v>1</v>
      </c>
      <c r="H72" t="b">
        <v>0</v>
      </c>
      <c r="I72" t="str">
        <f>TEXT(Append1[[#This Row],[dteday]],"DDDD")</f>
        <v>Tuesday</v>
      </c>
      <c r="J72" t="str" cm="1">
        <f t="array" ref="J72">_xlfn.IFS(Append1[[#This Row],[weekday cnt]]=0,"Weekend",Append1[[#This Row],[weekday cnt]]=6,"Weekend",Append1[[#This Row],[weekday cnt]]&gt;0,"Weekday")</f>
        <v>Weekday</v>
      </c>
      <c r="K72">
        <v>2</v>
      </c>
      <c r="L72" t="str" cm="1">
        <f t="array" ref="L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2">
        <v>1</v>
      </c>
      <c r="N72">
        <v>0.16</v>
      </c>
      <c r="O72">
        <v>70</v>
      </c>
      <c r="P72">
        <v>71</v>
      </c>
      <c r="Q72">
        <v>0.18179999999999999</v>
      </c>
      <c r="R72">
        <v>0.59</v>
      </c>
      <c r="S72">
        <v>0.1045</v>
      </c>
      <c r="T72">
        <v>0</v>
      </c>
      <c r="U72">
        <v>2</v>
      </c>
      <c r="V72">
        <v>2</v>
      </c>
    </row>
    <row r="73" spans="1:22" x14ac:dyDescent="0.3">
      <c r="A73">
        <v>72</v>
      </c>
      <c r="B73" s="1">
        <v>40547</v>
      </c>
      <c r="C73">
        <v>1</v>
      </c>
      <c r="D73">
        <v>0</v>
      </c>
      <c r="E73" t="str">
        <f>TEXT(Append1[[#This Row],[dteday]],"MMMM")</f>
        <v>January</v>
      </c>
      <c r="F73">
        <v>1</v>
      </c>
      <c r="G73">
        <v>2</v>
      </c>
      <c r="H73" t="b">
        <v>0</v>
      </c>
      <c r="I73" t="str">
        <f>TEXT(Append1[[#This Row],[dteday]],"DDDD")</f>
        <v>Tuesday</v>
      </c>
      <c r="J73" t="str" cm="1">
        <f t="array" ref="J73">_xlfn.IFS(Append1[[#This Row],[weekday cnt]]=0,"Weekend",Append1[[#This Row],[weekday cnt]]=6,"Weekend",Append1[[#This Row],[weekday cnt]]&gt;0,"Weekday")</f>
        <v>Weekday</v>
      </c>
      <c r="K73">
        <v>2</v>
      </c>
      <c r="L73" t="str" cm="1">
        <f t="array" ref="L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">
        <v>1</v>
      </c>
      <c r="N73">
        <v>0.14000000000000001</v>
      </c>
      <c r="O73">
        <v>71</v>
      </c>
      <c r="P73">
        <v>72</v>
      </c>
      <c r="Q73">
        <v>0.1515</v>
      </c>
      <c r="R73">
        <v>0.63</v>
      </c>
      <c r="S73">
        <v>0.1343</v>
      </c>
      <c r="T73">
        <v>0</v>
      </c>
      <c r="U73">
        <v>1</v>
      </c>
      <c r="V73">
        <v>1</v>
      </c>
    </row>
    <row r="74" spans="1:22" x14ac:dyDescent="0.3">
      <c r="A74">
        <v>73</v>
      </c>
      <c r="B74" s="1">
        <v>40547</v>
      </c>
      <c r="C74">
        <v>1</v>
      </c>
      <c r="D74">
        <v>0</v>
      </c>
      <c r="E74" t="str">
        <f>TEXT(Append1[[#This Row],[dteday]],"MMMM")</f>
        <v>January</v>
      </c>
      <c r="F74">
        <v>1</v>
      </c>
      <c r="G74">
        <v>4</v>
      </c>
      <c r="H74" t="b">
        <v>0</v>
      </c>
      <c r="I74" t="str">
        <f>TEXT(Append1[[#This Row],[dteday]],"DDDD")</f>
        <v>Tuesday</v>
      </c>
      <c r="J74" t="str" cm="1">
        <f t="array" ref="J74">_xlfn.IFS(Append1[[#This Row],[weekday cnt]]=0,"Weekend",Append1[[#This Row],[weekday cnt]]=6,"Weekend",Append1[[#This Row],[weekday cnt]]&gt;0,"Weekday")</f>
        <v>Weekday</v>
      </c>
      <c r="K74">
        <v>2</v>
      </c>
      <c r="L74" t="str" cm="1">
        <f t="array" ref="L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">
        <v>1</v>
      </c>
      <c r="N74">
        <v>0.14000000000000001</v>
      </c>
      <c r="O74">
        <v>72</v>
      </c>
      <c r="P74">
        <v>73</v>
      </c>
      <c r="Q74">
        <v>0.18179999999999999</v>
      </c>
      <c r="R74">
        <v>0.63</v>
      </c>
      <c r="S74">
        <v>8.9599999999999999E-2</v>
      </c>
      <c r="T74">
        <v>0</v>
      </c>
      <c r="U74">
        <v>2</v>
      </c>
      <c r="V74">
        <v>2</v>
      </c>
    </row>
    <row r="75" spans="1:22" x14ac:dyDescent="0.3">
      <c r="A75">
        <v>74</v>
      </c>
      <c r="B75" s="1">
        <v>40547</v>
      </c>
      <c r="C75">
        <v>1</v>
      </c>
      <c r="D75">
        <v>0</v>
      </c>
      <c r="E75" t="str">
        <f>TEXT(Append1[[#This Row],[dteday]],"MMMM")</f>
        <v>January</v>
      </c>
      <c r="F75">
        <v>1</v>
      </c>
      <c r="G75">
        <v>5</v>
      </c>
      <c r="H75" t="b">
        <v>0</v>
      </c>
      <c r="I75" t="str">
        <f>TEXT(Append1[[#This Row],[dteday]],"DDDD")</f>
        <v>Tuesday</v>
      </c>
      <c r="J75" t="str" cm="1">
        <f t="array" ref="J75">_xlfn.IFS(Append1[[#This Row],[weekday cnt]]=0,"Weekend",Append1[[#This Row],[weekday cnt]]=6,"Weekend",Append1[[#This Row],[weekday cnt]]&gt;0,"Weekday")</f>
        <v>Weekday</v>
      </c>
      <c r="K75">
        <v>2</v>
      </c>
      <c r="L75" t="str" cm="1">
        <f t="array" ref="L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">
        <v>1</v>
      </c>
      <c r="N75">
        <v>0.12</v>
      </c>
      <c r="O75">
        <v>73</v>
      </c>
      <c r="P75">
        <v>74</v>
      </c>
      <c r="Q75">
        <v>0.1515</v>
      </c>
      <c r="R75">
        <v>0.68</v>
      </c>
      <c r="S75">
        <v>0.1045</v>
      </c>
      <c r="T75">
        <v>0</v>
      </c>
      <c r="U75">
        <v>4</v>
      </c>
      <c r="V75">
        <v>4</v>
      </c>
    </row>
    <row r="76" spans="1:22" x14ac:dyDescent="0.3">
      <c r="A76">
        <v>75</v>
      </c>
      <c r="B76" s="1">
        <v>40547</v>
      </c>
      <c r="C76">
        <v>1</v>
      </c>
      <c r="D76">
        <v>0</v>
      </c>
      <c r="E76" t="str">
        <f>TEXT(Append1[[#This Row],[dteday]],"MMMM")</f>
        <v>January</v>
      </c>
      <c r="F76">
        <v>1</v>
      </c>
      <c r="G76">
        <v>6</v>
      </c>
      <c r="H76" t="b">
        <v>0</v>
      </c>
      <c r="I76" t="str">
        <f>TEXT(Append1[[#This Row],[dteday]],"DDDD")</f>
        <v>Tuesday</v>
      </c>
      <c r="J76" t="str" cm="1">
        <f t="array" ref="J76">_xlfn.IFS(Append1[[#This Row],[weekday cnt]]=0,"Weekend",Append1[[#This Row],[weekday cnt]]=6,"Weekend",Append1[[#This Row],[weekday cnt]]&gt;0,"Weekday")</f>
        <v>Weekday</v>
      </c>
      <c r="K76">
        <v>2</v>
      </c>
      <c r="L76" t="str" cm="1">
        <f t="array" ref="L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6">
        <v>1</v>
      </c>
      <c r="N76">
        <v>0.12</v>
      </c>
      <c r="O76">
        <v>74</v>
      </c>
      <c r="P76">
        <v>75</v>
      </c>
      <c r="Q76">
        <v>0.1515</v>
      </c>
      <c r="R76">
        <v>0.74</v>
      </c>
      <c r="S76">
        <v>0.1045</v>
      </c>
      <c r="T76">
        <v>0</v>
      </c>
      <c r="U76">
        <v>36</v>
      </c>
      <c r="V76">
        <v>36</v>
      </c>
    </row>
    <row r="77" spans="1:22" x14ac:dyDescent="0.3">
      <c r="A77">
        <v>76</v>
      </c>
      <c r="B77" s="1">
        <v>40547</v>
      </c>
      <c r="C77">
        <v>1</v>
      </c>
      <c r="D77">
        <v>0</v>
      </c>
      <c r="E77" t="str">
        <f>TEXT(Append1[[#This Row],[dteday]],"MMMM")</f>
        <v>January</v>
      </c>
      <c r="F77">
        <v>1</v>
      </c>
      <c r="G77">
        <v>7</v>
      </c>
      <c r="H77" t="b">
        <v>0</v>
      </c>
      <c r="I77" t="str">
        <f>TEXT(Append1[[#This Row],[dteday]],"DDDD")</f>
        <v>Tuesday</v>
      </c>
      <c r="J77" t="str" cm="1">
        <f t="array" ref="J77">_xlfn.IFS(Append1[[#This Row],[weekday cnt]]=0,"Weekend",Append1[[#This Row],[weekday cnt]]=6,"Weekend",Append1[[#This Row],[weekday cnt]]&gt;0,"Weekday")</f>
        <v>Weekday</v>
      </c>
      <c r="K77">
        <v>2</v>
      </c>
      <c r="L77" t="str" cm="1">
        <f t="array" ref="L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7">
        <v>1</v>
      </c>
      <c r="N77">
        <v>0.12</v>
      </c>
      <c r="O77">
        <v>75</v>
      </c>
      <c r="P77">
        <v>76</v>
      </c>
      <c r="Q77">
        <v>0.1515</v>
      </c>
      <c r="R77">
        <v>0.74</v>
      </c>
      <c r="S77">
        <v>0.1343</v>
      </c>
      <c r="T77">
        <v>2</v>
      </c>
      <c r="U77">
        <v>92</v>
      </c>
      <c r="V77">
        <v>94</v>
      </c>
    </row>
    <row r="78" spans="1:22" x14ac:dyDescent="0.3">
      <c r="A78">
        <v>77</v>
      </c>
      <c r="B78" s="1">
        <v>40547</v>
      </c>
      <c r="C78">
        <v>1</v>
      </c>
      <c r="D78">
        <v>0</v>
      </c>
      <c r="E78" t="str">
        <f>TEXT(Append1[[#This Row],[dteday]],"MMMM")</f>
        <v>January</v>
      </c>
      <c r="F78">
        <v>1</v>
      </c>
      <c r="G78">
        <v>8</v>
      </c>
      <c r="H78" t="b">
        <v>0</v>
      </c>
      <c r="I78" t="str">
        <f>TEXT(Append1[[#This Row],[dteday]],"DDDD")</f>
        <v>Tuesday</v>
      </c>
      <c r="J78" t="str" cm="1">
        <f t="array" ref="J78">_xlfn.IFS(Append1[[#This Row],[weekday cnt]]=0,"Weekend",Append1[[#This Row],[weekday cnt]]=6,"Weekend",Append1[[#This Row],[weekday cnt]]&gt;0,"Weekday")</f>
        <v>Weekday</v>
      </c>
      <c r="K78">
        <v>2</v>
      </c>
      <c r="L78" t="str" cm="1">
        <f t="array" ref="L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8">
        <v>1</v>
      </c>
      <c r="N78">
        <v>0.14000000000000001</v>
      </c>
      <c r="O78">
        <v>76</v>
      </c>
      <c r="P78">
        <v>77</v>
      </c>
      <c r="Q78">
        <v>0.1515</v>
      </c>
      <c r="R78">
        <v>0.69</v>
      </c>
      <c r="S78">
        <v>0.16420000000000001</v>
      </c>
      <c r="T78">
        <v>2</v>
      </c>
      <c r="U78">
        <v>177</v>
      </c>
      <c r="V78">
        <v>179</v>
      </c>
    </row>
    <row r="79" spans="1:22" x14ac:dyDescent="0.3">
      <c r="A79">
        <v>78</v>
      </c>
      <c r="B79" s="1">
        <v>40547</v>
      </c>
      <c r="C79">
        <v>1</v>
      </c>
      <c r="D79">
        <v>0</v>
      </c>
      <c r="E79" t="str">
        <f>TEXT(Append1[[#This Row],[dteday]],"MMMM")</f>
        <v>January</v>
      </c>
      <c r="F79">
        <v>1</v>
      </c>
      <c r="G79">
        <v>9</v>
      </c>
      <c r="H79" t="b">
        <v>0</v>
      </c>
      <c r="I79" t="str">
        <f>TEXT(Append1[[#This Row],[dteday]],"DDDD")</f>
        <v>Tuesday</v>
      </c>
      <c r="J79" t="str" cm="1">
        <f t="array" ref="J79">_xlfn.IFS(Append1[[#This Row],[weekday cnt]]=0,"Weekend",Append1[[#This Row],[weekday cnt]]=6,"Weekend",Append1[[#This Row],[weekday cnt]]&gt;0,"Weekday")</f>
        <v>Weekday</v>
      </c>
      <c r="K79">
        <v>2</v>
      </c>
      <c r="L79" t="str" cm="1">
        <f t="array" ref="L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9">
        <v>1</v>
      </c>
      <c r="N79">
        <v>0.16</v>
      </c>
      <c r="O79">
        <v>77</v>
      </c>
      <c r="P79">
        <v>78</v>
      </c>
      <c r="Q79">
        <v>0.1515</v>
      </c>
      <c r="R79">
        <v>0.64</v>
      </c>
      <c r="S79">
        <v>0.22389999999999999</v>
      </c>
      <c r="T79">
        <v>2</v>
      </c>
      <c r="U79">
        <v>98</v>
      </c>
      <c r="V79">
        <v>100</v>
      </c>
    </row>
    <row r="80" spans="1:22" x14ac:dyDescent="0.3">
      <c r="A80">
        <v>79</v>
      </c>
      <c r="B80" s="1">
        <v>40547</v>
      </c>
      <c r="C80">
        <v>1</v>
      </c>
      <c r="D80">
        <v>0</v>
      </c>
      <c r="E80" t="str">
        <f>TEXT(Append1[[#This Row],[dteday]],"MMMM")</f>
        <v>January</v>
      </c>
      <c r="F80">
        <v>1</v>
      </c>
      <c r="G80">
        <v>10</v>
      </c>
      <c r="H80" t="b">
        <v>0</v>
      </c>
      <c r="I80" t="str">
        <f>TEXT(Append1[[#This Row],[dteday]],"DDDD")</f>
        <v>Tuesday</v>
      </c>
      <c r="J80" t="str" cm="1">
        <f t="array" ref="J80">_xlfn.IFS(Append1[[#This Row],[weekday cnt]]=0,"Weekend",Append1[[#This Row],[weekday cnt]]=6,"Weekend",Append1[[#This Row],[weekday cnt]]&gt;0,"Weekday")</f>
        <v>Weekday</v>
      </c>
      <c r="K80">
        <v>2</v>
      </c>
      <c r="L80" t="str" cm="1">
        <f t="array" ref="L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0">
        <v>2</v>
      </c>
      <c r="N80">
        <v>0.16</v>
      </c>
      <c r="O80">
        <v>78</v>
      </c>
      <c r="P80">
        <v>79</v>
      </c>
      <c r="Q80">
        <v>0.13639999999999999</v>
      </c>
      <c r="R80">
        <v>0.69</v>
      </c>
      <c r="S80">
        <v>0.32840000000000003</v>
      </c>
      <c r="T80">
        <v>5</v>
      </c>
      <c r="U80">
        <v>37</v>
      </c>
      <c r="V80">
        <v>42</v>
      </c>
    </row>
    <row r="81" spans="1:22" x14ac:dyDescent="0.3">
      <c r="A81">
        <v>80</v>
      </c>
      <c r="B81" s="1">
        <v>40547</v>
      </c>
      <c r="C81">
        <v>1</v>
      </c>
      <c r="D81">
        <v>0</v>
      </c>
      <c r="E81" t="str">
        <f>TEXT(Append1[[#This Row],[dteday]],"MMMM")</f>
        <v>January</v>
      </c>
      <c r="F81">
        <v>1</v>
      </c>
      <c r="G81">
        <v>11</v>
      </c>
      <c r="H81" t="b">
        <v>0</v>
      </c>
      <c r="I81" t="str">
        <f>TEXT(Append1[[#This Row],[dteday]],"DDDD")</f>
        <v>Tuesday</v>
      </c>
      <c r="J81" t="str" cm="1">
        <f t="array" ref="J81">_xlfn.IFS(Append1[[#This Row],[weekday cnt]]=0,"Weekend",Append1[[#This Row],[weekday cnt]]=6,"Weekend",Append1[[#This Row],[weekday cnt]]&gt;0,"Weekday")</f>
        <v>Weekday</v>
      </c>
      <c r="K81">
        <v>2</v>
      </c>
      <c r="L81" t="str" cm="1">
        <f t="array" ref="L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">
        <v>1</v>
      </c>
      <c r="N81">
        <v>0.22</v>
      </c>
      <c r="O81">
        <v>79</v>
      </c>
      <c r="P81">
        <v>80</v>
      </c>
      <c r="Q81">
        <v>0.21210000000000001</v>
      </c>
      <c r="R81">
        <v>0.51</v>
      </c>
      <c r="S81">
        <v>0.29849999999999999</v>
      </c>
      <c r="T81">
        <v>7</v>
      </c>
      <c r="U81">
        <v>50</v>
      </c>
      <c r="V81">
        <v>57</v>
      </c>
    </row>
    <row r="82" spans="1:22" x14ac:dyDescent="0.3">
      <c r="A82">
        <v>81</v>
      </c>
      <c r="B82" s="1">
        <v>40547</v>
      </c>
      <c r="C82">
        <v>1</v>
      </c>
      <c r="D82">
        <v>0</v>
      </c>
      <c r="E82" t="str">
        <f>TEXT(Append1[[#This Row],[dteday]],"MMMM")</f>
        <v>January</v>
      </c>
      <c r="F82">
        <v>1</v>
      </c>
      <c r="G82">
        <v>12</v>
      </c>
      <c r="H82" t="b">
        <v>0</v>
      </c>
      <c r="I82" t="str">
        <f>TEXT(Append1[[#This Row],[dteday]],"DDDD")</f>
        <v>Tuesday</v>
      </c>
      <c r="J82" t="str" cm="1">
        <f t="array" ref="J82">_xlfn.IFS(Append1[[#This Row],[weekday cnt]]=0,"Weekend",Append1[[#This Row],[weekday cnt]]=6,"Weekend",Append1[[#This Row],[weekday cnt]]&gt;0,"Weekday")</f>
        <v>Weekday</v>
      </c>
      <c r="K82">
        <v>2</v>
      </c>
      <c r="L82" t="str" cm="1">
        <f t="array" ref="L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">
        <v>1</v>
      </c>
      <c r="N82">
        <v>0.22</v>
      </c>
      <c r="O82">
        <v>80</v>
      </c>
      <c r="P82">
        <v>81</v>
      </c>
      <c r="Q82">
        <v>0.2273</v>
      </c>
      <c r="R82">
        <v>0.51</v>
      </c>
      <c r="S82">
        <v>0.16420000000000001</v>
      </c>
      <c r="T82">
        <v>12</v>
      </c>
      <c r="U82">
        <v>66</v>
      </c>
      <c r="V82">
        <v>78</v>
      </c>
    </row>
    <row r="83" spans="1:22" x14ac:dyDescent="0.3">
      <c r="A83">
        <v>82</v>
      </c>
      <c r="B83" s="1">
        <v>40547</v>
      </c>
      <c r="C83">
        <v>1</v>
      </c>
      <c r="D83">
        <v>0</v>
      </c>
      <c r="E83" t="str">
        <f>TEXT(Append1[[#This Row],[dteday]],"MMMM")</f>
        <v>January</v>
      </c>
      <c r="F83">
        <v>1</v>
      </c>
      <c r="G83">
        <v>13</v>
      </c>
      <c r="H83" t="b">
        <v>0</v>
      </c>
      <c r="I83" t="str">
        <f>TEXT(Append1[[#This Row],[dteday]],"DDDD")</f>
        <v>Tuesday</v>
      </c>
      <c r="J83" t="str" cm="1">
        <f t="array" ref="J83">_xlfn.IFS(Append1[[#This Row],[weekday cnt]]=0,"Weekend",Append1[[#This Row],[weekday cnt]]=6,"Weekend",Append1[[#This Row],[weekday cnt]]&gt;0,"Weekday")</f>
        <v>Weekday</v>
      </c>
      <c r="K83">
        <v>2</v>
      </c>
      <c r="L83" t="str" cm="1">
        <f t="array" ref="L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">
        <v>1</v>
      </c>
      <c r="N83">
        <v>0.24</v>
      </c>
      <c r="O83">
        <v>81</v>
      </c>
      <c r="P83">
        <v>82</v>
      </c>
      <c r="Q83">
        <v>0.2273</v>
      </c>
      <c r="R83">
        <v>0.56000000000000005</v>
      </c>
      <c r="S83">
        <v>0.19400000000000001</v>
      </c>
      <c r="T83">
        <v>18</v>
      </c>
      <c r="U83">
        <v>79</v>
      </c>
      <c r="V83">
        <v>97</v>
      </c>
    </row>
    <row r="84" spans="1:22" x14ac:dyDescent="0.3">
      <c r="A84">
        <v>83</v>
      </c>
      <c r="B84" s="1">
        <v>40547</v>
      </c>
      <c r="C84">
        <v>1</v>
      </c>
      <c r="D84">
        <v>0</v>
      </c>
      <c r="E84" t="str">
        <f>TEXT(Append1[[#This Row],[dteday]],"MMMM")</f>
        <v>January</v>
      </c>
      <c r="F84">
        <v>1</v>
      </c>
      <c r="G84">
        <v>14</v>
      </c>
      <c r="H84" t="b">
        <v>0</v>
      </c>
      <c r="I84" t="str">
        <f>TEXT(Append1[[#This Row],[dteday]],"DDDD")</f>
        <v>Tuesday</v>
      </c>
      <c r="J84" t="str" cm="1">
        <f t="array" ref="J84">_xlfn.IFS(Append1[[#This Row],[weekday cnt]]=0,"Weekend",Append1[[#This Row],[weekday cnt]]=6,"Weekend",Append1[[#This Row],[weekday cnt]]&gt;0,"Weekday")</f>
        <v>Weekday</v>
      </c>
      <c r="K84">
        <v>2</v>
      </c>
      <c r="L84" t="str" cm="1">
        <f t="array" ref="L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4">
        <v>1</v>
      </c>
      <c r="N84">
        <v>0.26</v>
      </c>
      <c r="O84">
        <v>82</v>
      </c>
      <c r="P84">
        <v>83</v>
      </c>
      <c r="Q84">
        <v>0.2576</v>
      </c>
      <c r="R84">
        <v>0.52</v>
      </c>
      <c r="S84">
        <v>0.22389999999999999</v>
      </c>
      <c r="T84">
        <v>9</v>
      </c>
      <c r="U84">
        <v>54</v>
      </c>
      <c r="V84">
        <v>63</v>
      </c>
    </row>
    <row r="85" spans="1:22" x14ac:dyDescent="0.3">
      <c r="A85">
        <v>84</v>
      </c>
      <c r="B85" s="1">
        <v>40547</v>
      </c>
      <c r="C85">
        <v>1</v>
      </c>
      <c r="D85">
        <v>0</v>
      </c>
      <c r="E85" t="str">
        <f>TEXT(Append1[[#This Row],[dteday]],"MMMM")</f>
        <v>January</v>
      </c>
      <c r="F85">
        <v>1</v>
      </c>
      <c r="G85">
        <v>15</v>
      </c>
      <c r="H85" t="b">
        <v>0</v>
      </c>
      <c r="I85" t="str">
        <f>TEXT(Append1[[#This Row],[dteday]],"DDDD")</f>
        <v>Tuesday</v>
      </c>
      <c r="J85" t="str" cm="1">
        <f t="array" ref="J85">_xlfn.IFS(Append1[[#This Row],[weekday cnt]]=0,"Weekend",Append1[[#This Row],[weekday cnt]]=6,"Weekend",Append1[[#This Row],[weekday cnt]]&gt;0,"Weekday")</f>
        <v>Weekday</v>
      </c>
      <c r="K85">
        <v>2</v>
      </c>
      <c r="L85" t="str" cm="1">
        <f t="array" ref="L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5">
        <v>1</v>
      </c>
      <c r="N85">
        <v>0.28000000000000003</v>
      </c>
      <c r="O85">
        <v>83</v>
      </c>
      <c r="P85">
        <v>84</v>
      </c>
      <c r="Q85">
        <v>0.2727</v>
      </c>
      <c r="R85">
        <v>0.52</v>
      </c>
      <c r="S85">
        <v>0.25369999999999998</v>
      </c>
      <c r="T85">
        <v>17</v>
      </c>
      <c r="U85">
        <v>48</v>
      </c>
      <c r="V85">
        <v>65</v>
      </c>
    </row>
    <row r="86" spans="1:22" x14ac:dyDescent="0.3">
      <c r="A86">
        <v>85</v>
      </c>
      <c r="B86" s="1">
        <v>40547</v>
      </c>
      <c r="C86">
        <v>1</v>
      </c>
      <c r="D86">
        <v>0</v>
      </c>
      <c r="E86" t="str">
        <f>TEXT(Append1[[#This Row],[dteday]],"MMMM")</f>
        <v>January</v>
      </c>
      <c r="F86">
        <v>1</v>
      </c>
      <c r="G86">
        <v>16</v>
      </c>
      <c r="H86" t="b">
        <v>0</v>
      </c>
      <c r="I86" t="str">
        <f>TEXT(Append1[[#This Row],[dteday]],"DDDD")</f>
        <v>Tuesday</v>
      </c>
      <c r="J86" t="str" cm="1">
        <f t="array" ref="J86">_xlfn.IFS(Append1[[#This Row],[weekday cnt]]=0,"Weekend",Append1[[#This Row],[weekday cnt]]=6,"Weekend",Append1[[#This Row],[weekday cnt]]&gt;0,"Weekday")</f>
        <v>Weekday</v>
      </c>
      <c r="K86">
        <v>2</v>
      </c>
      <c r="L86" t="str" cm="1">
        <f t="array" ref="L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">
        <v>1</v>
      </c>
      <c r="N86">
        <v>0.3</v>
      </c>
      <c r="O86">
        <v>84</v>
      </c>
      <c r="P86">
        <v>85</v>
      </c>
      <c r="Q86">
        <v>0.28789999999999999</v>
      </c>
      <c r="R86">
        <v>0.49</v>
      </c>
      <c r="S86">
        <v>0.25369999999999998</v>
      </c>
      <c r="T86">
        <v>15</v>
      </c>
      <c r="U86">
        <v>68</v>
      </c>
      <c r="V86">
        <v>83</v>
      </c>
    </row>
    <row r="87" spans="1:22" x14ac:dyDescent="0.3">
      <c r="A87">
        <v>86</v>
      </c>
      <c r="B87" s="1">
        <v>40547</v>
      </c>
      <c r="C87">
        <v>1</v>
      </c>
      <c r="D87">
        <v>0</v>
      </c>
      <c r="E87" t="str">
        <f>TEXT(Append1[[#This Row],[dteday]],"MMMM")</f>
        <v>January</v>
      </c>
      <c r="F87">
        <v>1</v>
      </c>
      <c r="G87">
        <v>17</v>
      </c>
      <c r="H87" t="b">
        <v>0</v>
      </c>
      <c r="I87" t="str">
        <f>TEXT(Append1[[#This Row],[dteday]],"DDDD")</f>
        <v>Tuesday</v>
      </c>
      <c r="J87" t="str" cm="1">
        <f t="array" ref="J87">_xlfn.IFS(Append1[[#This Row],[weekday cnt]]=0,"Weekend",Append1[[#This Row],[weekday cnt]]=6,"Weekend",Append1[[#This Row],[weekday cnt]]&gt;0,"Weekday")</f>
        <v>Weekday</v>
      </c>
      <c r="K87">
        <v>2</v>
      </c>
      <c r="L87" t="str" cm="1">
        <f t="array" ref="L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">
        <v>1</v>
      </c>
      <c r="N87">
        <v>0.28000000000000003</v>
      </c>
      <c r="O87">
        <v>85</v>
      </c>
      <c r="P87">
        <v>86</v>
      </c>
      <c r="Q87">
        <v>0.2727</v>
      </c>
      <c r="R87">
        <v>0.48</v>
      </c>
      <c r="S87">
        <v>0.22389999999999999</v>
      </c>
      <c r="T87">
        <v>10</v>
      </c>
      <c r="U87">
        <v>202</v>
      </c>
      <c r="V87">
        <v>212</v>
      </c>
    </row>
    <row r="88" spans="1:22" x14ac:dyDescent="0.3">
      <c r="A88">
        <v>87</v>
      </c>
      <c r="B88" s="1">
        <v>40547</v>
      </c>
      <c r="C88">
        <v>1</v>
      </c>
      <c r="D88">
        <v>0</v>
      </c>
      <c r="E88" t="str">
        <f>TEXT(Append1[[#This Row],[dteday]],"MMMM")</f>
        <v>January</v>
      </c>
      <c r="F88">
        <v>1</v>
      </c>
      <c r="G88">
        <v>18</v>
      </c>
      <c r="H88" t="b">
        <v>0</v>
      </c>
      <c r="I88" t="str">
        <f>TEXT(Append1[[#This Row],[dteday]],"DDDD")</f>
        <v>Tuesday</v>
      </c>
      <c r="J88" t="str" cm="1">
        <f t="array" ref="J88">_xlfn.IFS(Append1[[#This Row],[weekday cnt]]=0,"Weekend",Append1[[#This Row],[weekday cnt]]=6,"Weekend",Append1[[#This Row],[weekday cnt]]&gt;0,"Weekday")</f>
        <v>Weekday</v>
      </c>
      <c r="K88">
        <v>2</v>
      </c>
      <c r="L88" t="str" cm="1">
        <f t="array" ref="L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">
        <v>1</v>
      </c>
      <c r="N88">
        <v>0.26</v>
      </c>
      <c r="O88">
        <v>86</v>
      </c>
      <c r="P88">
        <v>87</v>
      </c>
      <c r="Q88">
        <v>0.2576</v>
      </c>
      <c r="R88">
        <v>0.48</v>
      </c>
      <c r="S88">
        <v>0.19400000000000001</v>
      </c>
      <c r="T88">
        <v>3</v>
      </c>
      <c r="U88">
        <v>179</v>
      </c>
      <c r="V88">
        <v>182</v>
      </c>
    </row>
    <row r="89" spans="1:22" x14ac:dyDescent="0.3">
      <c r="A89">
        <v>88</v>
      </c>
      <c r="B89" s="1">
        <v>40547</v>
      </c>
      <c r="C89">
        <v>1</v>
      </c>
      <c r="D89">
        <v>0</v>
      </c>
      <c r="E89" t="str">
        <f>TEXT(Append1[[#This Row],[dteday]],"MMMM")</f>
        <v>January</v>
      </c>
      <c r="F89">
        <v>1</v>
      </c>
      <c r="G89">
        <v>19</v>
      </c>
      <c r="H89" t="b">
        <v>0</v>
      </c>
      <c r="I89" t="str">
        <f>TEXT(Append1[[#This Row],[dteday]],"DDDD")</f>
        <v>Tuesday</v>
      </c>
      <c r="J89" t="str" cm="1">
        <f t="array" ref="J89">_xlfn.IFS(Append1[[#This Row],[weekday cnt]]=0,"Weekend",Append1[[#This Row],[weekday cnt]]=6,"Weekend",Append1[[#This Row],[weekday cnt]]&gt;0,"Weekday")</f>
        <v>Weekday</v>
      </c>
      <c r="K89">
        <v>2</v>
      </c>
      <c r="L89" t="str" cm="1">
        <f t="array" ref="L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9">
        <v>1</v>
      </c>
      <c r="N89">
        <v>0.24</v>
      </c>
      <c r="O89">
        <v>87</v>
      </c>
      <c r="P89">
        <v>88</v>
      </c>
      <c r="Q89">
        <v>0.2576</v>
      </c>
      <c r="R89">
        <v>0.48</v>
      </c>
      <c r="S89">
        <v>0.1045</v>
      </c>
      <c r="T89">
        <v>2</v>
      </c>
      <c r="U89">
        <v>110</v>
      </c>
      <c r="V89">
        <v>112</v>
      </c>
    </row>
    <row r="90" spans="1:22" x14ac:dyDescent="0.3">
      <c r="A90">
        <v>89</v>
      </c>
      <c r="B90" s="1">
        <v>40547</v>
      </c>
      <c r="C90">
        <v>1</v>
      </c>
      <c r="D90">
        <v>0</v>
      </c>
      <c r="E90" t="str">
        <f>TEXT(Append1[[#This Row],[dteday]],"MMMM")</f>
        <v>January</v>
      </c>
      <c r="F90">
        <v>1</v>
      </c>
      <c r="G90">
        <v>20</v>
      </c>
      <c r="H90" t="b">
        <v>0</v>
      </c>
      <c r="I90" t="str">
        <f>TEXT(Append1[[#This Row],[dteday]],"DDDD")</f>
        <v>Tuesday</v>
      </c>
      <c r="J90" t="str" cm="1">
        <f t="array" ref="J90">_xlfn.IFS(Append1[[#This Row],[weekday cnt]]=0,"Weekend",Append1[[#This Row],[weekday cnt]]=6,"Weekend",Append1[[#This Row],[weekday cnt]]&gt;0,"Weekday")</f>
        <v>Weekday</v>
      </c>
      <c r="K90">
        <v>2</v>
      </c>
      <c r="L90" t="str" cm="1">
        <f t="array" ref="L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0">
        <v>1</v>
      </c>
      <c r="N90">
        <v>0.24</v>
      </c>
      <c r="O90">
        <v>88</v>
      </c>
      <c r="P90">
        <v>89</v>
      </c>
      <c r="Q90">
        <v>0.2576</v>
      </c>
      <c r="R90">
        <v>0.48</v>
      </c>
      <c r="S90">
        <v>0.1045</v>
      </c>
      <c r="T90">
        <v>1</v>
      </c>
      <c r="U90">
        <v>53</v>
      </c>
      <c r="V90">
        <v>54</v>
      </c>
    </row>
    <row r="91" spans="1:22" x14ac:dyDescent="0.3">
      <c r="A91">
        <v>90</v>
      </c>
      <c r="B91" s="1">
        <v>40547</v>
      </c>
      <c r="C91">
        <v>1</v>
      </c>
      <c r="D91">
        <v>0</v>
      </c>
      <c r="E91" t="str">
        <f>TEXT(Append1[[#This Row],[dteday]],"MMMM")</f>
        <v>January</v>
      </c>
      <c r="F91">
        <v>1</v>
      </c>
      <c r="G91">
        <v>21</v>
      </c>
      <c r="H91" t="b">
        <v>0</v>
      </c>
      <c r="I91" t="str">
        <f>TEXT(Append1[[#This Row],[dteday]],"DDDD")</f>
        <v>Tuesday</v>
      </c>
      <c r="J91" t="str" cm="1">
        <f t="array" ref="J91">_xlfn.IFS(Append1[[#This Row],[weekday cnt]]=0,"Weekend",Append1[[#This Row],[weekday cnt]]=6,"Weekend",Append1[[#This Row],[weekday cnt]]&gt;0,"Weekday")</f>
        <v>Weekday</v>
      </c>
      <c r="K91">
        <v>2</v>
      </c>
      <c r="L91" t="str" cm="1">
        <f t="array" ref="L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">
        <v>1</v>
      </c>
      <c r="N91">
        <v>0.22</v>
      </c>
      <c r="O91">
        <v>89</v>
      </c>
      <c r="P91">
        <v>90</v>
      </c>
      <c r="Q91">
        <v>0.2727</v>
      </c>
      <c r="R91">
        <v>0.64</v>
      </c>
      <c r="S91">
        <v>0</v>
      </c>
      <c r="T91">
        <v>0</v>
      </c>
      <c r="U91">
        <v>48</v>
      </c>
      <c r="V91">
        <v>48</v>
      </c>
    </row>
    <row r="92" spans="1:22" x14ac:dyDescent="0.3">
      <c r="A92">
        <v>91</v>
      </c>
      <c r="B92" s="1">
        <v>40547</v>
      </c>
      <c r="C92">
        <v>1</v>
      </c>
      <c r="D92">
        <v>0</v>
      </c>
      <c r="E92" t="str">
        <f>TEXT(Append1[[#This Row],[dteday]],"MMMM")</f>
        <v>January</v>
      </c>
      <c r="F92">
        <v>1</v>
      </c>
      <c r="G92">
        <v>22</v>
      </c>
      <c r="H92" t="b">
        <v>0</v>
      </c>
      <c r="I92" t="str">
        <f>TEXT(Append1[[#This Row],[dteday]],"DDDD")</f>
        <v>Tuesday</v>
      </c>
      <c r="J92" t="str" cm="1">
        <f t="array" ref="J92">_xlfn.IFS(Append1[[#This Row],[weekday cnt]]=0,"Weekend",Append1[[#This Row],[weekday cnt]]=6,"Weekend",Append1[[#This Row],[weekday cnt]]&gt;0,"Weekday")</f>
        <v>Weekday</v>
      </c>
      <c r="K92">
        <v>2</v>
      </c>
      <c r="L92" t="str" cm="1">
        <f t="array" ref="L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">
        <v>1</v>
      </c>
      <c r="N92">
        <v>0.22</v>
      </c>
      <c r="O92">
        <v>90</v>
      </c>
      <c r="P92">
        <v>91</v>
      </c>
      <c r="Q92">
        <v>0.2576</v>
      </c>
      <c r="R92">
        <v>0.64</v>
      </c>
      <c r="S92">
        <v>8.9599999999999999E-2</v>
      </c>
      <c r="T92">
        <v>1</v>
      </c>
      <c r="U92">
        <v>34</v>
      </c>
      <c r="V92">
        <v>35</v>
      </c>
    </row>
    <row r="93" spans="1:22" x14ac:dyDescent="0.3">
      <c r="A93">
        <v>92</v>
      </c>
      <c r="B93" s="1">
        <v>40547</v>
      </c>
      <c r="C93">
        <v>1</v>
      </c>
      <c r="D93">
        <v>0</v>
      </c>
      <c r="E93" t="str">
        <f>TEXT(Append1[[#This Row],[dteday]],"MMMM")</f>
        <v>January</v>
      </c>
      <c r="F93">
        <v>1</v>
      </c>
      <c r="G93">
        <v>23</v>
      </c>
      <c r="H93" t="b">
        <v>0</v>
      </c>
      <c r="I93" t="str">
        <f>TEXT(Append1[[#This Row],[dteday]],"DDDD")</f>
        <v>Tuesday</v>
      </c>
      <c r="J93" t="str" cm="1">
        <f t="array" ref="J93">_xlfn.IFS(Append1[[#This Row],[weekday cnt]]=0,"Weekend",Append1[[#This Row],[weekday cnt]]=6,"Weekend",Append1[[#This Row],[weekday cnt]]&gt;0,"Weekday")</f>
        <v>Weekday</v>
      </c>
      <c r="K93">
        <v>2</v>
      </c>
      <c r="L93" t="str" cm="1">
        <f t="array" ref="L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">
        <v>1</v>
      </c>
      <c r="N93">
        <v>0.2</v>
      </c>
      <c r="O93">
        <v>91</v>
      </c>
      <c r="P93">
        <v>92</v>
      </c>
      <c r="Q93">
        <v>0.2273</v>
      </c>
      <c r="R93">
        <v>0.69</v>
      </c>
      <c r="S93">
        <v>8.9599999999999999E-2</v>
      </c>
      <c r="T93">
        <v>2</v>
      </c>
      <c r="U93">
        <v>9</v>
      </c>
      <c r="V93">
        <v>11</v>
      </c>
    </row>
    <row r="94" spans="1:22" x14ac:dyDescent="0.3">
      <c r="A94">
        <v>93</v>
      </c>
      <c r="B94" s="1">
        <v>40548</v>
      </c>
      <c r="C94">
        <v>1</v>
      </c>
      <c r="D94">
        <v>0</v>
      </c>
      <c r="E94" t="str">
        <f>TEXT(Append1[[#This Row],[dteday]],"MMMM")</f>
        <v>January</v>
      </c>
      <c r="F94">
        <v>1</v>
      </c>
      <c r="G94">
        <v>0</v>
      </c>
      <c r="H94" t="b">
        <v>0</v>
      </c>
      <c r="I94" t="str">
        <f>TEXT(Append1[[#This Row],[dteday]],"DDDD")</f>
        <v>Wednesday</v>
      </c>
      <c r="J94" t="str" cm="1">
        <f t="array" ref="J94">_xlfn.IFS(Append1[[#This Row],[weekday cnt]]=0,"Weekend",Append1[[#This Row],[weekday cnt]]=6,"Weekend",Append1[[#This Row],[weekday cnt]]&gt;0,"Weekday")</f>
        <v>Weekday</v>
      </c>
      <c r="K94">
        <v>3</v>
      </c>
      <c r="L94" t="str" cm="1">
        <f t="array" ref="L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">
        <v>1</v>
      </c>
      <c r="N94">
        <v>0.2</v>
      </c>
      <c r="O94">
        <v>92</v>
      </c>
      <c r="P94">
        <v>93</v>
      </c>
      <c r="Q94">
        <v>0.2576</v>
      </c>
      <c r="R94">
        <v>0.64</v>
      </c>
      <c r="S94">
        <v>0</v>
      </c>
      <c r="T94">
        <v>0</v>
      </c>
      <c r="U94">
        <v>6</v>
      </c>
      <c r="V94">
        <v>6</v>
      </c>
    </row>
    <row r="95" spans="1:22" x14ac:dyDescent="0.3">
      <c r="A95">
        <v>94</v>
      </c>
      <c r="B95" s="1">
        <v>40548</v>
      </c>
      <c r="C95">
        <v>1</v>
      </c>
      <c r="D95">
        <v>0</v>
      </c>
      <c r="E95" t="str">
        <f>TEXT(Append1[[#This Row],[dteday]],"MMMM")</f>
        <v>January</v>
      </c>
      <c r="F95">
        <v>1</v>
      </c>
      <c r="G95">
        <v>1</v>
      </c>
      <c r="H95" t="b">
        <v>0</v>
      </c>
      <c r="I95" t="str">
        <f>TEXT(Append1[[#This Row],[dteday]],"DDDD")</f>
        <v>Wednesday</v>
      </c>
      <c r="J95" t="str" cm="1">
        <f t="array" ref="J95">_xlfn.IFS(Append1[[#This Row],[weekday cnt]]=0,"Weekend",Append1[[#This Row],[weekday cnt]]=6,"Weekend",Append1[[#This Row],[weekday cnt]]&gt;0,"Weekday")</f>
        <v>Weekday</v>
      </c>
      <c r="K95">
        <v>3</v>
      </c>
      <c r="L95" t="str" cm="1">
        <f t="array" ref="L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">
        <v>1</v>
      </c>
      <c r="N95">
        <v>0.16</v>
      </c>
      <c r="O95">
        <v>93</v>
      </c>
      <c r="P95">
        <v>94</v>
      </c>
      <c r="Q95">
        <v>0.19700000000000001</v>
      </c>
      <c r="R95">
        <v>0.74</v>
      </c>
      <c r="S95">
        <v>8.9599999999999999E-2</v>
      </c>
      <c r="T95">
        <v>0</v>
      </c>
      <c r="U95">
        <v>6</v>
      </c>
      <c r="V95">
        <v>6</v>
      </c>
    </row>
    <row r="96" spans="1:22" x14ac:dyDescent="0.3">
      <c r="A96">
        <v>95</v>
      </c>
      <c r="B96" s="1">
        <v>40548</v>
      </c>
      <c r="C96">
        <v>1</v>
      </c>
      <c r="D96">
        <v>0</v>
      </c>
      <c r="E96" t="str">
        <f>TEXT(Append1[[#This Row],[dteday]],"MMMM")</f>
        <v>January</v>
      </c>
      <c r="F96">
        <v>1</v>
      </c>
      <c r="G96">
        <v>2</v>
      </c>
      <c r="H96" t="b">
        <v>0</v>
      </c>
      <c r="I96" t="str">
        <f>TEXT(Append1[[#This Row],[dteday]],"DDDD")</f>
        <v>Wednesday</v>
      </c>
      <c r="J96" t="str" cm="1">
        <f t="array" ref="J96">_xlfn.IFS(Append1[[#This Row],[weekday cnt]]=0,"Weekend",Append1[[#This Row],[weekday cnt]]=6,"Weekend",Append1[[#This Row],[weekday cnt]]&gt;0,"Weekday")</f>
        <v>Weekday</v>
      </c>
      <c r="K96">
        <v>3</v>
      </c>
      <c r="L96" t="str" cm="1">
        <f t="array" ref="L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">
        <v>1</v>
      </c>
      <c r="N96">
        <v>0.16</v>
      </c>
      <c r="O96">
        <v>94</v>
      </c>
      <c r="P96">
        <v>95</v>
      </c>
      <c r="Q96">
        <v>0.19700000000000001</v>
      </c>
      <c r="R96">
        <v>0.74</v>
      </c>
      <c r="S96">
        <v>8.9599999999999999E-2</v>
      </c>
      <c r="T96">
        <v>0</v>
      </c>
      <c r="U96">
        <v>2</v>
      </c>
      <c r="V96">
        <v>2</v>
      </c>
    </row>
    <row r="97" spans="1:22" x14ac:dyDescent="0.3">
      <c r="A97">
        <v>96</v>
      </c>
      <c r="B97" s="1">
        <v>40548</v>
      </c>
      <c r="C97">
        <v>1</v>
      </c>
      <c r="D97">
        <v>0</v>
      </c>
      <c r="E97" t="str">
        <f>TEXT(Append1[[#This Row],[dteday]],"MMMM")</f>
        <v>January</v>
      </c>
      <c r="F97">
        <v>1</v>
      </c>
      <c r="G97">
        <v>4</v>
      </c>
      <c r="H97" t="b">
        <v>0</v>
      </c>
      <c r="I97" t="str">
        <f>TEXT(Append1[[#This Row],[dteday]],"DDDD")</f>
        <v>Wednesday</v>
      </c>
      <c r="J97" t="str" cm="1">
        <f t="array" ref="J97">_xlfn.IFS(Append1[[#This Row],[weekday cnt]]=0,"Weekend",Append1[[#This Row],[weekday cnt]]=6,"Weekend",Append1[[#This Row],[weekday cnt]]&gt;0,"Weekday")</f>
        <v>Weekday</v>
      </c>
      <c r="K97">
        <v>3</v>
      </c>
      <c r="L97" t="str" cm="1">
        <f t="array" ref="L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7">
        <v>1</v>
      </c>
      <c r="N97">
        <v>0.24</v>
      </c>
      <c r="O97">
        <v>95</v>
      </c>
      <c r="P97">
        <v>96</v>
      </c>
      <c r="Q97">
        <v>0.2273</v>
      </c>
      <c r="R97">
        <v>0.48</v>
      </c>
      <c r="S97">
        <v>0.22389999999999999</v>
      </c>
      <c r="T97">
        <v>0</v>
      </c>
      <c r="U97">
        <v>2</v>
      </c>
      <c r="V97">
        <v>2</v>
      </c>
    </row>
    <row r="98" spans="1:22" x14ac:dyDescent="0.3">
      <c r="A98">
        <v>97</v>
      </c>
      <c r="B98" s="1">
        <v>40548</v>
      </c>
      <c r="C98">
        <v>1</v>
      </c>
      <c r="D98">
        <v>0</v>
      </c>
      <c r="E98" t="str">
        <f>TEXT(Append1[[#This Row],[dteday]],"MMMM")</f>
        <v>January</v>
      </c>
      <c r="F98">
        <v>1</v>
      </c>
      <c r="G98">
        <v>5</v>
      </c>
      <c r="H98" t="b">
        <v>0</v>
      </c>
      <c r="I98" t="str">
        <f>TEXT(Append1[[#This Row],[dteday]],"DDDD")</f>
        <v>Wednesday</v>
      </c>
      <c r="J98" t="str" cm="1">
        <f t="array" ref="J98">_xlfn.IFS(Append1[[#This Row],[weekday cnt]]=0,"Weekend",Append1[[#This Row],[weekday cnt]]=6,"Weekend",Append1[[#This Row],[weekday cnt]]&gt;0,"Weekday")</f>
        <v>Weekday</v>
      </c>
      <c r="K98">
        <v>3</v>
      </c>
      <c r="L98" t="str" cm="1">
        <f t="array" ref="L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8">
        <v>1</v>
      </c>
      <c r="N98">
        <v>0.22</v>
      </c>
      <c r="O98">
        <v>96</v>
      </c>
      <c r="P98">
        <v>97</v>
      </c>
      <c r="Q98">
        <v>0.2273</v>
      </c>
      <c r="R98">
        <v>0.47</v>
      </c>
      <c r="S98">
        <v>0.16420000000000001</v>
      </c>
      <c r="T98">
        <v>0</v>
      </c>
      <c r="U98">
        <v>3</v>
      </c>
      <c r="V98">
        <v>3</v>
      </c>
    </row>
    <row r="99" spans="1:22" x14ac:dyDescent="0.3">
      <c r="A99">
        <v>98</v>
      </c>
      <c r="B99" s="1">
        <v>40548</v>
      </c>
      <c r="C99">
        <v>1</v>
      </c>
      <c r="D99">
        <v>0</v>
      </c>
      <c r="E99" t="str">
        <f>TEXT(Append1[[#This Row],[dteday]],"MMMM")</f>
        <v>January</v>
      </c>
      <c r="F99">
        <v>1</v>
      </c>
      <c r="G99">
        <v>6</v>
      </c>
      <c r="H99" t="b">
        <v>0</v>
      </c>
      <c r="I99" t="str">
        <f>TEXT(Append1[[#This Row],[dteday]],"DDDD")</f>
        <v>Wednesday</v>
      </c>
      <c r="J99" t="str" cm="1">
        <f t="array" ref="J99">_xlfn.IFS(Append1[[#This Row],[weekday cnt]]=0,"Weekend",Append1[[#This Row],[weekday cnt]]=6,"Weekend",Append1[[#This Row],[weekday cnt]]&gt;0,"Weekday")</f>
        <v>Weekday</v>
      </c>
      <c r="K99">
        <v>3</v>
      </c>
      <c r="L99" t="str" cm="1">
        <f t="array" ref="L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">
        <v>1</v>
      </c>
      <c r="N99">
        <v>0.2</v>
      </c>
      <c r="O99">
        <v>97</v>
      </c>
      <c r="P99">
        <v>98</v>
      </c>
      <c r="Q99">
        <v>0.19700000000000001</v>
      </c>
      <c r="R99">
        <v>0.47</v>
      </c>
      <c r="S99">
        <v>0.22389999999999999</v>
      </c>
      <c r="T99">
        <v>0</v>
      </c>
      <c r="U99">
        <v>33</v>
      </c>
      <c r="V99">
        <v>33</v>
      </c>
    </row>
    <row r="100" spans="1:22" x14ac:dyDescent="0.3">
      <c r="A100">
        <v>99</v>
      </c>
      <c r="B100" s="1">
        <v>40548</v>
      </c>
      <c r="C100">
        <v>1</v>
      </c>
      <c r="D100">
        <v>0</v>
      </c>
      <c r="E100" t="str">
        <f>TEXT(Append1[[#This Row],[dteday]],"MMMM")</f>
        <v>January</v>
      </c>
      <c r="F100">
        <v>1</v>
      </c>
      <c r="G100">
        <v>7</v>
      </c>
      <c r="H100" t="b">
        <v>0</v>
      </c>
      <c r="I100" t="str">
        <f>TEXT(Append1[[#This Row],[dteday]],"DDDD")</f>
        <v>Wednesday</v>
      </c>
      <c r="J100" t="str" cm="1">
        <f t="array" ref="J100">_xlfn.IFS(Append1[[#This Row],[weekday cnt]]=0,"Weekend",Append1[[#This Row],[weekday cnt]]=6,"Weekend",Append1[[#This Row],[weekday cnt]]&gt;0,"Weekday")</f>
        <v>Weekday</v>
      </c>
      <c r="K100">
        <v>3</v>
      </c>
      <c r="L100" t="str" cm="1">
        <f t="array" ref="L1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0">
        <v>1</v>
      </c>
      <c r="N100">
        <v>0.18</v>
      </c>
      <c r="O100">
        <v>98</v>
      </c>
      <c r="P100">
        <v>99</v>
      </c>
      <c r="Q100">
        <v>0.18179999999999999</v>
      </c>
      <c r="R100">
        <v>0.43</v>
      </c>
      <c r="S100">
        <v>0.19400000000000001</v>
      </c>
      <c r="T100">
        <v>1</v>
      </c>
      <c r="U100">
        <v>87</v>
      </c>
      <c r="V100">
        <v>88</v>
      </c>
    </row>
    <row r="101" spans="1:22" x14ac:dyDescent="0.3">
      <c r="A101">
        <v>100</v>
      </c>
      <c r="B101" s="1">
        <v>40548</v>
      </c>
      <c r="C101">
        <v>1</v>
      </c>
      <c r="D101">
        <v>0</v>
      </c>
      <c r="E101" t="str">
        <f>TEXT(Append1[[#This Row],[dteday]],"MMMM")</f>
        <v>January</v>
      </c>
      <c r="F101">
        <v>1</v>
      </c>
      <c r="G101">
        <v>8</v>
      </c>
      <c r="H101" t="b">
        <v>0</v>
      </c>
      <c r="I101" t="str">
        <f>TEXT(Append1[[#This Row],[dteday]],"DDDD")</f>
        <v>Wednesday</v>
      </c>
      <c r="J101" t="str" cm="1">
        <f t="array" ref="J101">_xlfn.IFS(Append1[[#This Row],[weekday cnt]]=0,"Weekend",Append1[[#This Row],[weekday cnt]]=6,"Weekend",Append1[[#This Row],[weekday cnt]]&gt;0,"Weekday")</f>
        <v>Weekday</v>
      </c>
      <c r="K101">
        <v>3</v>
      </c>
      <c r="L101" t="str" cm="1">
        <f t="array" ref="L1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1">
        <v>1</v>
      </c>
      <c r="N101">
        <v>0.2</v>
      </c>
      <c r="O101">
        <v>99</v>
      </c>
      <c r="P101">
        <v>100</v>
      </c>
      <c r="Q101">
        <v>0.18179999999999999</v>
      </c>
      <c r="R101">
        <v>0.4</v>
      </c>
      <c r="S101">
        <v>0.29849999999999999</v>
      </c>
      <c r="T101">
        <v>3</v>
      </c>
      <c r="U101">
        <v>192</v>
      </c>
      <c r="V101">
        <v>195</v>
      </c>
    </row>
    <row r="102" spans="1:22" x14ac:dyDescent="0.3">
      <c r="A102">
        <v>101</v>
      </c>
      <c r="B102" s="1">
        <v>40548</v>
      </c>
      <c r="C102">
        <v>1</v>
      </c>
      <c r="D102">
        <v>0</v>
      </c>
      <c r="E102" t="str">
        <f>TEXT(Append1[[#This Row],[dteday]],"MMMM")</f>
        <v>January</v>
      </c>
      <c r="F102">
        <v>1</v>
      </c>
      <c r="G102">
        <v>9</v>
      </c>
      <c r="H102" t="b">
        <v>0</v>
      </c>
      <c r="I102" t="str">
        <f>TEXT(Append1[[#This Row],[dteday]],"DDDD")</f>
        <v>Wednesday</v>
      </c>
      <c r="J102" t="str" cm="1">
        <f t="array" ref="J102">_xlfn.IFS(Append1[[#This Row],[weekday cnt]]=0,"Weekend",Append1[[#This Row],[weekday cnt]]=6,"Weekend",Append1[[#This Row],[weekday cnt]]&gt;0,"Weekday")</f>
        <v>Weekday</v>
      </c>
      <c r="K102">
        <v>3</v>
      </c>
      <c r="L102" t="str" cm="1">
        <f t="array" ref="L10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2">
        <v>1</v>
      </c>
      <c r="N102">
        <v>0.22</v>
      </c>
      <c r="O102">
        <v>100</v>
      </c>
      <c r="P102">
        <v>101</v>
      </c>
      <c r="Q102">
        <v>0.19700000000000001</v>
      </c>
      <c r="R102">
        <v>0.37</v>
      </c>
      <c r="S102">
        <v>0.32840000000000003</v>
      </c>
      <c r="T102">
        <v>6</v>
      </c>
      <c r="U102">
        <v>109</v>
      </c>
      <c r="V102">
        <v>115</v>
      </c>
    </row>
    <row r="103" spans="1:22" x14ac:dyDescent="0.3">
      <c r="A103">
        <v>102</v>
      </c>
      <c r="B103" s="1">
        <v>40548</v>
      </c>
      <c r="C103">
        <v>1</v>
      </c>
      <c r="D103">
        <v>0</v>
      </c>
      <c r="E103" t="str">
        <f>TEXT(Append1[[#This Row],[dteday]],"MMMM")</f>
        <v>January</v>
      </c>
      <c r="F103">
        <v>1</v>
      </c>
      <c r="G103">
        <v>10</v>
      </c>
      <c r="H103" t="b">
        <v>0</v>
      </c>
      <c r="I103" t="str">
        <f>TEXT(Append1[[#This Row],[dteday]],"DDDD")</f>
        <v>Wednesday</v>
      </c>
      <c r="J103" t="str" cm="1">
        <f t="array" ref="J103">_xlfn.IFS(Append1[[#This Row],[weekday cnt]]=0,"Weekend",Append1[[#This Row],[weekday cnt]]=6,"Weekend",Append1[[#This Row],[weekday cnt]]&gt;0,"Weekday")</f>
        <v>Weekday</v>
      </c>
      <c r="K103">
        <v>3</v>
      </c>
      <c r="L103" t="str" cm="1">
        <f t="array" ref="L10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3">
        <v>1</v>
      </c>
      <c r="N103">
        <v>0.22</v>
      </c>
      <c r="O103">
        <v>101</v>
      </c>
      <c r="P103">
        <v>102</v>
      </c>
      <c r="Q103">
        <v>0.19700000000000001</v>
      </c>
      <c r="R103">
        <v>0.37</v>
      </c>
      <c r="S103">
        <v>0.32840000000000003</v>
      </c>
      <c r="T103">
        <v>4</v>
      </c>
      <c r="U103">
        <v>53</v>
      </c>
      <c r="V103">
        <v>57</v>
      </c>
    </row>
    <row r="104" spans="1:22" x14ac:dyDescent="0.3">
      <c r="A104">
        <v>103</v>
      </c>
      <c r="B104" s="1">
        <v>40548</v>
      </c>
      <c r="C104">
        <v>1</v>
      </c>
      <c r="D104">
        <v>0</v>
      </c>
      <c r="E104" t="str">
        <f>TEXT(Append1[[#This Row],[dteday]],"MMMM")</f>
        <v>January</v>
      </c>
      <c r="F104">
        <v>1</v>
      </c>
      <c r="G104">
        <v>11</v>
      </c>
      <c r="H104" t="b">
        <v>0</v>
      </c>
      <c r="I104" t="str">
        <f>TEXT(Append1[[#This Row],[dteday]],"DDDD")</f>
        <v>Wednesday</v>
      </c>
      <c r="J104" t="str" cm="1">
        <f t="array" ref="J104">_xlfn.IFS(Append1[[#This Row],[weekday cnt]]=0,"Weekend",Append1[[#This Row],[weekday cnt]]=6,"Weekend",Append1[[#This Row],[weekday cnt]]&gt;0,"Weekday")</f>
        <v>Weekday</v>
      </c>
      <c r="K104">
        <v>3</v>
      </c>
      <c r="L104" t="str" cm="1">
        <f t="array" ref="L10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4">
        <v>1</v>
      </c>
      <c r="N104">
        <v>0.26</v>
      </c>
      <c r="O104">
        <v>102</v>
      </c>
      <c r="P104">
        <v>103</v>
      </c>
      <c r="Q104">
        <v>0.2273</v>
      </c>
      <c r="R104">
        <v>0.33</v>
      </c>
      <c r="S104">
        <v>0.32840000000000003</v>
      </c>
      <c r="T104">
        <v>12</v>
      </c>
      <c r="U104">
        <v>34</v>
      </c>
      <c r="V104">
        <v>46</v>
      </c>
    </row>
    <row r="105" spans="1:22" x14ac:dyDescent="0.3">
      <c r="A105">
        <v>104</v>
      </c>
      <c r="B105" s="1">
        <v>40548</v>
      </c>
      <c r="C105">
        <v>1</v>
      </c>
      <c r="D105">
        <v>0</v>
      </c>
      <c r="E105" t="str">
        <f>TEXT(Append1[[#This Row],[dteday]],"MMMM")</f>
        <v>January</v>
      </c>
      <c r="F105">
        <v>1</v>
      </c>
      <c r="G105">
        <v>12</v>
      </c>
      <c r="H105" t="b">
        <v>0</v>
      </c>
      <c r="I105" t="str">
        <f>TEXT(Append1[[#This Row],[dteday]],"DDDD")</f>
        <v>Wednesday</v>
      </c>
      <c r="J105" t="str" cm="1">
        <f t="array" ref="J105">_xlfn.IFS(Append1[[#This Row],[weekday cnt]]=0,"Weekend",Append1[[#This Row],[weekday cnt]]=6,"Weekend",Append1[[#This Row],[weekday cnt]]&gt;0,"Weekday")</f>
        <v>Weekday</v>
      </c>
      <c r="K105">
        <v>3</v>
      </c>
      <c r="L105" t="str" cm="1">
        <f t="array" ref="L10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5">
        <v>1</v>
      </c>
      <c r="N105">
        <v>0.26</v>
      </c>
      <c r="O105">
        <v>103</v>
      </c>
      <c r="P105">
        <v>104</v>
      </c>
      <c r="Q105">
        <v>0.2273</v>
      </c>
      <c r="R105">
        <v>0.33</v>
      </c>
      <c r="S105">
        <v>0.32840000000000003</v>
      </c>
      <c r="T105">
        <v>5</v>
      </c>
      <c r="U105">
        <v>74</v>
      </c>
      <c r="V105">
        <v>79</v>
      </c>
    </row>
    <row r="106" spans="1:22" x14ac:dyDescent="0.3">
      <c r="A106">
        <v>105</v>
      </c>
      <c r="B106" s="1">
        <v>40548</v>
      </c>
      <c r="C106">
        <v>1</v>
      </c>
      <c r="D106">
        <v>0</v>
      </c>
      <c r="E106" t="str">
        <f>TEXT(Append1[[#This Row],[dteday]],"MMMM")</f>
        <v>January</v>
      </c>
      <c r="F106">
        <v>1</v>
      </c>
      <c r="G106">
        <v>13</v>
      </c>
      <c r="H106" t="b">
        <v>0</v>
      </c>
      <c r="I106" t="str">
        <f>TEXT(Append1[[#This Row],[dteday]],"DDDD")</f>
        <v>Wednesday</v>
      </c>
      <c r="J106" t="str" cm="1">
        <f t="array" ref="J106">_xlfn.IFS(Append1[[#This Row],[weekday cnt]]=0,"Weekend",Append1[[#This Row],[weekday cnt]]=6,"Weekend",Append1[[#This Row],[weekday cnt]]&gt;0,"Weekday")</f>
        <v>Weekday</v>
      </c>
      <c r="K106">
        <v>3</v>
      </c>
      <c r="L106" t="str" cm="1">
        <f t="array" ref="L10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6">
        <v>1</v>
      </c>
      <c r="N106">
        <v>0.28000000000000003</v>
      </c>
      <c r="O106">
        <v>104</v>
      </c>
      <c r="P106">
        <v>105</v>
      </c>
      <c r="Q106">
        <v>0.2576</v>
      </c>
      <c r="R106">
        <v>0.3</v>
      </c>
      <c r="S106">
        <v>0.29849999999999999</v>
      </c>
      <c r="T106">
        <v>6</v>
      </c>
      <c r="U106">
        <v>65</v>
      </c>
      <c r="V106">
        <v>71</v>
      </c>
    </row>
    <row r="107" spans="1:22" x14ac:dyDescent="0.3">
      <c r="A107">
        <v>106</v>
      </c>
      <c r="B107" s="1">
        <v>40548</v>
      </c>
      <c r="C107">
        <v>1</v>
      </c>
      <c r="D107">
        <v>0</v>
      </c>
      <c r="E107" t="str">
        <f>TEXT(Append1[[#This Row],[dteday]],"MMMM")</f>
        <v>January</v>
      </c>
      <c r="F107">
        <v>1</v>
      </c>
      <c r="G107">
        <v>14</v>
      </c>
      <c r="H107" t="b">
        <v>0</v>
      </c>
      <c r="I107" t="str">
        <f>TEXT(Append1[[#This Row],[dteday]],"DDDD")</f>
        <v>Wednesday</v>
      </c>
      <c r="J107" t="str" cm="1">
        <f t="array" ref="J107">_xlfn.IFS(Append1[[#This Row],[weekday cnt]]=0,"Weekend",Append1[[#This Row],[weekday cnt]]=6,"Weekend",Append1[[#This Row],[weekday cnt]]&gt;0,"Weekday")</f>
        <v>Weekday</v>
      </c>
      <c r="K107">
        <v>3</v>
      </c>
      <c r="L107" t="str" cm="1">
        <f t="array" ref="L10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7">
        <v>1</v>
      </c>
      <c r="N107">
        <v>0.3</v>
      </c>
      <c r="O107">
        <v>105</v>
      </c>
      <c r="P107">
        <v>106</v>
      </c>
      <c r="Q107">
        <v>0.28789999999999999</v>
      </c>
      <c r="R107">
        <v>0.28000000000000003</v>
      </c>
      <c r="S107">
        <v>0.19400000000000001</v>
      </c>
      <c r="T107">
        <v>10</v>
      </c>
      <c r="U107">
        <v>52</v>
      </c>
      <c r="V107">
        <v>62</v>
      </c>
    </row>
    <row r="108" spans="1:22" x14ac:dyDescent="0.3">
      <c r="A108">
        <v>107</v>
      </c>
      <c r="B108" s="1">
        <v>40548</v>
      </c>
      <c r="C108">
        <v>1</v>
      </c>
      <c r="D108">
        <v>0</v>
      </c>
      <c r="E108" t="str">
        <f>TEXT(Append1[[#This Row],[dteday]],"MMMM")</f>
        <v>January</v>
      </c>
      <c r="F108">
        <v>1</v>
      </c>
      <c r="G108">
        <v>15</v>
      </c>
      <c r="H108" t="b">
        <v>0</v>
      </c>
      <c r="I108" t="str">
        <f>TEXT(Append1[[#This Row],[dteday]],"DDDD")</f>
        <v>Wednesday</v>
      </c>
      <c r="J108" t="str" cm="1">
        <f t="array" ref="J108">_xlfn.IFS(Append1[[#This Row],[weekday cnt]]=0,"Weekend",Append1[[#This Row],[weekday cnt]]=6,"Weekend",Append1[[#This Row],[weekday cnt]]&gt;0,"Weekday")</f>
        <v>Weekday</v>
      </c>
      <c r="K108">
        <v>3</v>
      </c>
      <c r="L108" t="str" cm="1">
        <f t="array" ref="L10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8">
        <v>1</v>
      </c>
      <c r="N108">
        <v>0.3</v>
      </c>
      <c r="O108">
        <v>106</v>
      </c>
      <c r="P108">
        <v>107</v>
      </c>
      <c r="Q108">
        <v>0.28789999999999999</v>
      </c>
      <c r="R108">
        <v>0.28000000000000003</v>
      </c>
      <c r="S108">
        <v>0.19400000000000001</v>
      </c>
      <c r="T108">
        <v>7</v>
      </c>
      <c r="U108">
        <v>55</v>
      </c>
      <c r="V108">
        <v>62</v>
      </c>
    </row>
    <row r="109" spans="1:22" x14ac:dyDescent="0.3">
      <c r="A109">
        <v>108</v>
      </c>
      <c r="B109" s="1">
        <v>40548</v>
      </c>
      <c r="C109">
        <v>1</v>
      </c>
      <c r="D109">
        <v>0</v>
      </c>
      <c r="E109" t="str">
        <f>TEXT(Append1[[#This Row],[dteday]],"MMMM")</f>
        <v>January</v>
      </c>
      <c r="F109">
        <v>1</v>
      </c>
      <c r="G109">
        <v>16</v>
      </c>
      <c r="H109" t="b">
        <v>0</v>
      </c>
      <c r="I109" t="str">
        <f>TEXT(Append1[[#This Row],[dteday]],"DDDD")</f>
        <v>Wednesday</v>
      </c>
      <c r="J109" t="str" cm="1">
        <f t="array" ref="J109">_xlfn.IFS(Append1[[#This Row],[weekday cnt]]=0,"Weekend",Append1[[#This Row],[weekday cnt]]=6,"Weekend",Append1[[#This Row],[weekday cnt]]&gt;0,"Weekday")</f>
        <v>Weekday</v>
      </c>
      <c r="K109">
        <v>3</v>
      </c>
      <c r="L109" t="str" cm="1">
        <f t="array" ref="L10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9">
        <v>1</v>
      </c>
      <c r="N109">
        <v>0.3</v>
      </c>
      <c r="O109">
        <v>107</v>
      </c>
      <c r="P109">
        <v>108</v>
      </c>
      <c r="Q109">
        <v>0.31819999999999998</v>
      </c>
      <c r="R109">
        <v>0.28000000000000003</v>
      </c>
      <c r="S109">
        <v>8.9599999999999999E-2</v>
      </c>
      <c r="T109">
        <v>4</v>
      </c>
      <c r="U109">
        <v>85</v>
      </c>
      <c r="V109">
        <v>89</v>
      </c>
    </row>
    <row r="110" spans="1:22" x14ac:dyDescent="0.3">
      <c r="A110">
        <v>109</v>
      </c>
      <c r="B110" s="1">
        <v>40548</v>
      </c>
      <c r="C110">
        <v>1</v>
      </c>
      <c r="D110">
        <v>0</v>
      </c>
      <c r="E110" t="str">
        <f>TEXT(Append1[[#This Row],[dteday]],"MMMM")</f>
        <v>January</v>
      </c>
      <c r="F110">
        <v>1</v>
      </c>
      <c r="G110">
        <v>17</v>
      </c>
      <c r="H110" t="b">
        <v>0</v>
      </c>
      <c r="I110" t="str">
        <f>TEXT(Append1[[#This Row],[dteday]],"DDDD")</f>
        <v>Wednesday</v>
      </c>
      <c r="J110" t="str" cm="1">
        <f t="array" ref="J110">_xlfn.IFS(Append1[[#This Row],[weekday cnt]]=0,"Weekend",Append1[[#This Row],[weekday cnt]]=6,"Weekend",Append1[[#This Row],[weekday cnt]]&gt;0,"Weekday")</f>
        <v>Weekday</v>
      </c>
      <c r="K110">
        <v>3</v>
      </c>
      <c r="L110" t="str" cm="1">
        <f t="array" ref="L1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0">
        <v>1</v>
      </c>
      <c r="N110">
        <v>0.24</v>
      </c>
      <c r="O110">
        <v>108</v>
      </c>
      <c r="P110">
        <v>109</v>
      </c>
      <c r="Q110">
        <v>0.2273</v>
      </c>
      <c r="R110">
        <v>0.38</v>
      </c>
      <c r="S110">
        <v>0.19400000000000001</v>
      </c>
      <c r="T110">
        <v>4</v>
      </c>
      <c r="U110">
        <v>186</v>
      </c>
      <c r="V110">
        <v>190</v>
      </c>
    </row>
    <row r="111" spans="1:22" x14ac:dyDescent="0.3">
      <c r="A111">
        <v>110</v>
      </c>
      <c r="B111" s="1">
        <v>40548</v>
      </c>
      <c r="C111">
        <v>1</v>
      </c>
      <c r="D111">
        <v>0</v>
      </c>
      <c r="E111" t="str">
        <f>TEXT(Append1[[#This Row],[dteday]],"MMMM")</f>
        <v>January</v>
      </c>
      <c r="F111">
        <v>1</v>
      </c>
      <c r="G111">
        <v>18</v>
      </c>
      <c r="H111" t="b">
        <v>0</v>
      </c>
      <c r="I111" t="str">
        <f>TEXT(Append1[[#This Row],[dteday]],"DDDD")</f>
        <v>Wednesday</v>
      </c>
      <c r="J111" t="str" cm="1">
        <f t="array" ref="J111">_xlfn.IFS(Append1[[#This Row],[weekday cnt]]=0,"Weekend",Append1[[#This Row],[weekday cnt]]=6,"Weekend",Append1[[#This Row],[weekday cnt]]&gt;0,"Weekday")</f>
        <v>Weekday</v>
      </c>
      <c r="K111">
        <v>3</v>
      </c>
      <c r="L111" t="str" cm="1">
        <f t="array" ref="L1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1">
        <v>1</v>
      </c>
      <c r="N111">
        <v>0.24</v>
      </c>
      <c r="O111">
        <v>109</v>
      </c>
      <c r="P111">
        <v>110</v>
      </c>
      <c r="Q111">
        <v>0.2424</v>
      </c>
      <c r="R111">
        <v>0.38</v>
      </c>
      <c r="S111">
        <v>0.1343</v>
      </c>
      <c r="T111">
        <v>3</v>
      </c>
      <c r="U111">
        <v>166</v>
      </c>
      <c r="V111">
        <v>169</v>
      </c>
    </row>
    <row r="112" spans="1:22" x14ac:dyDescent="0.3">
      <c r="A112">
        <v>111</v>
      </c>
      <c r="B112" s="1">
        <v>40548</v>
      </c>
      <c r="C112">
        <v>1</v>
      </c>
      <c r="D112">
        <v>0</v>
      </c>
      <c r="E112" t="str">
        <f>TEXT(Append1[[#This Row],[dteday]],"MMMM")</f>
        <v>January</v>
      </c>
      <c r="F112">
        <v>1</v>
      </c>
      <c r="G112">
        <v>19</v>
      </c>
      <c r="H112" t="b">
        <v>0</v>
      </c>
      <c r="I112" t="str">
        <f>TEXT(Append1[[#This Row],[dteday]],"DDDD")</f>
        <v>Wednesday</v>
      </c>
      <c r="J112" t="str" cm="1">
        <f t="array" ref="J112">_xlfn.IFS(Append1[[#This Row],[weekday cnt]]=0,"Weekend",Append1[[#This Row],[weekday cnt]]=6,"Weekend",Append1[[#This Row],[weekday cnt]]&gt;0,"Weekday")</f>
        <v>Weekday</v>
      </c>
      <c r="K112">
        <v>3</v>
      </c>
      <c r="L112" t="str" cm="1">
        <f t="array" ref="L1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2">
        <v>1</v>
      </c>
      <c r="N112">
        <v>0.24</v>
      </c>
      <c r="O112">
        <v>110</v>
      </c>
      <c r="P112">
        <v>111</v>
      </c>
      <c r="Q112">
        <v>0.2576</v>
      </c>
      <c r="R112">
        <v>0.38</v>
      </c>
      <c r="S112">
        <v>0.1045</v>
      </c>
      <c r="T112">
        <v>5</v>
      </c>
      <c r="U112">
        <v>127</v>
      </c>
      <c r="V112">
        <v>132</v>
      </c>
    </row>
    <row r="113" spans="1:22" x14ac:dyDescent="0.3">
      <c r="A113">
        <v>112</v>
      </c>
      <c r="B113" s="1">
        <v>40548</v>
      </c>
      <c r="C113">
        <v>1</v>
      </c>
      <c r="D113">
        <v>0</v>
      </c>
      <c r="E113" t="str">
        <f>TEXT(Append1[[#This Row],[dteday]],"MMMM")</f>
        <v>January</v>
      </c>
      <c r="F113">
        <v>1</v>
      </c>
      <c r="G113">
        <v>20</v>
      </c>
      <c r="H113" t="b">
        <v>0</v>
      </c>
      <c r="I113" t="str">
        <f>TEXT(Append1[[#This Row],[dteday]],"DDDD")</f>
        <v>Wednesday</v>
      </c>
      <c r="J113" t="str" cm="1">
        <f t="array" ref="J113">_xlfn.IFS(Append1[[#This Row],[weekday cnt]]=0,"Weekend",Append1[[#This Row],[weekday cnt]]=6,"Weekend",Append1[[#This Row],[weekday cnt]]&gt;0,"Weekday")</f>
        <v>Weekday</v>
      </c>
      <c r="K113">
        <v>3</v>
      </c>
      <c r="L113" t="str" cm="1">
        <f t="array" ref="L1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3">
        <v>1</v>
      </c>
      <c r="N113">
        <v>0.22</v>
      </c>
      <c r="O113">
        <v>111</v>
      </c>
      <c r="P113">
        <v>112</v>
      </c>
      <c r="Q113">
        <v>0.2273</v>
      </c>
      <c r="R113">
        <v>0.47</v>
      </c>
      <c r="S113">
        <v>0.16420000000000001</v>
      </c>
      <c r="T113">
        <v>7</v>
      </c>
      <c r="U113">
        <v>82</v>
      </c>
      <c r="V113">
        <v>89</v>
      </c>
    </row>
    <row r="114" spans="1:22" x14ac:dyDescent="0.3">
      <c r="A114">
        <v>113</v>
      </c>
      <c r="B114" s="1">
        <v>40548</v>
      </c>
      <c r="C114">
        <v>1</v>
      </c>
      <c r="D114">
        <v>0</v>
      </c>
      <c r="E114" t="str">
        <f>TEXT(Append1[[#This Row],[dteday]],"MMMM")</f>
        <v>January</v>
      </c>
      <c r="F114">
        <v>1</v>
      </c>
      <c r="G114">
        <v>21</v>
      </c>
      <c r="H114" t="b">
        <v>0</v>
      </c>
      <c r="I114" t="str">
        <f>TEXT(Append1[[#This Row],[dteday]],"DDDD")</f>
        <v>Wednesday</v>
      </c>
      <c r="J114" t="str" cm="1">
        <f t="array" ref="J114">_xlfn.IFS(Append1[[#This Row],[weekday cnt]]=0,"Weekend",Append1[[#This Row],[weekday cnt]]=6,"Weekend",Append1[[#This Row],[weekday cnt]]&gt;0,"Weekday")</f>
        <v>Weekday</v>
      </c>
      <c r="K114">
        <v>3</v>
      </c>
      <c r="L114" t="str" cm="1">
        <f t="array" ref="L1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4">
        <v>1</v>
      </c>
      <c r="N114">
        <v>0.2</v>
      </c>
      <c r="O114">
        <v>112</v>
      </c>
      <c r="P114">
        <v>113</v>
      </c>
      <c r="Q114">
        <v>0.19700000000000001</v>
      </c>
      <c r="R114">
        <v>0.51</v>
      </c>
      <c r="S114">
        <v>0.19400000000000001</v>
      </c>
      <c r="T114">
        <v>3</v>
      </c>
      <c r="U114">
        <v>40</v>
      </c>
      <c r="V114">
        <v>43</v>
      </c>
    </row>
    <row r="115" spans="1:22" x14ac:dyDescent="0.3">
      <c r="A115">
        <v>114</v>
      </c>
      <c r="B115" s="1">
        <v>40548</v>
      </c>
      <c r="C115">
        <v>1</v>
      </c>
      <c r="D115">
        <v>0</v>
      </c>
      <c r="E115" t="str">
        <f>TEXT(Append1[[#This Row],[dteday]],"MMMM")</f>
        <v>January</v>
      </c>
      <c r="F115">
        <v>1</v>
      </c>
      <c r="G115">
        <v>22</v>
      </c>
      <c r="H115" t="b">
        <v>0</v>
      </c>
      <c r="I115" t="str">
        <f>TEXT(Append1[[#This Row],[dteday]],"DDDD")</f>
        <v>Wednesday</v>
      </c>
      <c r="J115" t="str" cm="1">
        <f t="array" ref="J115">_xlfn.IFS(Append1[[#This Row],[weekday cnt]]=0,"Weekend",Append1[[#This Row],[weekday cnt]]=6,"Weekend",Append1[[#This Row],[weekday cnt]]&gt;0,"Weekday")</f>
        <v>Weekday</v>
      </c>
      <c r="K115">
        <v>3</v>
      </c>
      <c r="L115" t="str" cm="1">
        <f t="array" ref="L1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5">
        <v>1</v>
      </c>
      <c r="N115">
        <v>0.18</v>
      </c>
      <c r="O115">
        <v>113</v>
      </c>
      <c r="P115">
        <v>114</v>
      </c>
      <c r="Q115">
        <v>0.19700000000000001</v>
      </c>
      <c r="R115">
        <v>0.55000000000000004</v>
      </c>
      <c r="S115">
        <v>0.1343</v>
      </c>
      <c r="T115">
        <v>1</v>
      </c>
      <c r="U115">
        <v>41</v>
      </c>
      <c r="V115">
        <v>42</v>
      </c>
    </row>
    <row r="116" spans="1:22" x14ac:dyDescent="0.3">
      <c r="A116">
        <v>115</v>
      </c>
      <c r="B116" s="1">
        <v>40548</v>
      </c>
      <c r="C116">
        <v>1</v>
      </c>
      <c r="D116">
        <v>0</v>
      </c>
      <c r="E116" t="str">
        <f>TEXT(Append1[[#This Row],[dteday]],"MMMM")</f>
        <v>January</v>
      </c>
      <c r="F116">
        <v>1</v>
      </c>
      <c r="G116">
        <v>23</v>
      </c>
      <c r="H116" t="b">
        <v>0</v>
      </c>
      <c r="I116" t="str">
        <f>TEXT(Append1[[#This Row],[dteday]],"DDDD")</f>
        <v>Wednesday</v>
      </c>
      <c r="J116" t="str" cm="1">
        <f t="array" ref="J116">_xlfn.IFS(Append1[[#This Row],[weekday cnt]]=0,"Weekend",Append1[[#This Row],[weekday cnt]]=6,"Weekend",Append1[[#This Row],[weekday cnt]]&gt;0,"Weekday")</f>
        <v>Weekday</v>
      </c>
      <c r="K116">
        <v>3</v>
      </c>
      <c r="L116" t="str" cm="1">
        <f t="array" ref="L1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6">
        <v>1</v>
      </c>
      <c r="N116">
        <v>0.2</v>
      </c>
      <c r="O116">
        <v>114</v>
      </c>
      <c r="P116">
        <v>115</v>
      </c>
      <c r="Q116">
        <v>0.2576</v>
      </c>
      <c r="R116">
        <v>0.47</v>
      </c>
      <c r="S116">
        <v>0</v>
      </c>
      <c r="T116">
        <v>1</v>
      </c>
      <c r="U116">
        <v>18</v>
      </c>
      <c r="V116">
        <v>19</v>
      </c>
    </row>
    <row r="117" spans="1:22" x14ac:dyDescent="0.3">
      <c r="A117">
        <v>116</v>
      </c>
      <c r="B117" s="1">
        <v>40549</v>
      </c>
      <c r="C117">
        <v>1</v>
      </c>
      <c r="D117">
        <v>0</v>
      </c>
      <c r="E117" t="str">
        <f>TEXT(Append1[[#This Row],[dteday]],"MMMM")</f>
        <v>January</v>
      </c>
      <c r="F117">
        <v>1</v>
      </c>
      <c r="G117">
        <v>0</v>
      </c>
      <c r="H117" t="b">
        <v>0</v>
      </c>
      <c r="I117" t="str">
        <f>TEXT(Append1[[#This Row],[dteday]],"DDDD")</f>
        <v>Thursday</v>
      </c>
      <c r="J117" t="str" cm="1">
        <f t="array" ref="J117">_xlfn.IFS(Append1[[#This Row],[weekday cnt]]=0,"Weekend",Append1[[#This Row],[weekday cnt]]=6,"Weekend",Append1[[#This Row],[weekday cnt]]&gt;0,"Weekday")</f>
        <v>Weekday</v>
      </c>
      <c r="K117">
        <v>4</v>
      </c>
      <c r="L117" t="str" cm="1">
        <f t="array" ref="L1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7">
        <v>1</v>
      </c>
      <c r="N117">
        <v>0.18</v>
      </c>
      <c r="O117">
        <v>115</v>
      </c>
      <c r="P117">
        <v>116</v>
      </c>
      <c r="Q117">
        <v>0.2424</v>
      </c>
      <c r="R117">
        <v>0.55000000000000004</v>
      </c>
      <c r="S117">
        <v>0</v>
      </c>
      <c r="T117">
        <v>0</v>
      </c>
      <c r="U117">
        <v>11</v>
      </c>
      <c r="V117">
        <v>11</v>
      </c>
    </row>
    <row r="118" spans="1:22" x14ac:dyDescent="0.3">
      <c r="A118">
        <v>117</v>
      </c>
      <c r="B118" s="1">
        <v>40549</v>
      </c>
      <c r="C118">
        <v>1</v>
      </c>
      <c r="D118">
        <v>0</v>
      </c>
      <c r="E118" t="str">
        <f>TEXT(Append1[[#This Row],[dteday]],"MMMM")</f>
        <v>January</v>
      </c>
      <c r="F118">
        <v>1</v>
      </c>
      <c r="G118">
        <v>1</v>
      </c>
      <c r="H118" t="b">
        <v>0</v>
      </c>
      <c r="I118" t="str">
        <f>TEXT(Append1[[#This Row],[dteday]],"DDDD")</f>
        <v>Thursday</v>
      </c>
      <c r="J118" t="str" cm="1">
        <f t="array" ref="J118">_xlfn.IFS(Append1[[#This Row],[weekday cnt]]=0,"Weekend",Append1[[#This Row],[weekday cnt]]=6,"Weekend",Append1[[#This Row],[weekday cnt]]&gt;0,"Weekday")</f>
        <v>Weekday</v>
      </c>
      <c r="K118">
        <v>4</v>
      </c>
      <c r="L118" t="str" cm="1">
        <f t="array" ref="L1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8">
        <v>1</v>
      </c>
      <c r="N118">
        <v>0.16</v>
      </c>
      <c r="O118">
        <v>116</v>
      </c>
      <c r="P118">
        <v>117</v>
      </c>
      <c r="Q118">
        <v>0.2273</v>
      </c>
      <c r="R118">
        <v>0.64</v>
      </c>
      <c r="S118">
        <v>0</v>
      </c>
      <c r="T118">
        <v>0</v>
      </c>
      <c r="U118">
        <v>4</v>
      </c>
      <c r="V118">
        <v>4</v>
      </c>
    </row>
    <row r="119" spans="1:22" x14ac:dyDescent="0.3">
      <c r="A119">
        <v>118</v>
      </c>
      <c r="B119" s="1">
        <v>40549</v>
      </c>
      <c r="C119">
        <v>1</v>
      </c>
      <c r="D119">
        <v>0</v>
      </c>
      <c r="E119" t="str">
        <f>TEXT(Append1[[#This Row],[dteday]],"MMMM")</f>
        <v>January</v>
      </c>
      <c r="F119">
        <v>1</v>
      </c>
      <c r="G119">
        <v>2</v>
      </c>
      <c r="H119" t="b">
        <v>0</v>
      </c>
      <c r="I119" t="str">
        <f>TEXT(Append1[[#This Row],[dteday]],"DDDD")</f>
        <v>Thursday</v>
      </c>
      <c r="J119" t="str" cm="1">
        <f t="array" ref="J119">_xlfn.IFS(Append1[[#This Row],[weekday cnt]]=0,"Weekend",Append1[[#This Row],[weekday cnt]]=6,"Weekend",Append1[[#This Row],[weekday cnt]]&gt;0,"Weekday")</f>
        <v>Weekday</v>
      </c>
      <c r="K119">
        <v>4</v>
      </c>
      <c r="L119" t="str" cm="1">
        <f t="array" ref="L1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19">
        <v>1</v>
      </c>
      <c r="N119">
        <v>0.16</v>
      </c>
      <c r="O119">
        <v>117</v>
      </c>
      <c r="P119">
        <v>118</v>
      </c>
      <c r="Q119">
        <v>0.2273</v>
      </c>
      <c r="R119">
        <v>0.64</v>
      </c>
      <c r="S119">
        <v>0</v>
      </c>
      <c r="T119">
        <v>0</v>
      </c>
      <c r="U119">
        <v>2</v>
      </c>
      <c r="V119">
        <v>2</v>
      </c>
    </row>
    <row r="120" spans="1:22" x14ac:dyDescent="0.3">
      <c r="A120">
        <v>119</v>
      </c>
      <c r="B120" s="1">
        <v>40549</v>
      </c>
      <c r="C120">
        <v>1</v>
      </c>
      <c r="D120">
        <v>0</v>
      </c>
      <c r="E120" t="str">
        <f>TEXT(Append1[[#This Row],[dteday]],"MMMM")</f>
        <v>January</v>
      </c>
      <c r="F120">
        <v>1</v>
      </c>
      <c r="G120">
        <v>4</v>
      </c>
      <c r="H120" t="b">
        <v>0</v>
      </c>
      <c r="I120" t="str">
        <f>TEXT(Append1[[#This Row],[dteday]],"DDDD")</f>
        <v>Thursday</v>
      </c>
      <c r="J120" t="str" cm="1">
        <f t="array" ref="J120">_xlfn.IFS(Append1[[#This Row],[weekday cnt]]=0,"Weekend",Append1[[#This Row],[weekday cnt]]=6,"Weekend",Append1[[#This Row],[weekday cnt]]&gt;0,"Weekday")</f>
        <v>Weekday</v>
      </c>
      <c r="K120">
        <v>4</v>
      </c>
      <c r="L120" t="str" cm="1">
        <f t="array" ref="L1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20">
        <v>2</v>
      </c>
      <c r="N120">
        <v>0.16</v>
      </c>
      <c r="O120">
        <v>118</v>
      </c>
      <c r="P120">
        <v>119</v>
      </c>
      <c r="Q120">
        <v>0.19700000000000001</v>
      </c>
      <c r="R120">
        <v>0.64</v>
      </c>
      <c r="S120">
        <v>8.9599999999999999E-2</v>
      </c>
      <c r="T120">
        <v>0</v>
      </c>
      <c r="U120">
        <v>1</v>
      </c>
      <c r="V120">
        <v>1</v>
      </c>
    </row>
    <row r="121" spans="1:22" x14ac:dyDescent="0.3">
      <c r="A121">
        <v>120</v>
      </c>
      <c r="B121" s="1">
        <v>40549</v>
      </c>
      <c r="C121">
        <v>1</v>
      </c>
      <c r="D121">
        <v>0</v>
      </c>
      <c r="E121" t="str">
        <f>TEXT(Append1[[#This Row],[dteday]],"MMMM")</f>
        <v>January</v>
      </c>
      <c r="F121">
        <v>1</v>
      </c>
      <c r="G121">
        <v>5</v>
      </c>
      <c r="H121" t="b">
        <v>0</v>
      </c>
      <c r="I121" t="str">
        <f>TEXT(Append1[[#This Row],[dteday]],"DDDD")</f>
        <v>Thursday</v>
      </c>
      <c r="J121" t="str" cm="1">
        <f t="array" ref="J121">_xlfn.IFS(Append1[[#This Row],[weekday cnt]]=0,"Weekend",Append1[[#This Row],[weekday cnt]]=6,"Weekend",Append1[[#This Row],[weekday cnt]]&gt;0,"Weekday")</f>
        <v>Weekday</v>
      </c>
      <c r="K121">
        <v>4</v>
      </c>
      <c r="L121" t="str" cm="1">
        <f t="array" ref="L1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21">
        <v>2</v>
      </c>
      <c r="N121">
        <v>0.14000000000000001</v>
      </c>
      <c r="O121">
        <v>119</v>
      </c>
      <c r="P121">
        <v>120</v>
      </c>
      <c r="Q121">
        <v>0.18179999999999999</v>
      </c>
      <c r="R121">
        <v>0.69</v>
      </c>
      <c r="S121">
        <v>8.9599999999999999E-2</v>
      </c>
      <c r="T121">
        <v>0</v>
      </c>
      <c r="U121">
        <v>4</v>
      </c>
      <c r="V121">
        <v>4</v>
      </c>
    </row>
    <row r="122" spans="1:22" x14ac:dyDescent="0.3">
      <c r="A122">
        <v>121</v>
      </c>
      <c r="B122" s="1">
        <v>40549</v>
      </c>
      <c r="C122">
        <v>1</v>
      </c>
      <c r="D122">
        <v>0</v>
      </c>
      <c r="E122" t="str">
        <f>TEXT(Append1[[#This Row],[dteday]],"MMMM")</f>
        <v>January</v>
      </c>
      <c r="F122">
        <v>1</v>
      </c>
      <c r="G122">
        <v>6</v>
      </c>
      <c r="H122" t="b">
        <v>0</v>
      </c>
      <c r="I122" t="str">
        <f>TEXT(Append1[[#This Row],[dteday]],"DDDD")</f>
        <v>Thursday</v>
      </c>
      <c r="J122" t="str" cm="1">
        <f t="array" ref="J122">_xlfn.IFS(Append1[[#This Row],[weekday cnt]]=0,"Weekend",Append1[[#This Row],[weekday cnt]]=6,"Weekend",Append1[[#This Row],[weekday cnt]]&gt;0,"Weekday")</f>
        <v>Weekday</v>
      </c>
      <c r="K122">
        <v>4</v>
      </c>
      <c r="L122" t="str" cm="1">
        <f t="array" ref="L1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22">
        <v>2</v>
      </c>
      <c r="N122">
        <v>0.14000000000000001</v>
      </c>
      <c r="O122">
        <v>120</v>
      </c>
      <c r="P122">
        <v>121</v>
      </c>
      <c r="Q122">
        <v>0.16669999999999999</v>
      </c>
      <c r="R122">
        <v>0.63</v>
      </c>
      <c r="S122">
        <v>0.1045</v>
      </c>
      <c r="T122">
        <v>0</v>
      </c>
      <c r="U122">
        <v>36</v>
      </c>
      <c r="V122">
        <v>36</v>
      </c>
    </row>
    <row r="123" spans="1:22" x14ac:dyDescent="0.3">
      <c r="A123">
        <v>122</v>
      </c>
      <c r="B123" s="1">
        <v>40549</v>
      </c>
      <c r="C123">
        <v>1</v>
      </c>
      <c r="D123">
        <v>0</v>
      </c>
      <c r="E123" t="str">
        <f>TEXT(Append1[[#This Row],[dteday]],"MMMM")</f>
        <v>January</v>
      </c>
      <c r="F123">
        <v>1</v>
      </c>
      <c r="G123">
        <v>7</v>
      </c>
      <c r="H123" t="b">
        <v>0</v>
      </c>
      <c r="I123" t="str">
        <f>TEXT(Append1[[#This Row],[dteday]],"DDDD")</f>
        <v>Thursday</v>
      </c>
      <c r="J123" t="str" cm="1">
        <f t="array" ref="J123">_xlfn.IFS(Append1[[#This Row],[weekday cnt]]=0,"Weekend",Append1[[#This Row],[weekday cnt]]=6,"Weekend",Append1[[#This Row],[weekday cnt]]&gt;0,"Weekday")</f>
        <v>Weekday</v>
      </c>
      <c r="K123">
        <v>4</v>
      </c>
      <c r="L123" t="str" cm="1">
        <f t="array" ref="L1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23">
        <v>2</v>
      </c>
      <c r="N123">
        <v>0.16</v>
      </c>
      <c r="O123">
        <v>121</v>
      </c>
      <c r="P123">
        <v>122</v>
      </c>
      <c r="Q123">
        <v>0.2273</v>
      </c>
      <c r="R123">
        <v>0.59</v>
      </c>
      <c r="S123">
        <v>0</v>
      </c>
      <c r="T123">
        <v>0</v>
      </c>
      <c r="U123">
        <v>95</v>
      </c>
      <c r="V123">
        <v>95</v>
      </c>
    </row>
    <row r="124" spans="1:22" x14ac:dyDescent="0.3">
      <c r="A124">
        <v>123</v>
      </c>
      <c r="B124" s="1">
        <v>40549</v>
      </c>
      <c r="C124">
        <v>1</v>
      </c>
      <c r="D124">
        <v>0</v>
      </c>
      <c r="E124" t="str">
        <f>TEXT(Append1[[#This Row],[dteday]],"MMMM")</f>
        <v>January</v>
      </c>
      <c r="F124">
        <v>1</v>
      </c>
      <c r="G124">
        <v>8</v>
      </c>
      <c r="H124" t="b">
        <v>0</v>
      </c>
      <c r="I124" t="str">
        <f>TEXT(Append1[[#This Row],[dteday]],"DDDD")</f>
        <v>Thursday</v>
      </c>
      <c r="J124" t="str" cm="1">
        <f t="array" ref="J124">_xlfn.IFS(Append1[[#This Row],[weekday cnt]]=0,"Weekend",Append1[[#This Row],[weekday cnt]]=6,"Weekend",Append1[[#This Row],[weekday cnt]]&gt;0,"Weekday")</f>
        <v>Weekday</v>
      </c>
      <c r="K124">
        <v>4</v>
      </c>
      <c r="L124" t="str" cm="1">
        <f t="array" ref="L1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24">
        <v>1</v>
      </c>
      <c r="N124">
        <v>0.16</v>
      </c>
      <c r="O124">
        <v>122</v>
      </c>
      <c r="P124">
        <v>123</v>
      </c>
      <c r="Q124">
        <v>0.2273</v>
      </c>
      <c r="R124">
        <v>0.59</v>
      </c>
      <c r="S124">
        <v>0</v>
      </c>
      <c r="T124">
        <v>3</v>
      </c>
      <c r="U124">
        <v>216</v>
      </c>
      <c r="V124">
        <v>219</v>
      </c>
    </row>
    <row r="125" spans="1:22" x14ac:dyDescent="0.3">
      <c r="A125">
        <v>124</v>
      </c>
      <c r="B125" s="1">
        <v>40549</v>
      </c>
      <c r="C125">
        <v>1</v>
      </c>
      <c r="D125">
        <v>0</v>
      </c>
      <c r="E125" t="str">
        <f>TEXT(Append1[[#This Row],[dteday]],"MMMM")</f>
        <v>January</v>
      </c>
      <c r="F125">
        <v>1</v>
      </c>
      <c r="G125">
        <v>9</v>
      </c>
      <c r="H125" t="b">
        <v>0</v>
      </c>
      <c r="I125" t="str">
        <f>TEXT(Append1[[#This Row],[dteday]],"DDDD")</f>
        <v>Thursday</v>
      </c>
      <c r="J125" t="str" cm="1">
        <f t="array" ref="J125">_xlfn.IFS(Append1[[#This Row],[weekday cnt]]=0,"Weekend",Append1[[#This Row],[weekday cnt]]=6,"Weekend",Append1[[#This Row],[weekday cnt]]&gt;0,"Weekday")</f>
        <v>Weekday</v>
      </c>
      <c r="K125">
        <v>4</v>
      </c>
      <c r="L125" t="str" cm="1">
        <f t="array" ref="L1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25">
        <v>2</v>
      </c>
      <c r="N125">
        <v>0.18</v>
      </c>
      <c r="O125">
        <v>123</v>
      </c>
      <c r="P125">
        <v>124</v>
      </c>
      <c r="Q125">
        <v>0.2424</v>
      </c>
      <c r="R125">
        <v>0.51</v>
      </c>
      <c r="S125">
        <v>0</v>
      </c>
      <c r="T125">
        <v>6</v>
      </c>
      <c r="U125">
        <v>116</v>
      </c>
      <c r="V125">
        <v>122</v>
      </c>
    </row>
    <row r="126" spans="1:22" x14ac:dyDescent="0.3">
      <c r="A126">
        <v>125</v>
      </c>
      <c r="B126" s="1">
        <v>40549</v>
      </c>
      <c r="C126">
        <v>1</v>
      </c>
      <c r="D126">
        <v>0</v>
      </c>
      <c r="E126" t="str">
        <f>TEXT(Append1[[#This Row],[dteday]],"MMMM")</f>
        <v>January</v>
      </c>
      <c r="F126">
        <v>1</v>
      </c>
      <c r="G126">
        <v>10</v>
      </c>
      <c r="H126" t="b">
        <v>0</v>
      </c>
      <c r="I126" t="str">
        <f>TEXT(Append1[[#This Row],[dteday]],"DDDD")</f>
        <v>Thursday</v>
      </c>
      <c r="J126" t="str" cm="1">
        <f t="array" ref="J126">_xlfn.IFS(Append1[[#This Row],[weekday cnt]]=0,"Weekend",Append1[[#This Row],[weekday cnt]]=6,"Weekend",Append1[[#This Row],[weekday cnt]]&gt;0,"Weekday")</f>
        <v>Weekday</v>
      </c>
      <c r="K126">
        <v>4</v>
      </c>
      <c r="L126" t="str" cm="1">
        <f t="array" ref="L1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26">
        <v>1</v>
      </c>
      <c r="N126">
        <v>0.2</v>
      </c>
      <c r="O126">
        <v>124</v>
      </c>
      <c r="P126">
        <v>125</v>
      </c>
      <c r="Q126">
        <v>0.2576</v>
      </c>
      <c r="R126">
        <v>0.47</v>
      </c>
      <c r="S126">
        <v>0</v>
      </c>
      <c r="T126">
        <v>3</v>
      </c>
      <c r="U126">
        <v>42</v>
      </c>
      <c r="V126">
        <v>45</v>
      </c>
    </row>
    <row r="127" spans="1:22" x14ac:dyDescent="0.3">
      <c r="A127">
        <v>126</v>
      </c>
      <c r="B127" s="1">
        <v>40549</v>
      </c>
      <c r="C127">
        <v>1</v>
      </c>
      <c r="D127">
        <v>0</v>
      </c>
      <c r="E127" t="str">
        <f>TEXT(Append1[[#This Row],[dteday]],"MMMM")</f>
        <v>January</v>
      </c>
      <c r="F127">
        <v>1</v>
      </c>
      <c r="G127">
        <v>11</v>
      </c>
      <c r="H127" t="b">
        <v>0</v>
      </c>
      <c r="I127" t="str">
        <f>TEXT(Append1[[#This Row],[dteday]],"DDDD")</f>
        <v>Thursday</v>
      </c>
      <c r="J127" t="str" cm="1">
        <f t="array" ref="J127">_xlfn.IFS(Append1[[#This Row],[weekday cnt]]=0,"Weekend",Append1[[#This Row],[weekday cnt]]=6,"Weekend",Append1[[#This Row],[weekday cnt]]&gt;0,"Weekday")</f>
        <v>Weekday</v>
      </c>
      <c r="K127">
        <v>4</v>
      </c>
      <c r="L127" t="str" cm="1">
        <f t="array" ref="L1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27">
        <v>1</v>
      </c>
      <c r="N127">
        <v>0.22</v>
      </c>
      <c r="O127">
        <v>125</v>
      </c>
      <c r="P127">
        <v>126</v>
      </c>
      <c r="Q127">
        <v>0.2576</v>
      </c>
      <c r="R127">
        <v>0.44</v>
      </c>
      <c r="S127">
        <v>8.9599999999999999E-2</v>
      </c>
      <c r="T127">
        <v>2</v>
      </c>
      <c r="U127">
        <v>57</v>
      </c>
      <c r="V127">
        <v>59</v>
      </c>
    </row>
    <row r="128" spans="1:22" x14ac:dyDescent="0.3">
      <c r="A128">
        <v>127</v>
      </c>
      <c r="B128" s="1">
        <v>40549</v>
      </c>
      <c r="C128">
        <v>1</v>
      </c>
      <c r="D128">
        <v>0</v>
      </c>
      <c r="E128" t="str">
        <f>TEXT(Append1[[#This Row],[dteday]],"MMMM")</f>
        <v>January</v>
      </c>
      <c r="F128">
        <v>1</v>
      </c>
      <c r="G128">
        <v>12</v>
      </c>
      <c r="H128" t="b">
        <v>0</v>
      </c>
      <c r="I128" t="str">
        <f>TEXT(Append1[[#This Row],[dteday]],"DDDD")</f>
        <v>Thursday</v>
      </c>
      <c r="J128" t="str" cm="1">
        <f t="array" ref="J128">_xlfn.IFS(Append1[[#This Row],[weekday cnt]]=0,"Weekend",Append1[[#This Row],[weekday cnt]]=6,"Weekend",Append1[[#This Row],[weekday cnt]]&gt;0,"Weekday")</f>
        <v>Weekday</v>
      </c>
      <c r="K128">
        <v>4</v>
      </c>
      <c r="L128" t="str" cm="1">
        <f t="array" ref="L1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28">
        <v>1</v>
      </c>
      <c r="N128">
        <v>0.26</v>
      </c>
      <c r="O128">
        <v>126</v>
      </c>
      <c r="P128">
        <v>127</v>
      </c>
      <c r="Q128">
        <v>0.28789999999999999</v>
      </c>
      <c r="R128">
        <v>0.35</v>
      </c>
      <c r="S128">
        <v>0</v>
      </c>
      <c r="T128">
        <v>6</v>
      </c>
      <c r="U128">
        <v>78</v>
      </c>
      <c r="V128">
        <v>84</v>
      </c>
    </row>
    <row r="129" spans="1:22" x14ac:dyDescent="0.3">
      <c r="A129">
        <v>128</v>
      </c>
      <c r="B129" s="1">
        <v>40549</v>
      </c>
      <c r="C129">
        <v>1</v>
      </c>
      <c r="D129">
        <v>0</v>
      </c>
      <c r="E129" t="str">
        <f>TEXT(Append1[[#This Row],[dteday]],"MMMM")</f>
        <v>January</v>
      </c>
      <c r="F129">
        <v>1</v>
      </c>
      <c r="G129">
        <v>13</v>
      </c>
      <c r="H129" t="b">
        <v>0</v>
      </c>
      <c r="I129" t="str">
        <f>TEXT(Append1[[#This Row],[dteday]],"DDDD")</f>
        <v>Thursday</v>
      </c>
      <c r="J129" t="str" cm="1">
        <f t="array" ref="J129">_xlfn.IFS(Append1[[#This Row],[weekday cnt]]=0,"Weekend",Append1[[#This Row],[weekday cnt]]=6,"Weekend",Append1[[#This Row],[weekday cnt]]&gt;0,"Weekday")</f>
        <v>Weekday</v>
      </c>
      <c r="K129">
        <v>4</v>
      </c>
      <c r="L129" t="str" cm="1">
        <f t="array" ref="L1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29">
        <v>1</v>
      </c>
      <c r="N129">
        <v>0.26</v>
      </c>
      <c r="O129">
        <v>127</v>
      </c>
      <c r="P129">
        <v>128</v>
      </c>
      <c r="Q129">
        <v>0.2727</v>
      </c>
      <c r="R129">
        <v>0.35</v>
      </c>
      <c r="S129">
        <v>0.1045</v>
      </c>
      <c r="T129">
        <v>12</v>
      </c>
      <c r="U129">
        <v>55</v>
      </c>
      <c r="V129">
        <v>67</v>
      </c>
    </row>
    <row r="130" spans="1:22" x14ac:dyDescent="0.3">
      <c r="A130">
        <v>129</v>
      </c>
      <c r="B130" s="1">
        <v>40549</v>
      </c>
      <c r="C130">
        <v>1</v>
      </c>
      <c r="D130">
        <v>0</v>
      </c>
      <c r="E130" t="str">
        <f>TEXT(Append1[[#This Row],[dteday]],"MMMM")</f>
        <v>January</v>
      </c>
      <c r="F130">
        <v>1</v>
      </c>
      <c r="G130">
        <v>14</v>
      </c>
      <c r="H130" t="b">
        <v>0</v>
      </c>
      <c r="I130" t="str">
        <f>TEXT(Append1[[#This Row],[dteday]],"DDDD")</f>
        <v>Thursday</v>
      </c>
      <c r="J130" t="str" cm="1">
        <f t="array" ref="J130">_xlfn.IFS(Append1[[#This Row],[weekday cnt]]=0,"Weekend",Append1[[#This Row],[weekday cnt]]=6,"Weekend",Append1[[#This Row],[weekday cnt]]&gt;0,"Weekday")</f>
        <v>Weekday</v>
      </c>
      <c r="K130">
        <v>4</v>
      </c>
      <c r="L130" t="str" cm="1">
        <f t="array" ref="L1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30">
        <v>1</v>
      </c>
      <c r="N130">
        <v>0.28000000000000003</v>
      </c>
      <c r="O130">
        <v>128</v>
      </c>
      <c r="P130">
        <v>129</v>
      </c>
      <c r="Q130">
        <v>0.2727</v>
      </c>
      <c r="R130">
        <v>0.36</v>
      </c>
      <c r="S130">
        <v>0.16420000000000001</v>
      </c>
      <c r="T130">
        <v>11</v>
      </c>
      <c r="U130">
        <v>59</v>
      </c>
      <c r="V130">
        <v>70</v>
      </c>
    </row>
    <row r="131" spans="1:22" x14ac:dyDescent="0.3">
      <c r="A131">
        <v>130</v>
      </c>
      <c r="B131" s="1">
        <v>40549</v>
      </c>
      <c r="C131">
        <v>1</v>
      </c>
      <c r="D131">
        <v>0</v>
      </c>
      <c r="E131" t="str">
        <f>TEXT(Append1[[#This Row],[dteday]],"MMMM")</f>
        <v>January</v>
      </c>
      <c r="F131">
        <v>1</v>
      </c>
      <c r="G131">
        <v>15</v>
      </c>
      <c r="H131" t="b">
        <v>0</v>
      </c>
      <c r="I131" t="str">
        <f>TEXT(Append1[[#This Row],[dteday]],"DDDD")</f>
        <v>Thursday</v>
      </c>
      <c r="J131" t="str" cm="1">
        <f t="array" ref="J131">_xlfn.IFS(Append1[[#This Row],[weekday cnt]]=0,"Weekend",Append1[[#This Row],[weekday cnt]]=6,"Weekend",Append1[[#This Row],[weekday cnt]]&gt;0,"Weekday")</f>
        <v>Weekday</v>
      </c>
      <c r="K131">
        <v>4</v>
      </c>
      <c r="L131" t="str" cm="1">
        <f t="array" ref="L1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31">
        <v>1</v>
      </c>
      <c r="N131">
        <v>0.28000000000000003</v>
      </c>
      <c r="O131">
        <v>129</v>
      </c>
      <c r="P131">
        <v>130</v>
      </c>
      <c r="Q131">
        <v>0.2727</v>
      </c>
      <c r="R131">
        <v>0.36</v>
      </c>
      <c r="S131">
        <v>0</v>
      </c>
      <c r="T131">
        <v>8</v>
      </c>
      <c r="U131">
        <v>54</v>
      </c>
      <c r="V131">
        <v>62</v>
      </c>
    </row>
    <row r="132" spans="1:22" x14ac:dyDescent="0.3">
      <c r="A132">
        <v>131</v>
      </c>
      <c r="B132" s="1">
        <v>40549</v>
      </c>
      <c r="C132">
        <v>1</v>
      </c>
      <c r="D132">
        <v>0</v>
      </c>
      <c r="E132" t="str">
        <f>TEXT(Append1[[#This Row],[dteday]],"MMMM")</f>
        <v>January</v>
      </c>
      <c r="F132">
        <v>1</v>
      </c>
      <c r="G132">
        <v>16</v>
      </c>
      <c r="H132" t="b">
        <v>0</v>
      </c>
      <c r="I132" t="str">
        <f>TEXT(Append1[[#This Row],[dteday]],"DDDD")</f>
        <v>Thursday</v>
      </c>
      <c r="J132" t="str" cm="1">
        <f t="array" ref="J132">_xlfn.IFS(Append1[[#This Row],[weekday cnt]]=0,"Weekend",Append1[[#This Row],[weekday cnt]]=6,"Weekend",Append1[[#This Row],[weekday cnt]]&gt;0,"Weekday")</f>
        <v>Weekday</v>
      </c>
      <c r="K132">
        <v>4</v>
      </c>
      <c r="L132" t="str" cm="1">
        <f t="array" ref="L1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32">
        <v>1</v>
      </c>
      <c r="N132">
        <v>0.26</v>
      </c>
      <c r="O132">
        <v>130</v>
      </c>
      <c r="P132">
        <v>131</v>
      </c>
      <c r="Q132">
        <v>0.2576</v>
      </c>
      <c r="R132">
        <v>0.38</v>
      </c>
      <c r="S132">
        <v>0.16420000000000001</v>
      </c>
      <c r="T132">
        <v>12</v>
      </c>
      <c r="U132">
        <v>74</v>
      </c>
      <c r="V132">
        <v>86</v>
      </c>
    </row>
    <row r="133" spans="1:22" x14ac:dyDescent="0.3">
      <c r="A133">
        <v>132</v>
      </c>
      <c r="B133" s="1">
        <v>40549</v>
      </c>
      <c r="C133">
        <v>1</v>
      </c>
      <c r="D133">
        <v>0</v>
      </c>
      <c r="E133" t="str">
        <f>TEXT(Append1[[#This Row],[dteday]],"MMMM")</f>
        <v>January</v>
      </c>
      <c r="F133">
        <v>1</v>
      </c>
      <c r="G133">
        <v>17</v>
      </c>
      <c r="H133" t="b">
        <v>0</v>
      </c>
      <c r="I133" t="str">
        <f>TEXT(Append1[[#This Row],[dteday]],"DDDD")</f>
        <v>Thursday</v>
      </c>
      <c r="J133" t="str" cm="1">
        <f t="array" ref="J133">_xlfn.IFS(Append1[[#This Row],[weekday cnt]]=0,"Weekend",Append1[[#This Row],[weekday cnt]]=6,"Weekend",Append1[[#This Row],[weekday cnt]]&gt;0,"Weekday")</f>
        <v>Weekday</v>
      </c>
      <c r="K133">
        <v>4</v>
      </c>
      <c r="L133" t="str" cm="1">
        <f t="array" ref="L1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33">
        <v>1</v>
      </c>
      <c r="N133">
        <v>0.22</v>
      </c>
      <c r="O133">
        <v>131</v>
      </c>
      <c r="P133">
        <v>132</v>
      </c>
      <c r="Q133">
        <v>0.2273</v>
      </c>
      <c r="R133">
        <v>0.51</v>
      </c>
      <c r="S133">
        <v>0.16420000000000001</v>
      </c>
      <c r="T133">
        <v>9</v>
      </c>
      <c r="U133">
        <v>163</v>
      </c>
      <c r="V133">
        <v>172</v>
      </c>
    </row>
    <row r="134" spans="1:22" x14ac:dyDescent="0.3">
      <c r="A134">
        <v>133</v>
      </c>
      <c r="B134" s="1">
        <v>40549</v>
      </c>
      <c r="C134">
        <v>1</v>
      </c>
      <c r="D134">
        <v>0</v>
      </c>
      <c r="E134" t="str">
        <f>TEXT(Append1[[#This Row],[dteday]],"MMMM")</f>
        <v>January</v>
      </c>
      <c r="F134">
        <v>1</v>
      </c>
      <c r="G134">
        <v>18</v>
      </c>
      <c r="H134" t="b">
        <v>0</v>
      </c>
      <c r="I134" t="str">
        <f>TEXT(Append1[[#This Row],[dteday]],"DDDD")</f>
        <v>Thursday</v>
      </c>
      <c r="J134" t="str" cm="1">
        <f t="array" ref="J134">_xlfn.IFS(Append1[[#This Row],[weekday cnt]]=0,"Weekend",Append1[[#This Row],[weekday cnt]]=6,"Weekend",Append1[[#This Row],[weekday cnt]]&gt;0,"Weekday")</f>
        <v>Weekday</v>
      </c>
      <c r="K134">
        <v>4</v>
      </c>
      <c r="L134" t="str" cm="1">
        <f t="array" ref="L1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34">
        <v>1</v>
      </c>
      <c r="N134">
        <v>0.22</v>
      </c>
      <c r="O134">
        <v>132</v>
      </c>
      <c r="P134">
        <v>133</v>
      </c>
      <c r="Q134">
        <v>0.2273</v>
      </c>
      <c r="R134">
        <v>0.51</v>
      </c>
      <c r="S134">
        <v>0.1343</v>
      </c>
      <c r="T134">
        <v>5</v>
      </c>
      <c r="U134">
        <v>158</v>
      </c>
      <c r="V134">
        <v>163</v>
      </c>
    </row>
    <row r="135" spans="1:22" x14ac:dyDescent="0.3">
      <c r="A135">
        <v>134</v>
      </c>
      <c r="B135" s="1">
        <v>40549</v>
      </c>
      <c r="C135">
        <v>1</v>
      </c>
      <c r="D135">
        <v>0</v>
      </c>
      <c r="E135" t="str">
        <f>TEXT(Append1[[#This Row],[dteday]],"MMMM")</f>
        <v>January</v>
      </c>
      <c r="F135">
        <v>1</v>
      </c>
      <c r="G135">
        <v>19</v>
      </c>
      <c r="H135" t="b">
        <v>0</v>
      </c>
      <c r="I135" t="str">
        <f>TEXT(Append1[[#This Row],[dteday]],"DDDD")</f>
        <v>Thursday</v>
      </c>
      <c r="J135" t="str" cm="1">
        <f t="array" ref="J135">_xlfn.IFS(Append1[[#This Row],[weekday cnt]]=0,"Weekend",Append1[[#This Row],[weekday cnt]]=6,"Weekend",Append1[[#This Row],[weekday cnt]]&gt;0,"Weekday")</f>
        <v>Weekday</v>
      </c>
      <c r="K135">
        <v>4</v>
      </c>
      <c r="L135" t="str" cm="1">
        <f t="array" ref="L1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35">
        <v>1</v>
      </c>
      <c r="N135">
        <v>0.22</v>
      </c>
      <c r="O135">
        <v>133</v>
      </c>
      <c r="P135">
        <v>134</v>
      </c>
      <c r="Q135">
        <v>0.2576</v>
      </c>
      <c r="R135">
        <v>0.55000000000000004</v>
      </c>
      <c r="S135">
        <v>8.9599999999999999E-2</v>
      </c>
      <c r="T135">
        <v>3</v>
      </c>
      <c r="U135">
        <v>109</v>
      </c>
      <c r="V135">
        <v>112</v>
      </c>
    </row>
    <row r="136" spans="1:22" x14ac:dyDescent="0.3">
      <c r="A136">
        <v>135</v>
      </c>
      <c r="B136" s="1">
        <v>40549</v>
      </c>
      <c r="C136">
        <v>1</v>
      </c>
      <c r="D136">
        <v>0</v>
      </c>
      <c r="E136" t="str">
        <f>TEXT(Append1[[#This Row],[dteday]],"MMMM")</f>
        <v>January</v>
      </c>
      <c r="F136">
        <v>1</v>
      </c>
      <c r="G136">
        <v>20</v>
      </c>
      <c r="H136" t="b">
        <v>0</v>
      </c>
      <c r="I136" t="str">
        <f>TEXT(Append1[[#This Row],[dteday]],"DDDD")</f>
        <v>Thursday</v>
      </c>
      <c r="J136" t="str" cm="1">
        <f t="array" ref="J136">_xlfn.IFS(Append1[[#This Row],[weekday cnt]]=0,"Weekend",Append1[[#This Row],[weekday cnt]]=6,"Weekend",Append1[[#This Row],[weekday cnt]]&gt;0,"Weekday")</f>
        <v>Weekday</v>
      </c>
      <c r="K136">
        <v>4</v>
      </c>
      <c r="L136" t="str" cm="1">
        <f t="array" ref="L1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36">
        <v>1</v>
      </c>
      <c r="N136">
        <v>0.2</v>
      </c>
      <c r="O136">
        <v>134</v>
      </c>
      <c r="P136">
        <v>135</v>
      </c>
      <c r="Q136">
        <v>0.21210000000000001</v>
      </c>
      <c r="R136">
        <v>0.51</v>
      </c>
      <c r="S136">
        <v>0.16420000000000001</v>
      </c>
      <c r="T136">
        <v>3</v>
      </c>
      <c r="U136">
        <v>66</v>
      </c>
      <c r="V136">
        <v>69</v>
      </c>
    </row>
    <row r="137" spans="1:22" x14ac:dyDescent="0.3">
      <c r="A137">
        <v>136</v>
      </c>
      <c r="B137" s="1">
        <v>40549</v>
      </c>
      <c r="C137">
        <v>1</v>
      </c>
      <c r="D137">
        <v>0</v>
      </c>
      <c r="E137" t="str">
        <f>TEXT(Append1[[#This Row],[dteday]],"MMMM")</f>
        <v>January</v>
      </c>
      <c r="F137">
        <v>1</v>
      </c>
      <c r="G137">
        <v>21</v>
      </c>
      <c r="H137" t="b">
        <v>0</v>
      </c>
      <c r="I137" t="str">
        <f>TEXT(Append1[[#This Row],[dteday]],"DDDD")</f>
        <v>Thursday</v>
      </c>
      <c r="J137" t="str" cm="1">
        <f t="array" ref="J137">_xlfn.IFS(Append1[[#This Row],[weekday cnt]]=0,"Weekend",Append1[[#This Row],[weekday cnt]]=6,"Weekend",Append1[[#This Row],[weekday cnt]]&gt;0,"Weekday")</f>
        <v>Weekday</v>
      </c>
      <c r="K137">
        <v>4</v>
      </c>
      <c r="L137" t="str" cm="1">
        <f t="array" ref="L1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37">
        <v>2</v>
      </c>
      <c r="N137">
        <v>0.22</v>
      </c>
      <c r="O137">
        <v>135</v>
      </c>
      <c r="P137">
        <v>136</v>
      </c>
      <c r="Q137">
        <v>0.21210000000000001</v>
      </c>
      <c r="R137">
        <v>0.55000000000000004</v>
      </c>
      <c r="S137">
        <v>0.22389999999999999</v>
      </c>
      <c r="T137">
        <v>0</v>
      </c>
      <c r="U137">
        <v>48</v>
      </c>
      <c r="V137">
        <v>48</v>
      </c>
    </row>
    <row r="138" spans="1:22" x14ac:dyDescent="0.3">
      <c r="A138">
        <v>137</v>
      </c>
      <c r="B138" s="1">
        <v>40549</v>
      </c>
      <c r="C138">
        <v>1</v>
      </c>
      <c r="D138">
        <v>0</v>
      </c>
      <c r="E138" t="str">
        <f>TEXT(Append1[[#This Row],[dteday]],"MMMM")</f>
        <v>January</v>
      </c>
      <c r="F138">
        <v>1</v>
      </c>
      <c r="G138">
        <v>22</v>
      </c>
      <c r="H138" t="b">
        <v>0</v>
      </c>
      <c r="I138" t="str">
        <f>TEXT(Append1[[#This Row],[dteday]],"DDDD")</f>
        <v>Thursday</v>
      </c>
      <c r="J138" t="str" cm="1">
        <f t="array" ref="J138">_xlfn.IFS(Append1[[#This Row],[weekday cnt]]=0,"Weekend",Append1[[#This Row],[weekday cnt]]=6,"Weekend",Append1[[#This Row],[weekday cnt]]&gt;0,"Weekday")</f>
        <v>Weekday</v>
      </c>
      <c r="K138">
        <v>4</v>
      </c>
      <c r="L138" t="str" cm="1">
        <f t="array" ref="L1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38">
        <v>2</v>
      </c>
      <c r="N138">
        <v>0.22</v>
      </c>
      <c r="O138">
        <v>136</v>
      </c>
      <c r="P138">
        <v>137</v>
      </c>
      <c r="Q138">
        <v>0.21210000000000001</v>
      </c>
      <c r="R138">
        <v>0.51</v>
      </c>
      <c r="S138">
        <v>0.28360000000000002</v>
      </c>
      <c r="T138">
        <v>1</v>
      </c>
      <c r="U138">
        <v>51</v>
      </c>
      <c r="V138">
        <v>52</v>
      </c>
    </row>
    <row r="139" spans="1:22" x14ac:dyDescent="0.3">
      <c r="A139">
        <v>138</v>
      </c>
      <c r="B139" s="1">
        <v>40549</v>
      </c>
      <c r="C139">
        <v>1</v>
      </c>
      <c r="D139">
        <v>0</v>
      </c>
      <c r="E139" t="str">
        <f>TEXT(Append1[[#This Row],[dteday]],"MMMM")</f>
        <v>January</v>
      </c>
      <c r="F139">
        <v>1</v>
      </c>
      <c r="G139">
        <v>23</v>
      </c>
      <c r="H139" t="b">
        <v>0</v>
      </c>
      <c r="I139" t="str">
        <f>TEXT(Append1[[#This Row],[dteday]],"DDDD")</f>
        <v>Thursday</v>
      </c>
      <c r="J139" t="str" cm="1">
        <f t="array" ref="J139">_xlfn.IFS(Append1[[#This Row],[weekday cnt]]=0,"Weekend",Append1[[#This Row],[weekday cnt]]=6,"Weekend",Append1[[#This Row],[weekday cnt]]&gt;0,"Weekday")</f>
        <v>Weekday</v>
      </c>
      <c r="K139">
        <v>4</v>
      </c>
      <c r="L139" t="str" cm="1">
        <f t="array" ref="L1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39">
        <v>2</v>
      </c>
      <c r="N139">
        <v>0.2</v>
      </c>
      <c r="O139">
        <v>137</v>
      </c>
      <c r="P139">
        <v>138</v>
      </c>
      <c r="Q139">
        <v>0.19700000000000001</v>
      </c>
      <c r="R139">
        <v>0.59</v>
      </c>
      <c r="S139">
        <v>0.19400000000000001</v>
      </c>
      <c r="T139">
        <v>4</v>
      </c>
      <c r="U139">
        <v>19</v>
      </c>
      <c r="V139">
        <v>23</v>
      </c>
    </row>
    <row r="140" spans="1:22" x14ac:dyDescent="0.3">
      <c r="A140">
        <v>139</v>
      </c>
      <c r="B140" s="1">
        <v>40550</v>
      </c>
      <c r="C140">
        <v>1</v>
      </c>
      <c r="D140">
        <v>0</v>
      </c>
      <c r="E140" t="str">
        <f>TEXT(Append1[[#This Row],[dteday]],"MMMM")</f>
        <v>January</v>
      </c>
      <c r="F140">
        <v>1</v>
      </c>
      <c r="G140">
        <v>0</v>
      </c>
      <c r="H140" t="b">
        <v>0</v>
      </c>
      <c r="I140" t="str">
        <f>TEXT(Append1[[#This Row],[dteday]],"DDDD")</f>
        <v>Friday</v>
      </c>
      <c r="J140" t="str" cm="1">
        <f t="array" ref="J140">_xlfn.IFS(Append1[[#This Row],[weekday cnt]]=0,"Weekend",Append1[[#This Row],[weekday cnt]]=6,"Weekend",Append1[[#This Row],[weekday cnt]]&gt;0,"Weekday")</f>
        <v>Weekday</v>
      </c>
      <c r="K140">
        <v>5</v>
      </c>
      <c r="L140" t="str" cm="1">
        <f t="array" ref="L1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40">
        <v>2</v>
      </c>
      <c r="N140">
        <v>0.2</v>
      </c>
      <c r="O140">
        <v>138</v>
      </c>
      <c r="P140">
        <v>139</v>
      </c>
      <c r="Q140">
        <v>0.19700000000000001</v>
      </c>
      <c r="R140">
        <v>0.64</v>
      </c>
      <c r="S140">
        <v>0.19400000000000001</v>
      </c>
      <c r="T140">
        <v>4</v>
      </c>
      <c r="U140">
        <v>13</v>
      </c>
      <c r="V140">
        <v>17</v>
      </c>
    </row>
    <row r="141" spans="1:22" x14ac:dyDescent="0.3">
      <c r="A141">
        <v>140</v>
      </c>
      <c r="B141" s="1">
        <v>40550</v>
      </c>
      <c r="C141">
        <v>1</v>
      </c>
      <c r="D141">
        <v>0</v>
      </c>
      <c r="E141" t="str">
        <f>TEXT(Append1[[#This Row],[dteday]],"MMMM")</f>
        <v>January</v>
      </c>
      <c r="F141">
        <v>1</v>
      </c>
      <c r="G141">
        <v>1</v>
      </c>
      <c r="H141" t="b">
        <v>0</v>
      </c>
      <c r="I141" t="str">
        <f>TEXT(Append1[[#This Row],[dteday]],"DDDD")</f>
        <v>Friday</v>
      </c>
      <c r="J141" t="str" cm="1">
        <f t="array" ref="J141">_xlfn.IFS(Append1[[#This Row],[weekday cnt]]=0,"Weekend",Append1[[#This Row],[weekday cnt]]=6,"Weekend",Append1[[#This Row],[weekday cnt]]&gt;0,"Weekday")</f>
        <v>Weekday</v>
      </c>
      <c r="K141">
        <v>5</v>
      </c>
      <c r="L141" t="str" cm="1">
        <f t="array" ref="L1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41">
        <v>2</v>
      </c>
      <c r="N141">
        <v>0.2</v>
      </c>
      <c r="O141">
        <v>139</v>
      </c>
      <c r="P141">
        <v>140</v>
      </c>
      <c r="Q141">
        <v>0.19700000000000001</v>
      </c>
      <c r="R141">
        <v>0.69</v>
      </c>
      <c r="S141">
        <v>0.22389999999999999</v>
      </c>
      <c r="T141">
        <v>2</v>
      </c>
      <c r="U141">
        <v>5</v>
      </c>
      <c r="V141">
        <v>7</v>
      </c>
    </row>
    <row r="142" spans="1:22" x14ac:dyDescent="0.3">
      <c r="A142">
        <v>141</v>
      </c>
      <c r="B142" s="1">
        <v>40550</v>
      </c>
      <c r="C142">
        <v>1</v>
      </c>
      <c r="D142">
        <v>0</v>
      </c>
      <c r="E142" t="str">
        <f>TEXT(Append1[[#This Row],[dteday]],"MMMM")</f>
        <v>January</v>
      </c>
      <c r="F142">
        <v>1</v>
      </c>
      <c r="G142">
        <v>2</v>
      </c>
      <c r="H142" t="b">
        <v>0</v>
      </c>
      <c r="I142" t="str">
        <f>TEXT(Append1[[#This Row],[dteday]],"DDDD")</f>
        <v>Friday</v>
      </c>
      <c r="J142" t="str" cm="1">
        <f t="array" ref="J142">_xlfn.IFS(Append1[[#This Row],[weekday cnt]]=0,"Weekend",Append1[[#This Row],[weekday cnt]]=6,"Weekend",Append1[[#This Row],[weekday cnt]]&gt;0,"Weekday")</f>
        <v>Weekday</v>
      </c>
      <c r="K142">
        <v>5</v>
      </c>
      <c r="L142" t="str" cm="1">
        <f t="array" ref="L1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42">
        <v>2</v>
      </c>
      <c r="N142">
        <v>0.2</v>
      </c>
      <c r="O142">
        <v>140</v>
      </c>
      <c r="P142">
        <v>141</v>
      </c>
      <c r="Q142">
        <v>0.19700000000000001</v>
      </c>
      <c r="R142">
        <v>0.69</v>
      </c>
      <c r="S142">
        <v>0.22389999999999999</v>
      </c>
      <c r="T142">
        <v>0</v>
      </c>
      <c r="U142">
        <v>1</v>
      </c>
      <c r="V142">
        <v>1</v>
      </c>
    </row>
    <row r="143" spans="1:22" x14ac:dyDescent="0.3">
      <c r="A143">
        <v>142</v>
      </c>
      <c r="B143" s="1">
        <v>40550</v>
      </c>
      <c r="C143">
        <v>1</v>
      </c>
      <c r="D143">
        <v>0</v>
      </c>
      <c r="E143" t="str">
        <f>TEXT(Append1[[#This Row],[dteday]],"MMMM")</f>
        <v>January</v>
      </c>
      <c r="F143">
        <v>1</v>
      </c>
      <c r="G143">
        <v>4</v>
      </c>
      <c r="H143" t="b">
        <v>0</v>
      </c>
      <c r="I143" t="str">
        <f>TEXT(Append1[[#This Row],[dteday]],"DDDD")</f>
        <v>Friday</v>
      </c>
      <c r="J143" t="str" cm="1">
        <f t="array" ref="J143">_xlfn.IFS(Append1[[#This Row],[weekday cnt]]=0,"Weekend",Append1[[#This Row],[weekday cnt]]=6,"Weekend",Append1[[#This Row],[weekday cnt]]&gt;0,"Weekday")</f>
        <v>Weekday</v>
      </c>
      <c r="K143">
        <v>5</v>
      </c>
      <c r="L143" t="str" cm="1">
        <f t="array" ref="L1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43">
        <v>2</v>
      </c>
      <c r="N143">
        <v>0.2</v>
      </c>
      <c r="O143">
        <v>141</v>
      </c>
      <c r="P143">
        <v>142</v>
      </c>
      <c r="Q143">
        <v>0.21210000000000001</v>
      </c>
      <c r="R143">
        <v>0.69</v>
      </c>
      <c r="S143">
        <v>0.1343</v>
      </c>
      <c r="T143">
        <v>0</v>
      </c>
      <c r="U143">
        <v>1</v>
      </c>
      <c r="V143">
        <v>1</v>
      </c>
    </row>
    <row r="144" spans="1:22" x14ac:dyDescent="0.3">
      <c r="A144">
        <v>143</v>
      </c>
      <c r="B144" s="1">
        <v>40550</v>
      </c>
      <c r="C144">
        <v>1</v>
      </c>
      <c r="D144">
        <v>0</v>
      </c>
      <c r="E144" t="str">
        <f>TEXT(Append1[[#This Row],[dteday]],"MMMM")</f>
        <v>January</v>
      </c>
      <c r="F144">
        <v>1</v>
      </c>
      <c r="G144">
        <v>5</v>
      </c>
      <c r="H144" t="b">
        <v>0</v>
      </c>
      <c r="I144" t="str">
        <f>TEXT(Append1[[#This Row],[dteday]],"DDDD")</f>
        <v>Friday</v>
      </c>
      <c r="J144" t="str" cm="1">
        <f t="array" ref="J144">_xlfn.IFS(Append1[[#This Row],[weekday cnt]]=0,"Weekend",Append1[[#This Row],[weekday cnt]]=6,"Weekend",Append1[[#This Row],[weekday cnt]]&gt;0,"Weekday")</f>
        <v>Weekday</v>
      </c>
      <c r="K144">
        <v>5</v>
      </c>
      <c r="L144" t="str" cm="1">
        <f t="array" ref="L1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144">
        <v>3</v>
      </c>
      <c r="N144">
        <v>0.22</v>
      </c>
      <c r="O144">
        <v>142</v>
      </c>
      <c r="P144">
        <v>143</v>
      </c>
      <c r="Q144">
        <v>0.2727</v>
      </c>
      <c r="R144">
        <v>0.55000000000000004</v>
      </c>
      <c r="S144">
        <v>0</v>
      </c>
      <c r="T144">
        <v>0</v>
      </c>
      <c r="U144">
        <v>5</v>
      </c>
      <c r="V144">
        <v>5</v>
      </c>
    </row>
    <row r="145" spans="1:22" x14ac:dyDescent="0.3">
      <c r="A145">
        <v>144</v>
      </c>
      <c r="B145" s="1">
        <v>40550</v>
      </c>
      <c r="C145">
        <v>1</v>
      </c>
      <c r="D145">
        <v>0</v>
      </c>
      <c r="E145" t="str">
        <f>TEXT(Append1[[#This Row],[dteday]],"MMMM")</f>
        <v>January</v>
      </c>
      <c r="F145">
        <v>1</v>
      </c>
      <c r="G145">
        <v>6</v>
      </c>
      <c r="H145" t="b">
        <v>0</v>
      </c>
      <c r="I145" t="str">
        <f>TEXT(Append1[[#This Row],[dteday]],"DDDD")</f>
        <v>Friday</v>
      </c>
      <c r="J145" t="str" cm="1">
        <f t="array" ref="J145">_xlfn.IFS(Append1[[#This Row],[weekday cnt]]=0,"Weekend",Append1[[#This Row],[weekday cnt]]=6,"Weekend",Append1[[#This Row],[weekday cnt]]&gt;0,"Weekday")</f>
        <v>Weekday</v>
      </c>
      <c r="K145">
        <v>5</v>
      </c>
      <c r="L145" t="str" cm="1">
        <f t="array" ref="L1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45">
        <v>2</v>
      </c>
      <c r="N145">
        <v>0.2</v>
      </c>
      <c r="O145">
        <v>143</v>
      </c>
      <c r="P145">
        <v>144</v>
      </c>
      <c r="Q145">
        <v>0.2576</v>
      </c>
      <c r="R145">
        <v>0.69</v>
      </c>
      <c r="S145">
        <v>0</v>
      </c>
      <c r="T145">
        <v>8</v>
      </c>
      <c r="U145">
        <v>26</v>
      </c>
      <c r="V145">
        <v>34</v>
      </c>
    </row>
    <row r="146" spans="1:22" x14ac:dyDescent="0.3">
      <c r="A146">
        <v>145</v>
      </c>
      <c r="B146" s="1">
        <v>40550</v>
      </c>
      <c r="C146">
        <v>1</v>
      </c>
      <c r="D146">
        <v>0</v>
      </c>
      <c r="E146" t="str">
        <f>TEXT(Append1[[#This Row],[dteday]],"MMMM")</f>
        <v>January</v>
      </c>
      <c r="F146">
        <v>1</v>
      </c>
      <c r="G146">
        <v>7</v>
      </c>
      <c r="H146" t="b">
        <v>0</v>
      </c>
      <c r="I146" t="str">
        <f>TEXT(Append1[[#This Row],[dteday]],"DDDD")</f>
        <v>Friday</v>
      </c>
      <c r="J146" t="str" cm="1">
        <f t="array" ref="J146">_xlfn.IFS(Append1[[#This Row],[weekday cnt]]=0,"Weekend",Append1[[#This Row],[weekday cnt]]=6,"Weekend",Append1[[#This Row],[weekday cnt]]&gt;0,"Weekday")</f>
        <v>Weekday</v>
      </c>
      <c r="K146">
        <v>5</v>
      </c>
      <c r="L146" t="str" cm="1">
        <f t="array" ref="L1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46">
        <v>1</v>
      </c>
      <c r="N146">
        <v>0.2</v>
      </c>
      <c r="O146">
        <v>144</v>
      </c>
      <c r="P146">
        <v>145</v>
      </c>
      <c r="Q146">
        <v>0.21210000000000001</v>
      </c>
      <c r="R146">
        <v>0.69</v>
      </c>
      <c r="S146">
        <v>0.1343</v>
      </c>
      <c r="T146">
        <v>8</v>
      </c>
      <c r="U146">
        <v>76</v>
      </c>
      <c r="V146">
        <v>84</v>
      </c>
    </row>
    <row r="147" spans="1:22" x14ac:dyDescent="0.3">
      <c r="A147">
        <v>146</v>
      </c>
      <c r="B147" s="1">
        <v>40550</v>
      </c>
      <c r="C147">
        <v>1</v>
      </c>
      <c r="D147">
        <v>0</v>
      </c>
      <c r="E147" t="str">
        <f>TEXT(Append1[[#This Row],[dteday]],"MMMM")</f>
        <v>January</v>
      </c>
      <c r="F147">
        <v>1</v>
      </c>
      <c r="G147">
        <v>8</v>
      </c>
      <c r="H147" t="b">
        <v>0</v>
      </c>
      <c r="I147" t="str">
        <f>TEXT(Append1[[#This Row],[dteday]],"DDDD")</f>
        <v>Friday</v>
      </c>
      <c r="J147" t="str" cm="1">
        <f t="array" ref="J147">_xlfn.IFS(Append1[[#This Row],[weekday cnt]]=0,"Weekend",Append1[[#This Row],[weekday cnt]]=6,"Weekend",Append1[[#This Row],[weekday cnt]]&gt;0,"Weekday")</f>
        <v>Weekday</v>
      </c>
      <c r="K147">
        <v>5</v>
      </c>
      <c r="L147" t="str" cm="1">
        <f t="array" ref="L1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47">
        <v>1</v>
      </c>
      <c r="N147">
        <v>0.2</v>
      </c>
      <c r="O147">
        <v>145</v>
      </c>
      <c r="P147">
        <v>146</v>
      </c>
      <c r="Q147">
        <v>0.19700000000000001</v>
      </c>
      <c r="R147">
        <v>0.51</v>
      </c>
      <c r="S147">
        <v>0.25369999999999998</v>
      </c>
      <c r="T147">
        <v>20</v>
      </c>
      <c r="U147">
        <v>190</v>
      </c>
      <c r="V147">
        <v>210</v>
      </c>
    </row>
    <row r="148" spans="1:22" x14ac:dyDescent="0.3">
      <c r="A148">
        <v>147</v>
      </c>
      <c r="B148" s="1">
        <v>40550</v>
      </c>
      <c r="C148">
        <v>1</v>
      </c>
      <c r="D148">
        <v>0</v>
      </c>
      <c r="E148" t="str">
        <f>TEXT(Append1[[#This Row],[dteday]],"MMMM")</f>
        <v>January</v>
      </c>
      <c r="F148">
        <v>1</v>
      </c>
      <c r="G148">
        <v>9</v>
      </c>
      <c r="H148" t="b">
        <v>0</v>
      </c>
      <c r="I148" t="str">
        <f>TEXT(Append1[[#This Row],[dteday]],"DDDD")</f>
        <v>Friday</v>
      </c>
      <c r="J148" t="str" cm="1">
        <f t="array" ref="J148">_xlfn.IFS(Append1[[#This Row],[weekday cnt]]=0,"Weekend",Append1[[#This Row],[weekday cnt]]=6,"Weekend",Append1[[#This Row],[weekday cnt]]&gt;0,"Weekday")</f>
        <v>Weekday</v>
      </c>
      <c r="K148">
        <v>5</v>
      </c>
      <c r="L148" t="str" cm="1">
        <f t="array" ref="L1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48">
        <v>1</v>
      </c>
      <c r="N148">
        <v>0.2</v>
      </c>
      <c r="O148">
        <v>146</v>
      </c>
      <c r="P148">
        <v>147</v>
      </c>
      <c r="Q148">
        <v>0.18179999999999999</v>
      </c>
      <c r="R148">
        <v>0.47</v>
      </c>
      <c r="S148">
        <v>0.29849999999999999</v>
      </c>
      <c r="T148">
        <v>9</v>
      </c>
      <c r="U148">
        <v>125</v>
      </c>
      <c r="V148">
        <v>134</v>
      </c>
    </row>
    <row r="149" spans="1:22" x14ac:dyDescent="0.3">
      <c r="A149">
        <v>148</v>
      </c>
      <c r="B149" s="1">
        <v>40550</v>
      </c>
      <c r="C149">
        <v>1</v>
      </c>
      <c r="D149">
        <v>0</v>
      </c>
      <c r="E149" t="str">
        <f>TEXT(Append1[[#This Row],[dteday]],"MMMM")</f>
        <v>January</v>
      </c>
      <c r="F149">
        <v>1</v>
      </c>
      <c r="G149">
        <v>10</v>
      </c>
      <c r="H149" t="b">
        <v>0</v>
      </c>
      <c r="I149" t="str">
        <f>TEXT(Append1[[#This Row],[dteday]],"DDDD")</f>
        <v>Friday</v>
      </c>
      <c r="J149" t="str" cm="1">
        <f t="array" ref="J149">_xlfn.IFS(Append1[[#This Row],[weekday cnt]]=0,"Weekend",Append1[[#This Row],[weekday cnt]]=6,"Weekend",Append1[[#This Row],[weekday cnt]]&gt;0,"Weekday")</f>
        <v>Weekday</v>
      </c>
      <c r="K149">
        <v>5</v>
      </c>
      <c r="L149" t="str" cm="1">
        <f t="array" ref="L1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49">
        <v>1</v>
      </c>
      <c r="N149">
        <v>0.22</v>
      </c>
      <c r="O149">
        <v>147</v>
      </c>
      <c r="P149">
        <v>148</v>
      </c>
      <c r="Q149">
        <v>0.19700000000000001</v>
      </c>
      <c r="R149">
        <v>0.37</v>
      </c>
      <c r="S149">
        <v>0.32840000000000003</v>
      </c>
      <c r="T149">
        <v>16</v>
      </c>
      <c r="U149">
        <v>47</v>
      </c>
      <c r="V149">
        <v>63</v>
      </c>
    </row>
    <row r="150" spans="1:22" x14ac:dyDescent="0.3">
      <c r="A150">
        <v>149</v>
      </c>
      <c r="B150" s="1">
        <v>40550</v>
      </c>
      <c r="C150">
        <v>1</v>
      </c>
      <c r="D150">
        <v>0</v>
      </c>
      <c r="E150" t="str">
        <f>TEXT(Append1[[#This Row],[dteday]],"MMMM")</f>
        <v>January</v>
      </c>
      <c r="F150">
        <v>1</v>
      </c>
      <c r="G150">
        <v>11</v>
      </c>
      <c r="H150" t="b">
        <v>0</v>
      </c>
      <c r="I150" t="str">
        <f>TEXT(Append1[[#This Row],[dteday]],"DDDD")</f>
        <v>Friday</v>
      </c>
      <c r="J150" t="str" cm="1">
        <f t="array" ref="J150">_xlfn.IFS(Append1[[#This Row],[weekday cnt]]=0,"Weekend",Append1[[#This Row],[weekday cnt]]=6,"Weekend",Append1[[#This Row],[weekday cnt]]&gt;0,"Weekday")</f>
        <v>Weekday</v>
      </c>
      <c r="K150">
        <v>5</v>
      </c>
      <c r="L150" t="str" cm="1">
        <f t="array" ref="L1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50">
        <v>2</v>
      </c>
      <c r="N150">
        <v>0.2</v>
      </c>
      <c r="O150">
        <v>148</v>
      </c>
      <c r="P150">
        <v>149</v>
      </c>
      <c r="Q150">
        <v>0.19700000000000001</v>
      </c>
      <c r="R150">
        <v>0.4</v>
      </c>
      <c r="S150">
        <v>0.22389999999999999</v>
      </c>
      <c r="T150">
        <v>19</v>
      </c>
      <c r="U150">
        <v>48</v>
      </c>
      <c r="V150">
        <v>67</v>
      </c>
    </row>
    <row r="151" spans="1:22" x14ac:dyDescent="0.3">
      <c r="A151">
        <v>150</v>
      </c>
      <c r="B151" s="1">
        <v>40550</v>
      </c>
      <c r="C151">
        <v>1</v>
      </c>
      <c r="D151">
        <v>0</v>
      </c>
      <c r="E151" t="str">
        <f>TEXT(Append1[[#This Row],[dteday]],"MMMM")</f>
        <v>January</v>
      </c>
      <c r="F151">
        <v>1</v>
      </c>
      <c r="G151">
        <v>12</v>
      </c>
      <c r="H151" t="b">
        <v>0</v>
      </c>
      <c r="I151" t="str">
        <f>TEXT(Append1[[#This Row],[dteday]],"DDDD")</f>
        <v>Friday</v>
      </c>
      <c r="J151" t="str" cm="1">
        <f t="array" ref="J151">_xlfn.IFS(Append1[[#This Row],[weekday cnt]]=0,"Weekend",Append1[[#This Row],[weekday cnt]]=6,"Weekend",Append1[[#This Row],[weekday cnt]]&gt;0,"Weekday")</f>
        <v>Weekday</v>
      </c>
      <c r="K151">
        <v>5</v>
      </c>
      <c r="L151" t="str" cm="1">
        <f t="array" ref="L1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51">
        <v>2</v>
      </c>
      <c r="N151">
        <v>0.2</v>
      </c>
      <c r="O151">
        <v>149</v>
      </c>
      <c r="P151">
        <v>150</v>
      </c>
      <c r="Q151">
        <v>0.19700000000000001</v>
      </c>
      <c r="R151">
        <v>0.37</v>
      </c>
      <c r="S151">
        <v>0.25369999999999998</v>
      </c>
      <c r="T151">
        <v>9</v>
      </c>
      <c r="U151">
        <v>50</v>
      </c>
      <c r="V151">
        <v>59</v>
      </c>
    </row>
    <row r="152" spans="1:22" x14ac:dyDescent="0.3">
      <c r="A152">
        <v>151</v>
      </c>
      <c r="B152" s="1">
        <v>40550</v>
      </c>
      <c r="C152">
        <v>1</v>
      </c>
      <c r="D152">
        <v>0</v>
      </c>
      <c r="E152" t="str">
        <f>TEXT(Append1[[#This Row],[dteday]],"MMMM")</f>
        <v>January</v>
      </c>
      <c r="F152">
        <v>1</v>
      </c>
      <c r="G152">
        <v>13</v>
      </c>
      <c r="H152" t="b">
        <v>0</v>
      </c>
      <c r="I152" t="str">
        <f>TEXT(Append1[[#This Row],[dteday]],"DDDD")</f>
        <v>Friday</v>
      </c>
      <c r="J152" t="str" cm="1">
        <f t="array" ref="J152">_xlfn.IFS(Append1[[#This Row],[weekday cnt]]=0,"Weekend",Append1[[#This Row],[weekday cnt]]=6,"Weekend",Append1[[#This Row],[weekday cnt]]&gt;0,"Weekday")</f>
        <v>Weekday</v>
      </c>
      <c r="K152">
        <v>5</v>
      </c>
      <c r="L152" t="str" cm="1">
        <f t="array" ref="L1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52">
        <v>2</v>
      </c>
      <c r="N152">
        <v>0.2</v>
      </c>
      <c r="O152">
        <v>150</v>
      </c>
      <c r="P152">
        <v>151</v>
      </c>
      <c r="Q152">
        <v>0.18179999999999999</v>
      </c>
      <c r="R152">
        <v>0.37</v>
      </c>
      <c r="S152">
        <v>0.28360000000000002</v>
      </c>
      <c r="T152">
        <v>9</v>
      </c>
      <c r="U152">
        <v>64</v>
      </c>
      <c r="V152">
        <v>73</v>
      </c>
    </row>
    <row r="153" spans="1:22" x14ac:dyDescent="0.3">
      <c r="A153">
        <v>152</v>
      </c>
      <c r="B153" s="1">
        <v>40550</v>
      </c>
      <c r="C153">
        <v>1</v>
      </c>
      <c r="D153">
        <v>0</v>
      </c>
      <c r="E153" t="str">
        <f>TEXT(Append1[[#This Row],[dteday]],"MMMM")</f>
        <v>January</v>
      </c>
      <c r="F153">
        <v>1</v>
      </c>
      <c r="G153">
        <v>14</v>
      </c>
      <c r="H153" t="b">
        <v>0</v>
      </c>
      <c r="I153" t="str">
        <f>TEXT(Append1[[#This Row],[dteday]],"DDDD")</f>
        <v>Friday</v>
      </c>
      <c r="J153" t="str" cm="1">
        <f t="array" ref="J153">_xlfn.IFS(Append1[[#This Row],[weekday cnt]]=0,"Weekend",Append1[[#This Row],[weekday cnt]]=6,"Weekend",Append1[[#This Row],[weekday cnt]]&gt;0,"Weekday")</f>
        <v>Weekday</v>
      </c>
      <c r="K153">
        <v>5</v>
      </c>
      <c r="L153" t="str" cm="1">
        <f t="array" ref="L1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53">
        <v>2</v>
      </c>
      <c r="N153">
        <v>0.2</v>
      </c>
      <c r="O153">
        <v>151</v>
      </c>
      <c r="P153">
        <v>152</v>
      </c>
      <c r="Q153">
        <v>0.19700000000000001</v>
      </c>
      <c r="R153">
        <v>0.4</v>
      </c>
      <c r="S153">
        <v>0.25369999999999998</v>
      </c>
      <c r="T153">
        <v>7</v>
      </c>
      <c r="U153">
        <v>43</v>
      </c>
      <c r="V153">
        <v>50</v>
      </c>
    </row>
    <row r="154" spans="1:22" x14ac:dyDescent="0.3">
      <c r="A154">
        <v>153</v>
      </c>
      <c r="B154" s="1">
        <v>40550</v>
      </c>
      <c r="C154">
        <v>1</v>
      </c>
      <c r="D154">
        <v>0</v>
      </c>
      <c r="E154" t="str">
        <f>TEXT(Append1[[#This Row],[dteday]],"MMMM")</f>
        <v>January</v>
      </c>
      <c r="F154">
        <v>1</v>
      </c>
      <c r="G154">
        <v>15</v>
      </c>
      <c r="H154" t="b">
        <v>0</v>
      </c>
      <c r="I154" t="str">
        <f>TEXT(Append1[[#This Row],[dteday]],"DDDD")</f>
        <v>Friday</v>
      </c>
      <c r="J154" t="str" cm="1">
        <f t="array" ref="J154">_xlfn.IFS(Append1[[#This Row],[weekday cnt]]=0,"Weekend",Append1[[#This Row],[weekday cnt]]=6,"Weekend",Append1[[#This Row],[weekday cnt]]&gt;0,"Weekday")</f>
        <v>Weekday</v>
      </c>
      <c r="K154">
        <v>5</v>
      </c>
      <c r="L154" t="str" cm="1">
        <f t="array" ref="L1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54">
        <v>2</v>
      </c>
      <c r="N154">
        <v>0.2</v>
      </c>
      <c r="O154">
        <v>152</v>
      </c>
      <c r="P154">
        <v>153</v>
      </c>
      <c r="Q154">
        <v>0.21210000000000001</v>
      </c>
      <c r="R154">
        <v>0.37</v>
      </c>
      <c r="S154">
        <v>0.16420000000000001</v>
      </c>
      <c r="T154">
        <v>9</v>
      </c>
      <c r="U154">
        <v>63</v>
      </c>
      <c r="V154">
        <v>72</v>
      </c>
    </row>
    <row r="155" spans="1:22" x14ac:dyDescent="0.3">
      <c r="A155">
        <v>154</v>
      </c>
      <c r="B155" s="1">
        <v>40550</v>
      </c>
      <c r="C155">
        <v>1</v>
      </c>
      <c r="D155">
        <v>0</v>
      </c>
      <c r="E155" t="str">
        <f>TEXT(Append1[[#This Row],[dteday]],"MMMM")</f>
        <v>January</v>
      </c>
      <c r="F155">
        <v>1</v>
      </c>
      <c r="G155">
        <v>16</v>
      </c>
      <c r="H155" t="b">
        <v>0</v>
      </c>
      <c r="I155" t="str">
        <f>TEXT(Append1[[#This Row],[dteday]],"DDDD")</f>
        <v>Friday</v>
      </c>
      <c r="J155" t="str" cm="1">
        <f t="array" ref="J155">_xlfn.IFS(Append1[[#This Row],[weekday cnt]]=0,"Weekend",Append1[[#This Row],[weekday cnt]]=6,"Weekend",Append1[[#This Row],[weekday cnt]]&gt;0,"Weekday")</f>
        <v>Weekday</v>
      </c>
      <c r="K155">
        <v>5</v>
      </c>
      <c r="L155" t="str" cm="1">
        <f t="array" ref="L1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55">
        <v>2</v>
      </c>
      <c r="N155">
        <v>0.2</v>
      </c>
      <c r="O155">
        <v>153</v>
      </c>
      <c r="P155">
        <v>154</v>
      </c>
      <c r="Q155">
        <v>0.21210000000000001</v>
      </c>
      <c r="R155">
        <v>0.37</v>
      </c>
      <c r="S155">
        <v>0.16420000000000001</v>
      </c>
      <c r="T155">
        <v>5</v>
      </c>
      <c r="U155">
        <v>82</v>
      </c>
      <c r="V155">
        <v>87</v>
      </c>
    </row>
    <row r="156" spans="1:22" x14ac:dyDescent="0.3">
      <c r="A156">
        <v>155</v>
      </c>
      <c r="B156" s="1">
        <v>40550</v>
      </c>
      <c r="C156">
        <v>1</v>
      </c>
      <c r="D156">
        <v>0</v>
      </c>
      <c r="E156" t="str">
        <f>TEXT(Append1[[#This Row],[dteday]],"MMMM")</f>
        <v>January</v>
      </c>
      <c r="F156">
        <v>1</v>
      </c>
      <c r="G156">
        <v>17</v>
      </c>
      <c r="H156" t="b">
        <v>0</v>
      </c>
      <c r="I156" t="str">
        <f>TEXT(Append1[[#This Row],[dteday]],"DDDD")</f>
        <v>Friday</v>
      </c>
      <c r="J156" t="str" cm="1">
        <f t="array" ref="J156">_xlfn.IFS(Append1[[#This Row],[weekday cnt]]=0,"Weekend",Append1[[#This Row],[weekday cnt]]=6,"Weekend",Append1[[#This Row],[weekday cnt]]&gt;0,"Weekday")</f>
        <v>Weekday</v>
      </c>
      <c r="K156">
        <v>5</v>
      </c>
      <c r="L156" t="str" cm="1">
        <f t="array" ref="L1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56">
        <v>2</v>
      </c>
      <c r="N156">
        <v>0.2</v>
      </c>
      <c r="O156">
        <v>154</v>
      </c>
      <c r="P156">
        <v>155</v>
      </c>
      <c r="Q156">
        <v>0.2576</v>
      </c>
      <c r="R156">
        <v>0.37</v>
      </c>
      <c r="S156">
        <v>0</v>
      </c>
      <c r="T156">
        <v>9</v>
      </c>
      <c r="U156">
        <v>178</v>
      </c>
      <c r="V156">
        <v>187</v>
      </c>
    </row>
    <row r="157" spans="1:22" x14ac:dyDescent="0.3">
      <c r="A157">
        <v>156</v>
      </c>
      <c r="B157" s="1">
        <v>40550</v>
      </c>
      <c r="C157">
        <v>1</v>
      </c>
      <c r="D157">
        <v>0</v>
      </c>
      <c r="E157" t="str">
        <f>TEXT(Append1[[#This Row],[dteday]],"MMMM")</f>
        <v>January</v>
      </c>
      <c r="F157">
        <v>1</v>
      </c>
      <c r="G157">
        <v>18</v>
      </c>
      <c r="H157" t="b">
        <v>0</v>
      </c>
      <c r="I157" t="str">
        <f>TEXT(Append1[[#This Row],[dteday]],"DDDD")</f>
        <v>Friday</v>
      </c>
      <c r="J157" t="str" cm="1">
        <f t="array" ref="J157">_xlfn.IFS(Append1[[#This Row],[weekday cnt]]=0,"Weekend",Append1[[#This Row],[weekday cnt]]=6,"Weekend",Append1[[#This Row],[weekday cnt]]&gt;0,"Weekday")</f>
        <v>Weekday</v>
      </c>
      <c r="K157">
        <v>5</v>
      </c>
      <c r="L157" t="str" cm="1">
        <f t="array" ref="L1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57">
        <v>1</v>
      </c>
      <c r="N157">
        <v>0.2</v>
      </c>
      <c r="O157">
        <v>155</v>
      </c>
      <c r="P157">
        <v>156</v>
      </c>
      <c r="Q157">
        <v>0.2273</v>
      </c>
      <c r="R157">
        <v>0.4</v>
      </c>
      <c r="S157">
        <v>8.9599999999999999E-2</v>
      </c>
      <c r="T157">
        <v>7</v>
      </c>
      <c r="U157">
        <v>116</v>
      </c>
      <c r="V157">
        <v>123</v>
      </c>
    </row>
    <row r="158" spans="1:22" x14ac:dyDescent="0.3">
      <c r="A158">
        <v>157</v>
      </c>
      <c r="B158" s="1">
        <v>40550</v>
      </c>
      <c r="C158">
        <v>1</v>
      </c>
      <c r="D158">
        <v>0</v>
      </c>
      <c r="E158" t="str">
        <f>TEXT(Append1[[#This Row],[dteday]],"MMMM")</f>
        <v>January</v>
      </c>
      <c r="F158">
        <v>1</v>
      </c>
      <c r="G158">
        <v>19</v>
      </c>
      <c r="H158" t="b">
        <v>0</v>
      </c>
      <c r="I158" t="str">
        <f>TEXT(Append1[[#This Row],[dteday]],"DDDD")</f>
        <v>Friday</v>
      </c>
      <c r="J158" t="str" cm="1">
        <f t="array" ref="J158">_xlfn.IFS(Append1[[#This Row],[weekday cnt]]=0,"Weekend",Append1[[#This Row],[weekday cnt]]=6,"Weekend",Append1[[#This Row],[weekday cnt]]&gt;0,"Weekday")</f>
        <v>Weekday</v>
      </c>
      <c r="K158">
        <v>5</v>
      </c>
      <c r="L158" t="str" cm="1">
        <f t="array" ref="L1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58">
        <v>1</v>
      </c>
      <c r="N158">
        <v>0.16</v>
      </c>
      <c r="O158">
        <v>156</v>
      </c>
      <c r="P158">
        <v>157</v>
      </c>
      <c r="Q158">
        <v>0.19700000000000001</v>
      </c>
      <c r="R158">
        <v>0.55000000000000004</v>
      </c>
      <c r="S158">
        <v>8.9599999999999999E-2</v>
      </c>
      <c r="T158">
        <v>3</v>
      </c>
      <c r="U158">
        <v>92</v>
      </c>
      <c r="V158">
        <v>95</v>
      </c>
    </row>
    <row r="159" spans="1:22" x14ac:dyDescent="0.3">
      <c r="A159">
        <v>158</v>
      </c>
      <c r="B159" s="1">
        <v>40550</v>
      </c>
      <c r="C159">
        <v>1</v>
      </c>
      <c r="D159">
        <v>0</v>
      </c>
      <c r="E159" t="str">
        <f>TEXT(Append1[[#This Row],[dteday]],"MMMM")</f>
        <v>January</v>
      </c>
      <c r="F159">
        <v>1</v>
      </c>
      <c r="G159">
        <v>20</v>
      </c>
      <c r="H159" t="b">
        <v>0</v>
      </c>
      <c r="I159" t="str">
        <f>TEXT(Append1[[#This Row],[dteday]],"DDDD")</f>
        <v>Friday</v>
      </c>
      <c r="J159" t="str" cm="1">
        <f t="array" ref="J159">_xlfn.IFS(Append1[[#This Row],[weekday cnt]]=0,"Weekend",Append1[[#This Row],[weekday cnt]]=6,"Weekend",Append1[[#This Row],[weekday cnt]]&gt;0,"Weekday")</f>
        <v>Weekday</v>
      </c>
      <c r="K159">
        <v>5</v>
      </c>
      <c r="L159" t="str" cm="1">
        <f t="array" ref="L1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59">
        <v>1</v>
      </c>
      <c r="N159">
        <v>0.18</v>
      </c>
      <c r="O159">
        <v>157</v>
      </c>
      <c r="P159">
        <v>158</v>
      </c>
      <c r="Q159">
        <v>0.21210000000000001</v>
      </c>
      <c r="R159">
        <v>0.47</v>
      </c>
      <c r="S159">
        <v>0.1045</v>
      </c>
      <c r="T159">
        <v>1</v>
      </c>
      <c r="U159">
        <v>50</v>
      </c>
      <c r="V159">
        <v>51</v>
      </c>
    </row>
    <row r="160" spans="1:22" x14ac:dyDescent="0.3">
      <c r="A160">
        <v>159</v>
      </c>
      <c r="B160" s="1">
        <v>40550</v>
      </c>
      <c r="C160">
        <v>1</v>
      </c>
      <c r="D160">
        <v>0</v>
      </c>
      <c r="E160" t="str">
        <f>TEXT(Append1[[#This Row],[dteday]],"MMMM")</f>
        <v>January</v>
      </c>
      <c r="F160">
        <v>1</v>
      </c>
      <c r="G160">
        <v>21</v>
      </c>
      <c r="H160" t="b">
        <v>0</v>
      </c>
      <c r="I160" t="str">
        <f>TEXT(Append1[[#This Row],[dteday]],"DDDD")</f>
        <v>Friday</v>
      </c>
      <c r="J160" t="str" cm="1">
        <f t="array" ref="J160">_xlfn.IFS(Append1[[#This Row],[weekday cnt]]=0,"Weekend",Append1[[#This Row],[weekday cnt]]=6,"Weekend",Append1[[#This Row],[weekday cnt]]&gt;0,"Weekday")</f>
        <v>Weekday</v>
      </c>
      <c r="K160">
        <v>5</v>
      </c>
      <c r="L160" t="str" cm="1">
        <f t="array" ref="L1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60">
        <v>1</v>
      </c>
      <c r="N160">
        <v>0.18</v>
      </c>
      <c r="O160">
        <v>158</v>
      </c>
      <c r="P160">
        <v>159</v>
      </c>
      <c r="Q160">
        <v>0.19700000000000001</v>
      </c>
      <c r="R160">
        <v>0.47</v>
      </c>
      <c r="S160">
        <v>0.1343</v>
      </c>
      <c r="T160">
        <v>0</v>
      </c>
      <c r="U160">
        <v>39</v>
      </c>
      <c r="V160">
        <v>39</v>
      </c>
    </row>
    <row r="161" spans="1:22" x14ac:dyDescent="0.3">
      <c r="A161">
        <v>160</v>
      </c>
      <c r="B161" s="1">
        <v>40550</v>
      </c>
      <c r="C161">
        <v>1</v>
      </c>
      <c r="D161">
        <v>0</v>
      </c>
      <c r="E161" t="str">
        <f>TEXT(Append1[[#This Row],[dteday]],"MMMM")</f>
        <v>January</v>
      </c>
      <c r="F161">
        <v>1</v>
      </c>
      <c r="G161">
        <v>22</v>
      </c>
      <c r="H161" t="b">
        <v>0</v>
      </c>
      <c r="I161" t="str">
        <f>TEXT(Append1[[#This Row],[dteday]],"DDDD")</f>
        <v>Friday</v>
      </c>
      <c r="J161" t="str" cm="1">
        <f t="array" ref="J161">_xlfn.IFS(Append1[[#This Row],[weekday cnt]]=0,"Weekend",Append1[[#This Row],[weekday cnt]]=6,"Weekend",Append1[[#This Row],[weekday cnt]]&gt;0,"Weekday")</f>
        <v>Weekday</v>
      </c>
      <c r="K161">
        <v>5</v>
      </c>
      <c r="L161" t="str" cm="1">
        <f t="array" ref="L1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61">
        <v>2</v>
      </c>
      <c r="N161">
        <v>0.18</v>
      </c>
      <c r="O161">
        <v>159</v>
      </c>
      <c r="P161">
        <v>160</v>
      </c>
      <c r="Q161">
        <v>0.19700000000000001</v>
      </c>
      <c r="R161">
        <v>0.43</v>
      </c>
      <c r="S161">
        <v>0.16420000000000001</v>
      </c>
      <c r="T161">
        <v>2</v>
      </c>
      <c r="U161">
        <v>34</v>
      </c>
      <c r="V161">
        <v>36</v>
      </c>
    </row>
    <row r="162" spans="1:22" x14ac:dyDescent="0.3">
      <c r="A162">
        <v>161</v>
      </c>
      <c r="B162" s="1">
        <v>40550</v>
      </c>
      <c r="C162">
        <v>1</v>
      </c>
      <c r="D162">
        <v>0</v>
      </c>
      <c r="E162" t="str">
        <f>TEXT(Append1[[#This Row],[dteday]],"MMMM")</f>
        <v>January</v>
      </c>
      <c r="F162">
        <v>1</v>
      </c>
      <c r="G162">
        <v>23</v>
      </c>
      <c r="H162" t="b">
        <v>0</v>
      </c>
      <c r="I162" t="str">
        <f>TEXT(Append1[[#This Row],[dteday]],"DDDD")</f>
        <v>Friday</v>
      </c>
      <c r="J162" t="str" cm="1">
        <f t="array" ref="J162">_xlfn.IFS(Append1[[#This Row],[weekday cnt]]=0,"Weekend",Append1[[#This Row],[weekday cnt]]=6,"Weekend",Append1[[#This Row],[weekday cnt]]&gt;0,"Weekday")</f>
        <v>Weekday</v>
      </c>
      <c r="K162">
        <v>5</v>
      </c>
      <c r="L162" t="str" cm="1">
        <f t="array" ref="L1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62">
        <v>2</v>
      </c>
      <c r="N162">
        <v>0.18</v>
      </c>
      <c r="O162">
        <v>160</v>
      </c>
      <c r="P162">
        <v>161</v>
      </c>
      <c r="Q162">
        <v>0.19700000000000001</v>
      </c>
      <c r="R162">
        <v>0.51</v>
      </c>
      <c r="S162">
        <v>0.16420000000000001</v>
      </c>
      <c r="T162">
        <v>1</v>
      </c>
      <c r="U162">
        <v>14</v>
      </c>
      <c r="V162">
        <v>15</v>
      </c>
    </row>
    <row r="163" spans="1:22" x14ac:dyDescent="0.3">
      <c r="A163">
        <v>162</v>
      </c>
      <c r="B163" s="1">
        <v>40551</v>
      </c>
      <c r="C163">
        <v>1</v>
      </c>
      <c r="D163">
        <v>0</v>
      </c>
      <c r="E163" t="str">
        <f>TEXT(Append1[[#This Row],[dteday]],"MMMM")</f>
        <v>January</v>
      </c>
      <c r="F163">
        <v>1</v>
      </c>
      <c r="G163">
        <v>0</v>
      </c>
      <c r="H163" t="b">
        <v>0</v>
      </c>
      <c r="I163" t="str">
        <f>TEXT(Append1[[#This Row],[dteday]],"DDDD")</f>
        <v>Saturday</v>
      </c>
      <c r="J163" t="str" cm="1">
        <f t="array" ref="J163">_xlfn.IFS(Append1[[#This Row],[weekday cnt]]=0,"Weekend",Append1[[#This Row],[weekday cnt]]=6,"Weekend",Append1[[#This Row],[weekday cnt]]&gt;0,"Weekday")</f>
        <v>Weekend</v>
      </c>
      <c r="K163">
        <v>6</v>
      </c>
      <c r="L163" t="str" cm="1">
        <f t="array" ref="L1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63">
        <v>2</v>
      </c>
      <c r="N163">
        <v>0.18</v>
      </c>
      <c r="O163">
        <v>161</v>
      </c>
      <c r="P163">
        <v>162</v>
      </c>
      <c r="Q163">
        <v>0.19700000000000001</v>
      </c>
      <c r="R163">
        <v>0.51</v>
      </c>
      <c r="S163">
        <v>0.16420000000000001</v>
      </c>
      <c r="T163">
        <v>1</v>
      </c>
      <c r="U163">
        <v>24</v>
      </c>
      <c r="V163">
        <v>25</v>
      </c>
    </row>
    <row r="164" spans="1:22" x14ac:dyDescent="0.3">
      <c r="A164">
        <v>163</v>
      </c>
      <c r="B164" s="1">
        <v>40551</v>
      </c>
      <c r="C164">
        <v>1</v>
      </c>
      <c r="D164">
        <v>0</v>
      </c>
      <c r="E164" t="str">
        <f>TEXT(Append1[[#This Row],[dteday]],"MMMM")</f>
        <v>January</v>
      </c>
      <c r="F164">
        <v>1</v>
      </c>
      <c r="G164">
        <v>1</v>
      </c>
      <c r="H164" t="b">
        <v>0</v>
      </c>
      <c r="I164" t="str">
        <f>TEXT(Append1[[#This Row],[dteday]],"DDDD")</f>
        <v>Saturday</v>
      </c>
      <c r="J164" t="str" cm="1">
        <f t="array" ref="J164">_xlfn.IFS(Append1[[#This Row],[weekday cnt]]=0,"Weekend",Append1[[#This Row],[weekday cnt]]=6,"Weekend",Append1[[#This Row],[weekday cnt]]&gt;0,"Weekday")</f>
        <v>Weekend</v>
      </c>
      <c r="K164">
        <v>6</v>
      </c>
      <c r="L164" t="str" cm="1">
        <f t="array" ref="L1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64">
        <v>2</v>
      </c>
      <c r="N164">
        <v>0.18</v>
      </c>
      <c r="O164">
        <v>162</v>
      </c>
      <c r="P164">
        <v>163</v>
      </c>
      <c r="Q164">
        <v>0.21210000000000001</v>
      </c>
      <c r="R164">
        <v>0.55000000000000004</v>
      </c>
      <c r="S164">
        <v>8.9599999999999999E-2</v>
      </c>
      <c r="T164">
        <v>1</v>
      </c>
      <c r="U164">
        <v>15</v>
      </c>
      <c r="V164">
        <v>16</v>
      </c>
    </row>
    <row r="165" spans="1:22" x14ac:dyDescent="0.3">
      <c r="A165">
        <v>164</v>
      </c>
      <c r="B165" s="1">
        <v>40551</v>
      </c>
      <c r="C165">
        <v>1</v>
      </c>
      <c r="D165">
        <v>0</v>
      </c>
      <c r="E165" t="str">
        <f>TEXT(Append1[[#This Row],[dteday]],"MMMM")</f>
        <v>January</v>
      </c>
      <c r="F165">
        <v>1</v>
      </c>
      <c r="G165">
        <v>2</v>
      </c>
      <c r="H165" t="b">
        <v>0</v>
      </c>
      <c r="I165" t="str">
        <f>TEXT(Append1[[#This Row],[dteday]],"DDDD")</f>
        <v>Saturday</v>
      </c>
      <c r="J165" t="str" cm="1">
        <f t="array" ref="J165">_xlfn.IFS(Append1[[#This Row],[weekday cnt]]=0,"Weekend",Append1[[#This Row],[weekday cnt]]=6,"Weekend",Append1[[#This Row],[weekday cnt]]&gt;0,"Weekday")</f>
        <v>Weekend</v>
      </c>
      <c r="K165">
        <v>6</v>
      </c>
      <c r="L165" t="str" cm="1">
        <f t="array" ref="L1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65">
        <v>2</v>
      </c>
      <c r="N165">
        <v>0.18</v>
      </c>
      <c r="O165">
        <v>163</v>
      </c>
      <c r="P165">
        <v>164</v>
      </c>
      <c r="Q165">
        <v>0.2424</v>
      </c>
      <c r="R165">
        <v>0.55000000000000004</v>
      </c>
      <c r="S165">
        <v>0</v>
      </c>
      <c r="T165">
        <v>3</v>
      </c>
      <c r="U165">
        <v>13</v>
      </c>
      <c r="V165">
        <v>16</v>
      </c>
    </row>
    <row r="166" spans="1:22" x14ac:dyDescent="0.3">
      <c r="A166">
        <v>165</v>
      </c>
      <c r="B166" s="1">
        <v>40551</v>
      </c>
      <c r="C166">
        <v>1</v>
      </c>
      <c r="D166">
        <v>0</v>
      </c>
      <c r="E166" t="str">
        <f>TEXT(Append1[[#This Row],[dteday]],"MMMM")</f>
        <v>January</v>
      </c>
      <c r="F166">
        <v>1</v>
      </c>
      <c r="G166">
        <v>3</v>
      </c>
      <c r="H166" t="b">
        <v>0</v>
      </c>
      <c r="I166" t="str">
        <f>TEXT(Append1[[#This Row],[dteday]],"DDDD")</f>
        <v>Saturday</v>
      </c>
      <c r="J166" t="str" cm="1">
        <f t="array" ref="J166">_xlfn.IFS(Append1[[#This Row],[weekday cnt]]=0,"Weekend",Append1[[#This Row],[weekday cnt]]=6,"Weekend",Append1[[#This Row],[weekday cnt]]&gt;0,"Weekday")</f>
        <v>Weekend</v>
      </c>
      <c r="K166">
        <v>6</v>
      </c>
      <c r="L166" t="str" cm="1">
        <f t="array" ref="L1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166">
        <v>3</v>
      </c>
      <c r="N166">
        <v>0.18</v>
      </c>
      <c r="O166">
        <v>164</v>
      </c>
      <c r="P166">
        <v>165</v>
      </c>
      <c r="Q166">
        <v>0.19700000000000001</v>
      </c>
      <c r="R166">
        <v>0.55000000000000004</v>
      </c>
      <c r="S166">
        <v>0.16420000000000001</v>
      </c>
      <c r="T166">
        <v>0</v>
      </c>
      <c r="U166">
        <v>7</v>
      </c>
      <c r="V166">
        <v>7</v>
      </c>
    </row>
    <row r="167" spans="1:22" x14ac:dyDescent="0.3">
      <c r="A167">
        <v>166</v>
      </c>
      <c r="B167" s="1">
        <v>40551</v>
      </c>
      <c r="C167">
        <v>1</v>
      </c>
      <c r="D167">
        <v>0</v>
      </c>
      <c r="E167" t="str">
        <f>TEXT(Append1[[#This Row],[dteday]],"MMMM")</f>
        <v>January</v>
      </c>
      <c r="F167">
        <v>1</v>
      </c>
      <c r="G167">
        <v>4</v>
      </c>
      <c r="H167" t="b">
        <v>0</v>
      </c>
      <c r="I167" t="str">
        <f>TEXT(Append1[[#This Row],[dteday]],"DDDD")</f>
        <v>Saturday</v>
      </c>
      <c r="J167" t="str" cm="1">
        <f t="array" ref="J167">_xlfn.IFS(Append1[[#This Row],[weekday cnt]]=0,"Weekend",Append1[[#This Row],[weekday cnt]]=6,"Weekend",Append1[[#This Row],[weekday cnt]]&gt;0,"Weekday")</f>
        <v>Weekend</v>
      </c>
      <c r="K167">
        <v>6</v>
      </c>
      <c r="L167" t="str" cm="1">
        <f t="array" ref="L1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167">
        <v>3</v>
      </c>
      <c r="N167">
        <v>0.18</v>
      </c>
      <c r="O167">
        <v>165</v>
      </c>
      <c r="P167">
        <v>166</v>
      </c>
      <c r="Q167">
        <v>0.19700000000000001</v>
      </c>
      <c r="R167">
        <v>0.55000000000000004</v>
      </c>
      <c r="S167">
        <v>0.16420000000000001</v>
      </c>
      <c r="T167">
        <v>0</v>
      </c>
      <c r="U167">
        <v>1</v>
      </c>
      <c r="V167">
        <v>1</v>
      </c>
    </row>
    <row r="168" spans="1:22" x14ac:dyDescent="0.3">
      <c r="A168">
        <v>167</v>
      </c>
      <c r="B168" s="1">
        <v>40551</v>
      </c>
      <c r="C168">
        <v>1</v>
      </c>
      <c r="D168">
        <v>0</v>
      </c>
      <c r="E168" t="str">
        <f>TEXT(Append1[[#This Row],[dteday]],"MMMM")</f>
        <v>January</v>
      </c>
      <c r="F168">
        <v>1</v>
      </c>
      <c r="G168">
        <v>5</v>
      </c>
      <c r="H168" t="b">
        <v>0</v>
      </c>
      <c r="I168" t="str">
        <f>TEXT(Append1[[#This Row],[dteday]],"DDDD")</f>
        <v>Saturday</v>
      </c>
      <c r="J168" t="str" cm="1">
        <f t="array" ref="J168">_xlfn.IFS(Append1[[#This Row],[weekday cnt]]=0,"Weekend",Append1[[#This Row],[weekday cnt]]=6,"Weekend",Append1[[#This Row],[weekday cnt]]&gt;0,"Weekday")</f>
        <v>Weekend</v>
      </c>
      <c r="K168">
        <v>6</v>
      </c>
      <c r="L168" t="str" cm="1">
        <f t="array" ref="L1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68">
        <v>2</v>
      </c>
      <c r="N168">
        <v>0.16</v>
      </c>
      <c r="O168">
        <v>166</v>
      </c>
      <c r="P168">
        <v>167</v>
      </c>
      <c r="Q168">
        <v>0.16669999999999999</v>
      </c>
      <c r="R168">
        <v>0.74</v>
      </c>
      <c r="S168">
        <v>0.16420000000000001</v>
      </c>
      <c r="T168">
        <v>0</v>
      </c>
      <c r="U168">
        <v>5</v>
      </c>
      <c r="V168">
        <v>5</v>
      </c>
    </row>
    <row r="169" spans="1:22" x14ac:dyDescent="0.3">
      <c r="A169">
        <v>168</v>
      </c>
      <c r="B169" s="1">
        <v>40551</v>
      </c>
      <c r="C169">
        <v>1</v>
      </c>
      <c r="D169">
        <v>0</v>
      </c>
      <c r="E169" t="str">
        <f>TEXT(Append1[[#This Row],[dteday]],"MMMM")</f>
        <v>January</v>
      </c>
      <c r="F169">
        <v>1</v>
      </c>
      <c r="G169">
        <v>6</v>
      </c>
      <c r="H169" t="b">
        <v>0</v>
      </c>
      <c r="I169" t="str">
        <f>TEXT(Append1[[#This Row],[dteday]],"DDDD")</f>
        <v>Saturday</v>
      </c>
      <c r="J169" t="str" cm="1">
        <f t="array" ref="J169">_xlfn.IFS(Append1[[#This Row],[weekday cnt]]=0,"Weekend",Append1[[#This Row],[weekday cnt]]=6,"Weekend",Append1[[#This Row],[weekday cnt]]&gt;0,"Weekday")</f>
        <v>Weekend</v>
      </c>
      <c r="K169">
        <v>6</v>
      </c>
      <c r="L169" t="str" cm="1">
        <f t="array" ref="L1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69">
        <v>2</v>
      </c>
      <c r="N169">
        <v>0.16</v>
      </c>
      <c r="O169">
        <v>167</v>
      </c>
      <c r="P169">
        <v>168</v>
      </c>
      <c r="Q169">
        <v>0.16669999999999999</v>
      </c>
      <c r="R169">
        <v>0.74</v>
      </c>
      <c r="S169">
        <v>0.16420000000000001</v>
      </c>
      <c r="T169">
        <v>0</v>
      </c>
      <c r="U169">
        <v>2</v>
      </c>
      <c r="V169">
        <v>2</v>
      </c>
    </row>
    <row r="170" spans="1:22" x14ac:dyDescent="0.3">
      <c r="A170">
        <v>169</v>
      </c>
      <c r="B170" s="1">
        <v>40551</v>
      </c>
      <c r="C170">
        <v>1</v>
      </c>
      <c r="D170">
        <v>0</v>
      </c>
      <c r="E170" t="str">
        <f>TEXT(Append1[[#This Row],[dteday]],"MMMM")</f>
        <v>January</v>
      </c>
      <c r="F170">
        <v>1</v>
      </c>
      <c r="G170">
        <v>7</v>
      </c>
      <c r="H170" t="b">
        <v>0</v>
      </c>
      <c r="I170" t="str">
        <f>TEXT(Append1[[#This Row],[dteday]],"DDDD")</f>
        <v>Saturday</v>
      </c>
      <c r="J170" t="str" cm="1">
        <f t="array" ref="J170">_xlfn.IFS(Append1[[#This Row],[weekday cnt]]=0,"Weekend",Append1[[#This Row],[weekday cnt]]=6,"Weekend",Append1[[#This Row],[weekday cnt]]&gt;0,"Weekday")</f>
        <v>Weekend</v>
      </c>
      <c r="K170">
        <v>6</v>
      </c>
      <c r="L170" t="str" cm="1">
        <f t="array" ref="L1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70">
        <v>2</v>
      </c>
      <c r="N170">
        <v>0.16</v>
      </c>
      <c r="O170">
        <v>168</v>
      </c>
      <c r="P170">
        <v>169</v>
      </c>
      <c r="Q170">
        <v>0.18179999999999999</v>
      </c>
      <c r="R170">
        <v>0.74</v>
      </c>
      <c r="S170">
        <v>0.1045</v>
      </c>
      <c r="T170">
        <v>1</v>
      </c>
      <c r="U170">
        <v>8</v>
      </c>
      <c r="V170">
        <v>9</v>
      </c>
    </row>
    <row r="171" spans="1:22" x14ac:dyDescent="0.3">
      <c r="A171">
        <v>170</v>
      </c>
      <c r="B171" s="1">
        <v>40551</v>
      </c>
      <c r="C171">
        <v>1</v>
      </c>
      <c r="D171">
        <v>0</v>
      </c>
      <c r="E171" t="str">
        <f>TEXT(Append1[[#This Row],[dteday]],"MMMM")</f>
        <v>January</v>
      </c>
      <c r="F171">
        <v>1</v>
      </c>
      <c r="G171">
        <v>8</v>
      </c>
      <c r="H171" t="b">
        <v>0</v>
      </c>
      <c r="I171" t="str">
        <f>TEXT(Append1[[#This Row],[dteday]],"DDDD")</f>
        <v>Saturday</v>
      </c>
      <c r="J171" t="str" cm="1">
        <f t="array" ref="J171">_xlfn.IFS(Append1[[#This Row],[weekday cnt]]=0,"Weekend",Append1[[#This Row],[weekday cnt]]=6,"Weekend",Append1[[#This Row],[weekday cnt]]&gt;0,"Weekday")</f>
        <v>Weekend</v>
      </c>
      <c r="K171">
        <v>6</v>
      </c>
      <c r="L171" t="str" cm="1">
        <f t="array" ref="L1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171">
        <v>3</v>
      </c>
      <c r="N171">
        <v>0.16</v>
      </c>
      <c r="O171">
        <v>169</v>
      </c>
      <c r="P171">
        <v>170</v>
      </c>
      <c r="Q171">
        <v>0.18179999999999999</v>
      </c>
      <c r="R171">
        <v>0.93</v>
      </c>
      <c r="S171">
        <v>0.1045</v>
      </c>
      <c r="T171">
        <v>0</v>
      </c>
      <c r="U171">
        <v>15</v>
      </c>
      <c r="V171">
        <v>15</v>
      </c>
    </row>
    <row r="172" spans="1:22" x14ac:dyDescent="0.3">
      <c r="A172">
        <v>171</v>
      </c>
      <c r="B172" s="1">
        <v>40551</v>
      </c>
      <c r="C172">
        <v>1</v>
      </c>
      <c r="D172">
        <v>0</v>
      </c>
      <c r="E172" t="str">
        <f>TEXT(Append1[[#This Row],[dteday]],"MMMM")</f>
        <v>January</v>
      </c>
      <c r="F172">
        <v>1</v>
      </c>
      <c r="G172">
        <v>9</v>
      </c>
      <c r="H172" t="b">
        <v>0</v>
      </c>
      <c r="I172" t="str">
        <f>TEXT(Append1[[#This Row],[dteday]],"DDDD")</f>
        <v>Saturday</v>
      </c>
      <c r="J172" t="str" cm="1">
        <f t="array" ref="J172">_xlfn.IFS(Append1[[#This Row],[weekday cnt]]=0,"Weekend",Append1[[#This Row],[weekday cnt]]=6,"Weekend",Append1[[#This Row],[weekday cnt]]&gt;0,"Weekday")</f>
        <v>Weekend</v>
      </c>
      <c r="K172">
        <v>6</v>
      </c>
      <c r="L172" t="str" cm="1">
        <f t="array" ref="L1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172">
        <v>3</v>
      </c>
      <c r="N172">
        <v>0.16</v>
      </c>
      <c r="O172">
        <v>170</v>
      </c>
      <c r="P172">
        <v>171</v>
      </c>
      <c r="Q172">
        <v>0.18179999999999999</v>
      </c>
      <c r="R172">
        <v>0.93</v>
      </c>
      <c r="S172">
        <v>0.1045</v>
      </c>
      <c r="T172">
        <v>0</v>
      </c>
      <c r="U172">
        <v>20</v>
      </c>
      <c r="V172">
        <v>20</v>
      </c>
    </row>
    <row r="173" spans="1:22" x14ac:dyDescent="0.3">
      <c r="A173">
        <v>172</v>
      </c>
      <c r="B173" s="1">
        <v>40551</v>
      </c>
      <c r="C173">
        <v>1</v>
      </c>
      <c r="D173">
        <v>0</v>
      </c>
      <c r="E173" t="str">
        <f>TEXT(Append1[[#This Row],[dteday]],"MMMM")</f>
        <v>January</v>
      </c>
      <c r="F173">
        <v>1</v>
      </c>
      <c r="G173">
        <v>10</v>
      </c>
      <c r="H173" t="b">
        <v>0</v>
      </c>
      <c r="I173" t="str">
        <f>TEXT(Append1[[#This Row],[dteday]],"DDDD")</f>
        <v>Saturday</v>
      </c>
      <c r="J173" t="str" cm="1">
        <f t="array" ref="J173">_xlfn.IFS(Append1[[#This Row],[weekday cnt]]=0,"Weekend",Append1[[#This Row],[weekday cnt]]=6,"Weekend",Append1[[#This Row],[weekday cnt]]&gt;0,"Weekday")</f>
        <v>Weekend</v>
      </c>
      <c r="K173">
        <v>6</v>
      </c>
      <c r="L173" t="str" cm="1">
        <f t="array" ref="L1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73">
        <v>2</v>
      </c>
      <c r="N173">
        <v>0.18</v>
      </c>
      <c r="O173">
        <v>171</v>
      </c>
      <c r="P173">
        <v>172</v>
      </c>
      <c r="Q173">
        <v>0.19700000000000001</v>
      </c>
      <c r="R173">
        <v>0.8</v>
      </c>
      <c r="S173">
        <v>0.16420000000000001</v>
      </c>
      <c r="T173">
        <v>5</v>
      </c>
      <c r="U173">
        <v>56</v>
      </c>
      <c r="V173">
        <v>61</v>
      </c>
    </row>
    <row r="174" spans="1:22" x14ac:dyDescent="0.3">
      <c r="A174">
        <v>173</v>
      </c>
      <c r="B174" s="1">
        <v>40551</v>
      </c>
      <c r="C174">
        <v>1</v>
      </c>
      <c r="D174">
        <v>0</v>
      </c>
      <c r="E174" t="str">
        <f>TEXT(Append1[[#This Row],[dteday]],"MMMM")</f>
        <v>January</v>
      </c>
      <c r="F174">
        <v>1</v>
      </c>
      <c r="G174">
        <v>11</v>
      </c>
      <c r="H174" t="b">
        <v>0</v>
      </c>
      <c r="I174" t="str">
        <f>TEXT(Append1[[#This Row],[dteday]],"DDDD")</f>
        <v>Saturday</v>
      </c>
      <c r="J174" t="str" cm="1">
        <f t="array" ref="J174">_xlfn.IFS(Append1[[#This Row],[weekday cnt]]=0,"Weekend",Append1[[#This Row],[weekday cnt]]=6,"Weekend",Append1[[#This Row],[weekday cnt]]&gt;0,"Weekday")</f>
        <v>Weekend</v>
      </c>
      <c r="K174">
        <v>6</v>
      </c>
      <c r="L174" t="str" cm="1">
        <f t="array" ref="L1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74">
        <v>2</v>
      </c>
      <c r="N174">
        <v>0.2</v>
      </c>
      <c r="O174">
        <v>172</v>
      </c>
      <c r="P174">
        <v>173</v>
      </c>
      <c r="Q174">
        <v>0.18179999999999999</v>
      </c>
      <c r="R174">
        <v>0.69</v>
      </c>
      <c r="S174">
        <v>0.3881</v>
      </c>
      <c r="T174">
        <v>2</v>
      </c>
      <c r="U174">
        <v>60</v>
      </c>
      <c r="V174">
        <v>62</v>
      </c>
    </row>
    <row r="175" spans="1:22" x14ac:dyDescent="0.3">
      <c r="A175">
        <v>174</v>
      </c>
      <c r="B175" s="1">
        <v>40551</v>
      </c>
      <c r="C175">
        <v>1</v>
      </c>
      <c r="D175">
        <v>0</v>
      </c>
      <c r="E175" t="str">
        <f>TEXT(Append1[[#This Row],[dteday]],"MMMM")</f>
        <v>January</v>
      </c>
      <c r="F175">
        <v>1</v>
      </c>
      <c r="G175">
        <v>12</v>
      </c>
      <c r="H175" t="b">
        <v>0</v>
      </c>
      <c r="I175" t="str">
        <f>TEXT(Append1[[#This Row],[dteday]],"DDDD")</f>
        <v>Saturday</v>
      </c>
      <c r="J175" t="str" cm="1">
        <f t="array" ref="J175">_xlfn.IFS(Append1[[#This Row],[weekday cnt]]=0,"Weekend",Append1[[#This Row],[weekday cnt]]=6,"Weekend",Append1[[#This Row],[weekday cnt]]&gt;0,"Weekday")</f>
        <v>Weekend</v>
      </c>
      <c r="K175">
        <v>6</v>
      </c>
      <c r="L175" t="str" cm="1">
        <f t="array" ref="L1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175">
        <v>2</v>
      </c>
      <c r="N175">
        <v>0.2</v>
      </c>
      <c r="O175">
        <v>173</v>
      </c>
      <c r="P175">
        <v>174</v>
      </c>
      <c r="Q175">
        <v>0.18179999999999999</v>
      </c>
      <c r="R175">
        <v>0.59</v>
      </c>
      <c r="S175">
        <v>0.35820000000000002</v>
      </c>
      <c r="T175">
        <v>8</v>
      </c>
      <c r="U175">
        <v>90</v>
      </c>
      <c r="V175">
        <v>98</v>
      </c>
    </row>
    <row r="176" spans="1:22" x14ac:dyDescent="0.3">
      <c r="A176">
        <v>175</v>
      </c>
      <c r="B176" s="1">
        <v>40551</v>
      </c>
      <c r="C176">
        <v>1</v>
      </c>
      <c r="D176">
        <v>0</v>
      </c>
      <c r="E176" t="str">
        <f>TEXT(Append1[[#This Row],[dteday]],"MMMM")</f>
        <v>January</v>
      </c>
      <c r="F176">
        <v>1</v>
      </c>
      <c r="G176">
        <v>13</v>
      </c>
      <c r="H176" t="b">
        <v>0</v>
      </c>
      <c r="I176" t="str">
        <f>TEXT(Append1[[#This Row],[dteday]],"DDDD")</f>
        <v>Saturday</v>
      </c>
      <c r="J176" t="str" cm="1">
        <f t="array" ref="J176">_xlfn.IFS(Append1[[#This Row],[weekday cnt]]=0,"Weekend",Append1[[#This Row],[weekday cnt]]=6,"Weekend",Append1[[#This Row],[weekday cnt]]&gt;0,"Weekday")</f>
        <v>Weekend</v>
      </c>
      <c r="K176">
        <v>6</v>
      </c>
      <c r="L176" t="str" cm="1">
        <f t="array" ref="L1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76">
        <v>1</v>
      </c>
      <c r="N176">
        <v>0.2</v>
      </c>
      <c r="O176">
        <v>174</v>
      </c>
      <c r="P176">
        <v>175</v>
      </c>
      <c r="Q176">
        <v>0.18179999999999999</v>
      </c>
      <c r="R176">
        <v>0.44</v>
      </c>
      <c r="S176">
        <v>0.32840000000000003</v>
      </c>
      <c r="T176">
        <v>7</v>
      </c>
      <c r="U176">
        <v>95</v>
      </c>
      <c r="V176">
        <v>102</v>
      </c>
    </row>
    <row r="177" spans="1:22" x14ac:dyDescent="0.3">
      <c r="A177">
        <v>176</v>
      </c>
      <c r="B177" s="1">
        <v>40551</v>
      </c>
      <c r="C177">
        <v>1</v>
      </c>
      <c r="D177">
        <v>0</v>
      </c>
      <c r="E177" t="str">
        <f>TEXT(Append1[[#This Row],[dteday]],"MMMM")</f>
        <v>January</v>
      </c>
      <c r="F177">
        <v>1</v>
      </c>
      <c r="G177">
        <v>14</v>
      </c>
      <c r="H177" t="b">
        <v>0</v>
      </c>
      <c r="I177" t="str">
        <f>TEXT(Append1[[#This Row],[dteday]],"DDDD")</f>
        <v>Saturday</v>
      </c>
      <c r="J177" t="str" cm="1">
        <f t="array" ref="J177">_xlfn.IFS(Append1[[#This Row],[weekday cnt]]=0,"Weekend",Append1[[#This Row],[weekday cnt]]=6,"Weekend",Append1[[#This Row],[weekday cnt]]&gt;0,"Weekday")</f>
        <v>Weekend</v>
      </c>
      <c r="K177">
        <v>6</v>
      </c>
      <c r="L177" t="str" cm="1">
        <f t="array" ref="L1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77">
        <v>1</v>
      </c>
      <c r="N177">
        <v>0.2</v>
      </c>
      <c r="O177">
        <v>175</v>
      </c>
      <c r="P177">
        <v>176</v>
      </c>
      <c r="Q177">
        <v>0.16669999999999999</v>
      </c>
      <c r="R177">
        <v>0.32</v>
      </c>
      <c r="S177">
        <v>0.49249999999999999</v>
      </c>
      <c r="T177">
        <v>12</v>
      </c>
      <c r="U177">
        <v>83</v>
      </c>
      <c r="V177">
        <v>95</v>
      </c>
    </row>
    <row r="178" spans="1:22" x14ac:dyDescent="0.3">
      <c r="A178">
        <v>177</v>
      </c>
      <c r="B178" s="1">
        <v>40551</v>
      </c>
      <c r="C178">
        <v>1</v>
      </c>
      <c r="D178">
        <v>0</v>
      </c>
      <c r="E178" t="str">
        <f>TEXT(Append1[[#This Row],[dteday]],"MMMM")</f>
        <v>January</v>
      </c>
      <c r="F178">
        <v>1</v>
      </c>
      <c r="G178">
        <v>15</v>
      </c>
      <c r="H178" t="b">
        <v>0</v>
      </c>
      <c r="I178" t="str">
        <f>TEXT(Append1[[#This Row],[dteday]],"DDDD")</f>
        <v>Saturday</v>
      </c>
      <c r="J178" t="str" cm="1">
        <f t="array" ref="J178">_xlfn.IFS(Append1[[#This Row],[weekday cnt]]=0,"Weekend",Append1[[#This Row],[weekday cnt]]=6,"Weekend",Append1[[#This Row],[weekday cnt]]&gt;0,"Weekday")</f>
        <v>Weekend</v>
      </c>
      <c r="K178">
        <v>6</v>
      </c>
      <c r="L178" t="str" cm="1">
        <f t="array" ref="L1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78">
        <v>1</v>
      </c>
      <c r="N178">
        <v>0.2</v>
      </c>
      <c r="O178">
        <v>176</v>
      </c>
      <c r="P178">
        <v>177</v>
      </c>
      <c r="Q178">
        <v>0.16669999999999999</v>
      </c>
      <c r="R178">
        <v>0.32</v>
      </c>
      <c r="S178">
        <v>0.44779999999999998</v>
      </c>
      <c r="T178">
        <v>5</v>
      </c>
      <c r="U178">
        <v>69</v>
      </c>
      <c r="V178">
        <v>74</v>
      </c>
    </row>
    <row r="179" spans="1:22" x14ac:dyDescent="0.3">
      <c r="A179">
        <v>178</v>
      </c>
      <c r="B179" s="1">
        <v>40551</v>
      </c>
      <c r="C179">
        <v>1</v>
      </c>
      <c r="D179">
        <v>0</v>
      </c>
      <c r="E179" t="str">
        <f>TEXT(Append1[[#This Row],[dteday]],"MMMM")</f>
        <v>January</v>
      </c>
      <c r="F179">
        <v>1</v>
      </c>
      <c r="G179">
        <v>16</v>
      </c>
      <c r="H179" t="b">
        <v>0</v>
      </c>
      <c r="I179" t="str">
        <f>TEXT(Append1[[#This Row],[dteday]],"DDDD")</f>
        <v>Saturday</v>
      </c>
      <c r="J179" t="str" cm="1">
        <f t="array" ref="J179">_xlfn.IFS(Append1[[#This Row],[weekday cnt]]=0,"Weekend",Append1[[#This Row],[weekday cnt]]=6,"Weekend",Append1[[#This Row],[weekday cnt]]&gt;0,"Weekday")</f>
        <v>Weekend</v>
      </c>
      <c r="K179">
        <v>6</v>
      </c>
      <c r="L179" t="str" cm="1">
        <f t="array" ref="L1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79">
        <v>1</v>
      </c>
      <c r="N179">
        <v>0.18</v>
      </c>
      <c r="O179">
        <v>177</v>
      </c>
      <c r="P179">
        <v>178</v>
      </c>
      <c r="Q179">
        <v>0.13639999999999999</v>
      </c>
      <c r="R179">
        <v>0.28999999999999998</v>
      </c>
      <c r="S179">
        <v>0.44779999999999998</v>
      </c>
      <c r="T179">
        <v>8</v>
      </c>
      <c r="U179">
        <v>68</v>
      </c>
      <c r="V179">
        <v>76</v>
      </c>
    </row>
    <row r="180" spans="1:22" x14ac:dyDescent="0.3">
      <c r="A180">
        <v>179</v>
      </c>
      <c r="B180" s="1">
        <v>40551</v>
      </c>
      <c r="C180">
        <v>1</v>
      </c>
      <c r="D180">
        <v>0</v>
      </c>
      <c r="E180" t="str">
        <f>TEXT(Append1[[#This Row],[dteday]],"MMMM")</f>
        <v>January</v>
      </c>
      <c r="F180">
        <v>1</v>
      </c>
      <c r="G180">
        <v>17</v>
      </c>
      <c r="H180" t="b">
        <v>0</v>
      </c>
      <c r="I180" t="str">
        <f>TEXT(Append1[[#This Row],[dteday]],"DDDD")</f>
        <v>Saturday</v>
      </c>
      <c r="J180" t="str" cm="1">
        <f t="array" ref="J180">_xlfn.IFS(Append1[[#This Row],[weekday cnt]]=0,"Weekend",Append1[[#This Row],[weekday cnt]]=6,"Weekend",Append1[[#This Row],[weekday cnt]]&gt;0,"Weekday")</f>
        <v>Weekend</v>
      </c>
      <c r="K180">
        <v>6</v>
      </c>
      <c r="L180" t="str" cm="1">
        <f t="array" ref="L1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0">
        <v>1</v>
      </c>
      <c r="N180">
        <v>0.16</v>
      </c>
      <c r="O180">
        <v>178</v>
      </c>
      <c r="P180">
        <v>179</v>
      </c>
      <c r="Q180">
        <v>0.1212</v>
      </c>
      <c r="R180">
        <v>0.37</v>
      </c>
      <c r="S180">
        <v>0.55220000000000002</v>
      </c>
      <c r="T180">
        <v>5</v>
      </c>
      <c r="U180">
        <v>64</v>
      </c>
      <c r="V180">
        <v>69</v>
      </c>
    </row>
    <row r="181" spans="1:22" x14ac:dyDescent="0.3">
      <c r="A181">
        <v>180</v>
      </c>
      <c r="B181" s="1">
        <v>40551</v>
      </c>
      <c r="C181">
        <v>1</v>
      </c>
      <c r="D181">
        <v>0</v>
      </c>
      <c r="E181" t="str">
        <f>TEXT(Append1[[#This Row],[dteday]],"MMMM")</f>
        <v>January</v>
      </c>
      <c r="F181">
        <v>1</v>
      </c>
      <c r="G181">
        <v>18</v>
      </c>
      <c r="H181" t="b">
        <v>0</v>
      </c>
      <c r="I181" t="str">
        <f>TEXT(Append1[[#This Row],[dteday]],"DDDD")</f>
        <v>Saturday</v>
      </c>
      <c r="J181" t="str" cm="1">
        <f t="array" ref="J181">_xlfn.IFS(Append1[[#This Row],[weekday cnt]]=0,"Weekend",Append1[[#This Row],[weekday cnt]]=6,"Weekend",Append1[[#This Row],[weekday cnt]]&gt;0,"Weekday")</f>
        <v>Weekend</v>
      </c>
      <c r="K181">
        <v>6</v>
      </c>
      <c r="L181" t="str" cm="1">
        <f t="array" ref="L1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1">
        <v>1</v>
      </c>
      <c r="N181">
        <v>0.14000000000000001</v>
      </c>
      <c r="O181">
        <v>179</v>
      </c>
      <c r="P181">
        <v>180</v>
      </c>
      <c r="Q181">
        <v>0.1212</v>
      </c>
      <c r="R181">
        <v>0.39</v>
      </c>
      <c r="S181">
        <v>0.29849999999999999</v>
      </c>
      <c r="T181">
        <v>3</v>
      </c>
      <c r="U181">
        <v>52</v>
      </c>
      <c r="V181">
        <v>55</v>
      </c>
    </row>
    <row r="182" spans="1:22" x14ac:dyDescent="0.3">
      <c r="A182">
        <v>181</v>
      </c>
      <c r="B182" s="1">
        <v>40551</v>
      </c>
      <c r="C182">
        <v>1</v>
      </c>
      <c r="D182">
        <v>0</v>
      </c>
      <c r="E182" t="str">
        <f>TEXT(Append1[[#This Row],[dteday]],"MMMM")</f>
        <v>January</v>
      </c>
      <c r="F182">
        <v>1</v>
      </c>
      <c r="G182">
        <v>19</v>
      </c>
      <c r="H182" t="b">
        <v>0</v>
      </c>
      <c r="I182" t="str">
        <f>TEXT(Append1[[#This Row],[dteday]],"DDDD")</f>
        <v>Saturday</v>
      </c>
      <c r="J182" t="str" cm="1">
        <f t="array" ref="J182">_xlfn.IFS(Append1[[#This Row],[weekday cnt]]=0,"Weekend",Append1[[#This Row],[weekday cnt]]=6,"Weekend",Append1[[#This Row],[weekday cnt]]&gt;0,"Weekday")</f>
        <v>Weekend</v>
      </c>
      <c r="K182">
        <v>6</v>
      </c>
      <c r="L182" t="str" cm="1">
        <f t="array" ref="L1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2">
        <v>1</v>
      </c>
      <c r="N182">
        <v>0.14000000000000001</v>
      </c>
      <c r="O182">
        <v>180</v>
      </c>
      <c r="P182">
        <v>181</v>
      </c>
      <c r="Q182">
        <v>0.1212</v>
      </c>
      <c r="R182">
        <v>0.36</v>
      </c>
      <c r="S182">
        <v>0.25369999999999998</v>
      </c>
      <c r="T182">
        <v>4</v>
      </c>
      <c r="U182">
        <v>26</v>
      </c>
      <c r="V182">
        <v>30</v>
      </c>
    </row>
    <row r="183" spans="1:22" x14ac:dyDescent="0.3">
      <c r="A183">
        <v>182</v>
      </c>
      <c r="B183" s="1">
        <v>40551</v>
      </c>
      <c r="C183">
        <v>1</v>
      </c>
      <c r="D183">
        <v>0</v>
      </c>
      <c r="E183" t="str">
        <f>TEXT(Append1[[#This Row],[dteday]],"MMMM")</f>
        <v>January</v>
      </c>
      <c r="F183">
        <v>1</v>
      </c>
      <c r="G183">
        <v>20</v>
      </c>
      <c r="H183" t="b">
        <v>0</v>
      </c>
      <c r="I183" t="str">
        <f>TEXT(Append1[[#This Row],[dteday]],"DDDD")</f>
        <v>Saturday</v>
      </c>
      <c r="J183" t="str" cm="1">
        <f t="array" ref="J183">_xlfn.IFS(Append1[[#This Row],[weekday cnt]]=0,"Weekend",Append1[[#This Row],[weekday cnt]]=6,"Weekend",Append1[[#This Row],[weekday cnt]]&gt;0,"Weekday")</f>
        <v>Weekend</v>
      </c>
      <c r="K183">
        <v>6</v>
      </c>
      <c r="L183" t="str" cm="1">
        <f t="array" ref="L1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3">
        <v>1</v>
      </c>
      <c r="N183">
        <v>0.12</v>
      </c>
      <c r="O183">
        <v>181</v>
      </c>
      <c r="P183">
        <v>182</v>
      </c>
      <c r="Q183">
        <v>0.1212</v>
      </c>
      <c r="R183">
        <v>0.36</v>
      </c>
      <c r="S183">
        <v>0.25369999999999998</v>
      </c>
      <c r="T183">
        <v>0</v>
      </c>
      <c r="U183">
        <v>28</v>
      </c>
      <c r="V183">
        <v>28</v>
      </c>
    </row>
    <row r="184" spans="1:22" x14ac:dyDescent="0.3">
      <c r="A184">
        <v>183</v>
      </c>
      <c r="B184" s="1">
        <v>40551</v>
      </c>
      <c r="C184">
        <v>1</v>
      </c>
      <c r="D184">
        <v>0</v>
      </c>
      <c r="E184" t="str">
        <f>TEXT(Append1[[#This Row],[dteday]],"MMMM")</f>
        <v>January</v>
      </c>
      <c r="F184">
        <v>1</v>
      </c>
      <c r="G184">
        <v>21</v>
      </c>
      <c r="H184" t="b">
        <v>0</v>
      </c>
      <c r="I184" t="str">
        <f>TEXT(Append1[[#This Row],[dteday]],"DDDD")</f>
        <v>Saturday</v>
      </c>
      <c r="J184" t="str" cm="1">
        <f t="array" ref="J184">_xlfn.IFS(Append1[[#This Row],[weekday cnt]]=0,"Weekend",Append1[[#This Row],[weekday cnt]]=6,"Weekend",Append1[[#This Row],[weekday cnt]]&gt;0,"Weekday")</f>
        <v>Weekend</v>
      </c>
      <c r="K184">
        <v>6</v>
      </c>
      <c r="L184" t="str" cm="1">
        <f t="array" ref="L1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4">
        <v>1</v>
      </c>
      <c r="N184">
        <v>0.12</v>
      </c>
      <c r="O184">
        <v>182</v>
      </c>
      <c r="P184">
        <v>183</v>
      </c>
      <c r="Q184">
        <v>0.1061</v>
      </c>
      <c r="R184">
        <v>0.39</v>
      </c>
      <c r="S184">
        <v>0.35820000000000002</v>
      </c>
      <c r="T184">
        <v>2</v>
      </c>
      <c r="U184">
        <v>35</v>
      </c>
      <c r="V184">
        <v>37</v>
      </c>
    </row>
    <row r="185" spans="1:22" x14ac:dyDescent="0.3">
      <c r="A185">
        <v>184</v>
      </c>
      <c r="B185" s="1">
        <v>40551</v>
      </c>
      <c r="C185">
        <v>1</v>
      </c>
      <c r="D185">
        <v>0</v>
      </c>
      <c r="E185" t="str">
        <f>TEXT(Append1[[#This Row],[dteday]],"MMMM")</f>
        <v>January</v>
      </c>
      <c r="F185">
        <v>1</v>
      </c>
      <c r="G185">
        <v>22</v>
      </c>
      <c r="H185" t="b">
        <v>0</v>
      </c>
      <c r="I185" t="str">
        <f>TEXT(Append1[[#This Row],[dteday]],"DDDD")</f>
        <v>Saturday</v>
      </c>
      <c r="J185" t="str" cm="1">
        <f t="array" ref="J185">_xlfn.IFS(Append1[[#This Row],[weekday cnt]]=0,"Weekend",Append1[[#This Row],[weekday cnt]]=6,"Weekend",Append1[[#This Row],[weekday cnt]]&gt;0,"Weekday")</f>
        <v>Weekend</v>
      </c>
      <c r="K185">
        <v>6</v>
      </c>
      <c r="L185" t="str" cm="1">
        <f t="array" ref="L1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5">
        <v>1</v>
      </c>
      <c r="N185">
        <v>0.12</v>
      </c>
      <c r="O185">
        <v>183</v>
      </c>
      <c r="P185">
        <v>184</v>
      </c>
      <c r="Q185">
        <v>0.1061</v>
      </c>
      <c r="R185">
        <v>0.36</v>
      </c>
      <c r="S185">
        <v>0.3881</v>
      </c>
      <c r="T185">
        <v>1</v>
      </c>
      <c r="U185">
        <v>33</v>
      </c>
      <c r="V185">
        <v>34</v>
      </c>
    </row>
    <row r="186" spans="1:22" x14ac:dyDescent="0.3">
      <c r="A186">
        <v>185</v>
      </c>
      <c r="B186" s="1">
        <v>40551</v>
      </c>
      <c r="C186">
        <v>1</v>
      </c>
      <c r="D186">
        <v>0</v>
      </c>
      <c r="E186" t="str">
        <f>TEXT(Append1[[#This Row],[dteday]],"MMMM")</f>
        <v>January</v>
      </c>
      <c r="F186">
        <v>1</v>
      </c>
      <c r="G186">
        <v>23</v>
      </c>
      <c r="H186" t="b">
        <v>0</v>
      </c>
      <c r="I186" t="str">
        <f>TEXT(Append1[[#This Row],[dteday]],"DDDD")</f>
        <v>Saturday</v>
      </c>
      <c r="J186" t="str" cm="1">
        <f t="array" ref="J186">_xlfn.IFS(Append1[[#This Row],[weekday cnt]]=0,"Weekend",Append1[[#This Row],[weekday cnt]]=6,"Weekend",Append1[[#This Row],[weekday cnt]]&gt;0,"Weekday")</f>
        <v>Weekend</v>
      </c>
      <c r="K186">
        <v>6</v>
      </c>
      <c r="L186" t="str" cm="1">
        <f t="array" ref="L1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6">
        <v>1</v>
      </c>
      <c r="N186">
        <v>0.1</v>
      </c>
      <c r="O186">
        <v>184</v>
      </c>
      <c r="P186">
        <v>185</v>
      </c>
      <c r="Q186">
        <v>6.0600000000000001E-2</v>
      </c>
      <c r="R186">
        <v>0.39</v>
      </c>
      <c r="S186">
        <v>0.44779999999999998</v>
      </c>
      <c r="T186">
        <v>0</v>
      </c>
      <c r="U186">
        <v>22</v>
      </c>
      <c r="V186">
        <v>22</v>
      </c>
    </row>
    <row r="187" spans="1:22" x14ac:dyDescent="0.3">
      <c r="A187">
        <v>186</v>
      </c>
      <c r="B187" s="1">
        <v>40552</v>
      </c>
      <c r="C187">
        <v>1</v>
      </c>
      <c r="D187">
        <v>0</v>
      </c>
      <c r="E187" t="str">
        <f>TEXT(Append1[[#This Row],[dteday]],"MMMM")</f>
        <v>January</v>
      </c>
      <c r="F187">
        <v>1</v>
      </c>
      <c r="G187">
        <v>0</v>
      </c>
      <c r="H187" t="b">
        <v>0</v>
      </c>
      <c r="I187" t="str">
        <f>TEXT(Append1[[#This Row],[dteday]],"DDDD")</f>
        <v>Sunday</v>
      </c>
      <c r="J187" t="str" cm="1">
        <f t="array" ref="J187">_xlfn.IFS(Append1[[#This Row],[weekday cnt]]=0,"Weekend",Append1[[#This Row],[weekday cnt]]=6,"Weekend",Append1[[#This Row],[weekday cnt]]&gt;0,"Weekday")</f>
        <v>Weekend</v>
      </c>
      <c r="K187">
        <v>0</v>
      </c>
      <c r="L187" t="str" cm="1">
        <f t="array" ref="L1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7">
        <v>1</v>
      </c>
      <c r="N187">
        <v>0.1</v>
      </c>
      <c r="O187">
        <v>185</v>
      </c>
      <c r="P187">
        <v>186</v>
      </c>
      <c r="Q187">
        <v>7.5800000000000006E-2</v>
      </c>
      <c r="R187">
        <v>0.42</v>
      </c>
      <c r="S187">
        <v>0.3881</v>
      </c>
      <c r="T187">
        <v>1</v>
      </c>
      <c r="U187">
        <v>24</v>
      </c>
      <c r="V187">
        <v>25</v>
      </c>
    </row>
    <row r="188" spans="1:22" x14ac:dyDescent="0.3">
      <c r="A188">
        <v>187</v>
      </c>
      <c r="B188" s="1">
        <v>40552</v>
      </c>
      <c r="C188">
        <v>1</v>
      </c>
      <c r="D188">
        <v>0</v>
      </c>
      <c r="E188" t="str">
        <f>TEXT(Append1[[#This Row],[dteday]],"MMMM")</f>
        <v>January</v>
      </c>
      <c r="F188">
        <v>1</v>
      </c>
      <c r="G188">
        <v>1</v>
      </c>
      <c r="H188" t="b">
        <v>0</v>
      </c>
      <c r="I188" t="str">
        <f>TEXT(Append1[[#This Row],[dteday]],"DDDD")</f>
        <v>Sunday</v>
      </c>
      <c r="J188" t="str" cm="1">
        <f t="array" ref="J188">_xlfn.IFS(Append1[[#This Row],[weekday cnt]]=0,"Weekend",Append1[[#This Row],[weekday cnt]]=6,"Weekend",Append1[[#This Row],[weekday cnt]]&gt;0,"Weekday")</f>
        <v>Weekend</v>
      </c>
      <c r="K188">
        <v>0</v>
      </c>
      <c r="L188" t="str" cm="1">
        <f t="array" ref="L1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8">
        <v>1</v>
      </c>
      <c r="N188">
        <v>0.1</v>
      </c>
      <c r="O188">
        <v>186</v>
      </c>
      <c r="P188">
        <v>187</v>
      </c>
      <c r="Q188">
        <v>6.0600000000000001E-2</v>
      </c>
      <c r="R188">
        <v>0.42</v>
      </c>
      <c r="S188">
        <v>0.4627</v>
      </c>
      <c r="T188">
        <v>0</v>
      </c>
      <c r="U188">
        <v>12</v>
      </c>
      <c r="V188">
        <v>12</v>
      </c>
    </row>
    <row r="189" spans="1:22" x14ac:dyDescent="0.3">
      <c r="A189">
        <v>188</v>
      </c>
      <c r="B189" s="1">
        <v>40552</v>
      </c>
      <c r="C189">
        <v>1</v>
      </c>
      <c r="D189">
        <v>0</v>
      </c>
      <c r="E189" t="str">
        <f>TEXT(Append1[[#This Row],[dteday]],"MMMM")</f>
        <v>January</v>
      </c>
      <c r="F189">
        <v>1</v>
      </c>
      <c r="G189">
        <v>2</v>
      </c>
      <c r="H189" t="b">
        <v>0</v>
      </c>
      <c r="I189" t="str">
        <f>TEXT(Append1[[#This Row],[dteday]],"DDDD")</f>
        <v>Sunday</v>
      </c>
      <c r="J189" t="str" cm="1">
        <f t="array" ref="J189">_xlfn.IFS(Append1[[#This Row],[weekday cnt]]=0,"Weekend",Append1[[#This Row],[weekday cnt]]=6,"Weekend",Append1[[#This Row],[weekday cnt]]&gt;0,"Weekday")</f>
        <v>Weekend</v>
      </c>
      <c r="K189">
        <v>0</v>
      </c>
      <c r="L189" t="str" cm="1">
        <f t="array" ref="L1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89">
        <v>1</v>
      </c>
      <c r="N189">
        <v>0.1</v>
      </c>
      <c r="O189">
        <v>187</v>
      </c>
      <c r="P189">
        <v>188</v>
      </c>
      <c r="Q189">
        <v>6.0600000000000001E-2</v>
      </c>
      <c r="R189">
        <v>0.46</v>
      </c>
      <c r="S189">
        <v>0.4627</v>
      </c>
      <c r="T189">
        <v>0</v>
      </c>
      <c r="U189">
        <v>11</v>
      </c>
      <c r="V189">
        <v>11</v>
      </c>
    </row>
    <row r="190" spans="1:22" x14ac:dyDescent="0.3">
      <c r="A190">
        <v>189</v>
      </c>
      <c r="B190" s="1">
        <v>40552</v>
      </c>
      <c r="C190">
        <v>1</v>
      </c>
      <c r="D190">
        <v>0</v>
      </c>
      <c r="E190" t="str">
        <f>TEXT(Append1[[#This Row],[dteday]],"MMMM")</f>
        <v>January</v>
      </c>
      <c r="F190">
        <v>1</v>
      </c>
      <c r="G190">
        <v>3</v>
      </c>
      <c r="H190" t="b">
        <v>0</v>
      </c>
      <c r="I190" t="str">
        <f>TEXT(Append1[[#This Row],[dteday]],"DDDD")</f>
        <v>Sunday</v>
      </c>
      <c r="J190" t="str" cm="1">
        <f t="array" ref="J190">_xlfn.IFS(Append1[[#This Row],[weekday cnt]]=0,"Weekend",Append1[[#This Row],[weekday cnt]]=6,"Weekend",Append1[[#This Row],[weekday cnt]]&gt;0,"Weekday")</f>
        <v>Weekend</v>
      </c>
      <c r="K190">
        <v>0</v>
      </c>
      <c r="L190" t="str" cm="1">
        <f t="array" ref="L1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0">
        <v>1</v>
      </c>
      <c r="N190">
        <v>0.1</v>
      </c>
      <c r="O190">
        <v>188</v>
      </c>
      <c r="P190">
        <v>189</v>
      </c>
      <c r="Q190">
        <v>7.5800000000000006E-2</v>
      </c>
      <c r="R190">
        <v>0.46</v>
      </c>
      <c r="S190">
        <v>0.41789999999999999</v>
      </c>
      <c r="T190">
        <v>0</v>
      </c>
      <c r="U190">
        <v>4</v>
      </c>
      <c r="V190">
        <v>4</v>
      </c>
    </row>
    <row r="191" spans="1:22" x14ac:dyDescent="0.3">
      <c r="A191">
        <v>190</v>
      </c>
      <c r="B191" s="1">
        <v>40552</v>
      </c>
      <c r="C191">
        <v>1</v>
      </c>
      <c r="D191">
        <v>0</v>
      </c>
      <c r="E191" t="str">
        <f>TEXT(Append1[[#This Row],[dteday]],"MMMM")</f>
        <v>January</v>
      </c>
      <c r="F191">
        <v>1</v>
      </c>
      <c r="G191">
        <v>4</v>
      </c>
      <c r="H191" t="b">
        <v>0</v>
      </c>
      <c r="I191" t="str">
        <f>TEXT(Append1[[#This Row],[dteday]],"DDDD")</f>
        <v>Sunday</v>
      </c>
      <c r="J191" t="str" cm="1">
        <f t="array" ref="J191">_xlfn.IFS(Append1[[#This Row],[weekday cnt]]=0,"Weekend",Append1[[#This Row],[weekday cnt]]=6,"Weekend",Append1[[#This Row],[weekday cnt]]&gt;0,"Weekday")</f>
        <v>Weekend</v>
      </c>
      <c r="K191">
        <v>0</v>
      </c>
      <c r="L191" t="str" cm="1">
        <f t="array" ref="L1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1">
        <v>1</v>
      </c>
      <c r="N191">
        <v>0.08</v>
      </c>
      <c r="O191">
        <v>189</v>
      </c>
      <c r="P191">
        <v>190</v>
      </c>
      <c r="Q191">
        <v>9.0899999999999995E-2</v>
      </c>
      <c r="R191">
        <v>0.53</v>
      </c>
      <c r="S191">
        <v>0.19400000000000001</v>
      </c>
      <c r="T191">
        <v>0</v>
      </c>
      <c r="U191">
        <v>1</v>
      </c>
      <c r="V191">
        <v>1</v>
      </c>
    </row>
    <row r="192" spans="1:22" x14ac:dyDescent="0.3">
      <c r="A192">
        <v>191</v>
      </c>
      <c r="B192" s="1">
        <v>40552</v>
      </c>
      <c r="C192">
        <v>1</v>
      </c>
      <c r="D192">
        <v>0</v>
      </c>
      <c r="E192" t="str">
        <f>TEXT(Append1[[#This Row],[dteday]],"MMMM")</f>
        <v>January</v>
      </c>
      <c r="F192">
        <v>1</v>
      </c>
      <c r="G192">
        <v>5</v>
      </c>
      <c r="H192" t="b">
        <v>0</v>
      </c>
      <c r="I192" t="str">
        <f>TEXT(Append1[[#This Row],[dteday]],"DDDD")</f>
        <v>Sunday</v>
      </c>
      <c r="J192" t="str" cm="1">
        <f t="array" ref="J192">_xlfn.IFS(Append1[[#This Row],[weekday cnt]]=0,"Weekend",Append1[[#This Row],[weekday cnt]]=6,"Weekend",Append1[[#This Row],[weekday cnt]]&gt;0,"Weekday")</f>
        <v>Weekend</v>
      </c>
      <c r="K192">
        <v>0</v>
      </c>
      <c r="L192" t="str" cm="1">
        <f t="array" ref="L1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2">
        <v>1</v>
      </c>
      <c r="N192">
        <v>0.08</v>
      </c>
      <c r="O192">
        <v>190</v>
      </c>
      <c r="P192">
        <v>191</v>
      </c>
      <c r="Q192">
        <v>9.0899999999999995E-2</v>
      </c>
      <c r="R192">
        <v>0.53</v>
      </c>
      <c r="S192">
        <v>0.19400000000000001</v>
      </c>
      <c r="T192">
        <v>0</v>
      </c>
      <c r="U192">
        <v>1</v>
      </c>
      <c r="V192">
        <v>1</v>
      </c>
    </row>
    <row r="193" spans="1:22" x14ac:dyDescent="0.3">
      <c r="A193">
        <v>192</v>
      </c>
      <c r="B193" s="1">
        <v>40552</v>
      </c>
      <c r="C193">
        <v>1</v>
      </c>
      <c r="D193">
        <v>0</v>
      </c>
      <c r="E193" t="str">
        <f>TEXT(Append1[[#This Row],[dteday]],"MMMM")</f>
        <v>January</v>
      </c>
      <c r="F193">
        <v>1</v>
      </c>
      <c r="G193">
        <v>6</v>
      </c>
      <c r="H193" t="b">
        <v>0</v>
      </c>
      <c r="I193" t="str">
        <f>TEXT(Append1[[#This Row],[dteday]],"DDDD")</f>
        <v>Sunday</v>
      </c>
      <c r="J193" t="str" cm="1">
        <f t="array" ref="J193">_xlfn.IFS(Append1[[#This Row],[weekday cnt]]=0,"Weekend",Append1[[#This Row],[weekday cnt]]=6,"Weekend",Append1[[#This Row],[weekday cnt]]&gt;0,"Weekday")</f>
        <v>Weekend</v>
      </c>
      <c r="K193">
        <v>0</v>
      </c>
      <c r="L193" t="str" cm="1">
        <f t="array" ref="L1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3">
        <v>1</v>
      </c>
      <c r="N193">
        <v>0.1</v>
      </c>
      <c r="O193">
        <v>191</v>
      </c>
      <c r="P193">
        <v>192</v>
      </c>
      <c r="Q193">
        <v>9.0899999999999995E-2</v>
      </c>
      <c r="R193">
        <v>0.49</v>
      </c>
      <c r="S193">
        <v>0.28360000000000002</v>
      </c>
      <c r="T193">
        <v>0</v>
      </c>
      <c r="U193">
        <v>1</v>
      </c>
      <c r="V193">
        <v>1</v>
      </c>
    </row>
    <row r="194" spans="1:22" x14ac:dyDescent="0.3">
      <c r="A194">
        <v>193</v>
      </c>
      <c r="B194" s="1">
        <v>40552</v>
      </c>
      <c r="C194">
        <v>1</v>
      </c>
      <c r="D194">
        <v>0</v>
      </c>
      <c r="E194" t="str">
        <f>TEXT(Append1[[#This Row],[dteday]],"MMMM")</f>
        <v>January</v>
      </c>
      <c r="F194">
        <v>1</v>
      </c>
      <c r="G194">
        <v>7</v>
      </c>
      <c r="H194" t="b">
        <v>0</v>
      </c>
      <c r="I194" t="str">
        <f>TEXT(Append1[[#This Row],[dteday]],"DDDD")</f>
        <v>Sunday</v>
      </c>
      <c r="J194" t="str" cm="1">
        <f t="array" ref="J194">_xlfn.IFS(Append1[[#This Row],[weekday cnt]]=0,"Weekend",Append1[[#This Row],[weekday cnt]]=6,"Weekend",Append1[[#This Row],[weekday cnt]]&gt;0,"Weekday")</f>
        <v>Weekend</v>
      </c>
      <c r="K194">
        <v>0</v>
      </c>
      <c r="L194" t="str" cm="1">
        <f t="array" ref="L1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4">
        <v>1</v>
      </c>
      <c r="N194">
        <v>0.08</v>
      </c>
      <c r="O194">
        <v>192</v>
      </c>
      <c r="P194">
        <v>193</v>
      </c>
      <c r="Q194">
        <v>9.0899999999999995E-2</v>
      </c>
      <c r="R194">
        <v>0.53</v>
      </c>
      <c r="S194">
        <v>0.19400000000000001</v>
      </c>
      <c r="T194">
        <v>1</v>
      </c>
      <c r="U194">
        <v>5</v>
      </c>
      <c r="V194">
        <v>6</v>
      </c>
    </row>
    <row r="195" spans="1:22" x14ac:dyDescent="0.3">
      <c r="A195">
        <v>194</v>
      </c>
      <c r="B195" s="1">
        <v>40552</v>
      </c>
      <c r="C195">
        <v>1</v>
      </c>
      <c r="D195">
        <v>0</v>
      </c>
      <c r="E195" t="str">
        <f>TEXT(Append1[[#This Row],[dteday]],"MMMM")</f>
        <v>January</v>
      </c>
      <c r="F195">
        <v>1</v>
      </c>
      <c r="G195">
        <v>8</v>
      </c>
      <c r="H195" t="b">
        <v>0</v>
      </c>
      <c r="I195" t="str">
        <f>TEXT(Append1[[#This Row],[dteday]],"DDDD")</f>
        <v>Sunday</v>
      </c>
      <c r="J195" t="str" cm="1">
        <f t="array" ref="J195">_xlfn.IFS(Append1[[#This Row],[weekday cnt]]=0,"Weekend",Append1[[#This Row],[weekday cnt]]=6,"Weekend",Append1[[#This Row],[weekday cnt]]&gt;0,"Weekday")</f>
        <v>Weekend</v>
      </c>
      <c r="K195">
        <v>0</v>
      </c>
      <c r="L195" t="str" cm="1">
        <f t="array" ref="L1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5">
        <v>1</v>
      </c>
      <c r="N195">
        <v>0.1</v>
      </c>
      <c r="O195">
        <v>193</v>
      </c>
      <c r="P195">
        <v>194</v>
      </c>
      <c r="Q195">
        <v>9.0899999999999995E-2</v>
      </c>
      <c r="R195">
        <v>0.49</v>
      </c>
      <c r="S195">
        <v>0.28360000000000002</v>
      </c>
      <c r="T195">
        <v>0</v>
      </c>
      <c r="U195">
        <v>10</v>
      </c>
      <c r="V195">
        <v>10</v>
      </c>
    </row>
    <row r="196" spans="1:22" x14ac:dyDescent="0.3">
      <c r="A196">
        <v>195</v>
      </c>
      <c r="B196" s="1">
        <v>40552</v>
      </c>
      <c r="C196">
        <v>1</v>
      </c>
      <c r="D196">
        <v>0</v>
      </c>
      <c r="E196" t="str">
        <f>TEXT(Append1[[#This Row],[dteday]],"MMMM")</f>
        <v>January</v>
      </c>
      <c r="F196">
        <v>1</v>
      </c>
      <c r="G196">
        <v>9</v>
      </c>
      <c r="H196" t="b">
        <v>0</v>
      </c>
      <c r="I196" t="str">
        <f>TEXT(Append1[[#This Row],[dteday]],"DDDD")</f>
        <v>Sunday</v>
      </c>
      <c r="J196" t="str" cm="1">
        <f t="array" ref="J196">_xlfn.IFS(Append1[[#This Row],[weekday cnt]]=0,"Weekend",Append1[[#This Row],[weekday cnt]]=6,"Weekend",Append1[[#This Row],[weekday cnt]]&gt;0,"Weekday")</f>
        <v>Weekend</v>
      </c>
      <c r="K196">
        <v>0</v>
      </c>
      <c r="L196" t="str" cm="1">
        <f t="array" ref="L1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6">
        <v>1</v>
      </c>
      <c r="N196">
        <v>0.12</v>
      </c>
      <c r="O196">
        <v>194</v>
      </c>
      <c r="P196">
        <v>195</v>
      </c>
      <c r="Q196">
        <v>7.5800000000000006E-2</v>
      </c>
      <c r="R196">
        <v>0.46</v>
      </c>
      <c r="S196">
        <v>0.52239999999999998</v>
      </c>
      <c r="T196">
        <v>0</v>
      </c>
      <c r="U196">
        <v>19</v>
      </c>
      <c r="V196">
        <v>19</v>
      </c>
    </row>
    <row r="197" spans="1:22" x14ac:dyDescent="0.3">
      <c r="A197">
        <v>196</v>
      </c>
      <c r="B197" s="1">
        <v>40552</v>
      </c>
      <c r="C197">
        <v>1</v>
      </c>
      <c r="D197">
        <v>0</v>
      </c>
      <c r="E197" t="str">
        <f>TEXT(Append1[[#This Row],[dteday]],"MMMM")</f>
        <v>January</v>
      </c>
      <c r="F197">
        <v>1</v>
      </c>
      <c r="G197">
        <v>10</v>
      </c>
      <c r="H197" t="b">
        <v>0</v>
      </c>
      <c r="I197" t="str">
        <f>TEXT(Append1[[#This Row],[dteday]],"DDDD")</f>
        <v>Sunday</v>
      </c>
      <c r="J197" t="str" cm="1">
        <f t="array" ref="J197">_xlfn.IFS(Append1[[#This Row],[weekday cnt]]=0,"Weekend",Append1[[#This Row],[weekday cnt]]=6,"Weekend",Append1[[#This Row],[weekday cnt]]&gt;0,"Weekday")</f>
        <v>Weekend</v>
      </c>
      <c r="K197">
        <v>0</v>
      </c>
      <c r="L197" t="str" cm="1">
        <f t="array" ref="L1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7">
        <v>1</v>
      </c>
      <c r="N197">
        <v>0.14000000000000001</v>
      </c>
      <c r="O197">
        <v>195</v>
      </c>
      <c r="P197">
        <v>196</v>
      </c>
      <c r="Q197">
        <v>0.1061</v>
      </c>
      <c r="R197">
        <v>0.43</v>
      </c>
      <c r="S197">
        <v>0.3881</v>
      </c>
      <c r="T197">
        <v>0</v>
      </c>
      <c r="U197">
        <v>49</v>
      </c>
      <c r="V197">
        <v>49</v>
      </c>
    </row>
    <row r="198" spans="1:22" x14ac:dyDescent="0.3">
      <c r="A198">
        <v>197</v>
      </c>
      <c r="B198" s="1">
        <v>40552</v>
      </c>
      <c r="C198">
        <v>1</v>
      </c>
      <c r="D198">
        <v>0</v>
      </c>
      <c r="E198" t="str">
        <f>TEXT(Append1[[#This Row],[dteday]],"MMMM")</f>
        <v>January</v>
      </c>
      <c r="F198">
        <v>1</v>
      </c>
      <c r="G198">
        <v>11</v>
      </c>
      <c r="H198" t="b">
        <v>0</v>
      </c>
      <c r="I198" t="str">
        <f>TEXT(Append1[[#This Row],[dteday]],"DDDD")</f>
        <v>Sunday</v>
      </c>
      <c r="J198" t="str" cm="1">
        <f t="array" ref="J198">_xlfn.IFS(Append1[[#This Row],[weekday cnt]]=0,"Weekend",Append1[[#This Row],[weekday cnt]]=6,"Weekend",Append1[[#This Row],[weekday cnt]]&gt;0,"Weekday")</f>
        <v>Weekend</v>
      </c>
      <c r="K198">
        <v>0</v>
      </c>
      <c r="L198" t="str" cm="1">
        <f t="array" ref="L1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8">
        <v>1</v>
      </c>
      <c r="N198">
        <v>0.16</v>
      </c>
      <c r="O198">
        <v>196</v>
      </c>
      <c r="P198">
        <v>197</v>
      </c>
      <c r="Q198">
        <v>0.1212</v>
      </c>
      <c r="R198">
        <v>0.4</v>
      </c>
      <c r="S198">
        <v>0.52239999999999998</v>
      </c>
      <c r="T198">
        <v>2</v>
      </c>
      <c r="U198">
        <v>47</v>
      </c>
      <c r="V198">
        <v>49</v>
      </c>
    </row>
    <row r="199" spans="1:22" x14ac:dyDescent="0.3">
      <c r="A199">
        <v>198</v>
      </c>
      <c r="B199" s="1">
        <v>40552</v>
      </c>
      <c r="C199">
        <v>1</v>
      </c>
      <c r="D199">
        <v>0</v>
      </c>
      <c r="E199" t="str">
        <f>TEXT(Append1[[#This Row],[dteday]],"MMMM")</f>
        <v>January</v>
      </c>
      <c r="F199">
        <v>1</v>
      </c>
      <c r="G199">
        <v>12</v>
      </c>
      <c r="H199" t="b">
        <v>0</v>
      </c>
      <c r="I199" t="str">
        <f>TEXT(Append1[[#This Row],[dteday]],"DDDD")</f>
        <v>Sunday</v>
      </c>
      <c r="J199" t="str" cm="1">
        <f t="array" ref="J199">_xlfn.IFS(Append1[[#This Row],[weekday cnt]]=0,"Weekend",Append1[[#This Row],[weekday cnt]]=6,"Weekend",Append1[[#This Row],[weekday cnt]]&gt;0,"Weekday")</f>
        <v>Weekend</v>
      </c>
      <c r="K199">
        <v>0</v>
      </c>
      <c r="L199" t="str" cm="1">
        <f t="array" ref="L1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99">
        <v>1</v>
      </c>
      <c r="N199">
        <v>0.18</v>
      </c>
      <c r="O199">
        <v>197</v>
      </c>
      <c r="P199">
        <v>198</v>
      </c>
      <c r="Q199">
        <v>0.13639999999999999</v>
      </c>
      <c r="R199">
        <v>0.37</v>
      </c>
      <c r="S199">
        <v>0.44779999999999998</v>
      </c>
      <c r="T199">
        <v>4</v>
      </c>
      <c r="U199">
        <v>79</v>
      </c>
      <c r="V199">
        <v>83</v>
      </c>
    </row>
    <row r="200" spans="1:22" x14ac:dyDescent="0.3">
      <c r="A200">
        <v>199</v>
      </c>
      <c r="B200" s="1">
        <v>40552</v>
      </c>
      <c r="C200">
        <v>1</v>
      </c>
      <c r="D200">
        <v>0</v>
      </c>
      <c r="E200" t="str">
        <f>TEXT(Append1[[#This Row],[dteday]],"MMMM")</f>
        <v>January</v>
      </c>
      <c r="F200">
        <v>1</v>
      </c>
      <c r="G200">
        <v>13</v>
      </c>
      <c r="H200" t="b">
        <v>0</v>
      </c>
      <c r="I200" t="str">
        <f>TEXT(Append1[[#This Row],[dteday]],"DDDD")</f>
        <v>Sunday</v>
      </c>
      <c r="J200" t="str" cm="1">
        <f t="array" ref="J200">_xlfn.IFS(Append1[[#This Row],[weekday cnt]]=0,"Weekend",Append1[[#This Row],[weekday cnt]]=6,"Weekend",Append1[[#This Row],[weekday cnt]]&gt;0,"Weekday")</f>
        <v>Weekend</v>
      </c>
      <c r="K200">
        <v>0</v>
      </c>
      <c r="L200" t="str" cm="1">
        <f t="array" ref="L2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0">
        <v>1</v>
      </c>
      <c r="N200">
        <v>0.2</v>
      </c>
      <c r="O200">
        <v>198</v>
      </c>
      <c r="P200">
        <v>199</v>
      </c>
      <c r="Q200">
        <v>0.16669999999999999</v>
      </c>
      <c r="R200">
        <v>0.34</v>
      </c>
      <c r="S200">
        <v>0.44779999999999998</v>
      </c>
      <c r="T200">
        <v>6</v>
      </c>
      <c r="U200">
        <v>69</v>
      </c>
      <c r="V200">
        <v>75</v>
      </c>
    </row>
    <row r="201" spans="1:22" x14ac:dyDescent="0.3">
      <c r="A201">
        <v>200</v>
      </c>
      <c r="B201" s="1">
        <v>40552</v>
      </c>
      <c r="C201">
        <v>1</v>
      </c>
      <c r="D201">
        <v>0</v>
      </c>
      <c r="E201" t="str">
        <f>TEXT(Append1[[#This Row],[dteday]],"MMMM")</f>
        <v>January</v>
      </c>
      <c r="F201">
        <v>1</v>
      </c>
      <c r="G201">
        <v>14</v>
      </c>
      <c r="H201" t="b">
        <v>0</v>
      </c>
      <c r="I201" t="str">
        <f>TEXT(Append1[[#This Row],[dteday]],"DDDD")</f>
        <v>Sunday</v>
      </c>
      <c r="J201" t="str" cm="1">
        <f t="array" ref="J201">_xlfn.IFS(Append1[[#This Row],[weekday cnt]]=0,"Weekend",Append1[[#This Row],[weekday cnt]]=6,"Weekend",Append1[[#This Row],[weekday cnt]]&gt;0,"Weekday")</f>
        <v>Weekend</v>
      </c>
      <c r="K201">
        <v>0</v>
      </c>
      <c r="L201" t="str" cm="1">
        <f t="array" ref="L2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1">
        <v>1</v>
      </c>
      <c r="N201">
        <v>0.22</v>
      </c>
      <c r="O201">
        <v>199</v>
      </c>
      <c r="P201">
        <v>200</v>
      </c>
      <c r="Q201">
        <v>0.18179999999999999</v>
      </c>
      <c r="R201">
        <v>0.32</v>
      </c>
      <c r="S201">
        <v>0.4627</v>
      </c>
      <c r="T201">
        <v>8</v>
      </c>
      <c r="U201">
        <v>64</v>
      </c>
      <c r="V201">
        <v>72</v>
      </c>
    </row>
    <row r="202" spans="1:22" x14ac:dyDescent="0.3">
      <c r="A202">
        <v>201</v>
      </c>
      <c r="B202" s="1">
        <v>40552</v>
      </c>
      <c r="C202">
        <v>1</v>
      </c>
      <c r="D202">
        <v>0</v>
      </c>
      <c r="E202" t="str">
        <f>TEXT(Append1[[#This Row],[dteday]],"MMMM")</f>
        <v>January</v>
      </c>
      <c r="F202">
        <v>1</v>
      </c>
      <c r="G202">
        <v>15</v>
      </c>
      <c r="H202" t="b">
        <v>0</v>
      </c>
      <c r="I202" t="str">
        <f>TEXT(Append1[[#This Row],[dteday]],"DDDD")</f>
        <v>Sunday</v>
      </c>
      <c r="J202" t="str" cm="1">
        <f t="array" ref="J202">_xlfn.IFS(Append1[[#This Row],[weekday cnt]]=0,"Weekend",Append1[[#This Row],[weekday cnt]]=6,"Weekend",Append1[[#This Row],[weekday cnt]]&gt;0,"Weekday")</f>
        <v>Weekend</v>
      </c>
      <c r="K202">
        <v>0</v>
      </c>
      <c r="L202" t="str" cm="1">
        <f t="array" ref="L20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2">
        <v>1</v>
      </c>
      <c r="N202">
        <v>0.22</v>
      </c>
      <c r="O202">
        <v>200</v>
      </c>
      <c r="P202">
        <v>201</v>
      </c>
      <c r="Q202">
        <v>0.19700000000000001</v>
      </c>
      <c r="R202">
        <v>0.35</v>
      </c>
      <c r="S202">
        <v>0.35820000000000002</v>
      </c>
      <c r="T202">
        <v>5</v>
      </c>
      <c r="U202">
        <v>77</v>
      </c>
      <c r="V202">
        <v>82</v>
      </c>
    </row>
    <row r="203" spans="1:22" x14ac:dyDescent="0.3">
      <c r="A203">
        <v>202</v>
      </c>
      <c r="B203" s="1">
        <v>40552</v>
      </c>
      <c r="C203">
        <v>1</v>
      </c>
      <c r="D203">
        <v>0</v>
      </c>
      <c r="E203" t="str">
        <f>TEXT(Append1[[#This Row],[dteday]],"MMMM")</f>
        <v>January</v>
      </c>
      <c r="F203">
        <v>1</v>
      </c>
      <c r="G203">
        <v>16</v>
      </c>
      <c r="H203" t="b">
        <v>0</v>
      </c>
      <c r="I203" t="str">
        <f>TEXT(Append1[[#This Row],[dteday]],"DDDD")</f>
        <v>Sunday</v>
      </c>
      <c r="J203" t="str" cm="1">
        <f t="array" ref="J203">_xlfn.IFS(Append1[[#This Row],[weekday cnt]]=0,"Weekend",Append1[[#This Row],[weekday cnt]]=6,"Weekend",Append1[[#This Row],[weekday cnt]]&gt;0,"Weekday")</f>
        <v>Weekend</v>
      </c>
      <c r="K203">
        <v>0</v>
      </c>
      <c r="L203" t="str" cm="1">
        <f t="array" ref="L20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3">
        <v>1</v>
      </c>
      <c r="N203">
        <v>0.2</v>
      </c>
      <c r="O203">
        <v>201</v>
      </c>
      <c r="P203">
        <v>202</v>
      </c>
      <c r="Q203">
        <v>0.16669999999999999</v>
      </c>
      <c r="R203">
        <v>0.34</v>
      </c>
      <c r="S203">
        <v>0.44779999999999998</v>
      </c>
      <c r="T203">
        <v>13</v>
      </c>
      <c r="U203">
        <v>79</v>
      </c>
      <c r="V203">
        <v>92</v>
      </c>
    </row>
    <row r="204" spans="1:22" x14ac:dyDescent="0.3">
      <c r="A204">
        <v>203</v>
      </c>
      <c r="B204" s="1">
        <v>40552</v>
      </c>
      <c r="C204">
        <v>1</v>
      </c>
      <c r="D204">
        <v>0</v>
      </c>
      <c r="E204" t="str">
        <f>TEXT(Append1[[#This Row],[dteday]],"MMMM")</f>
        <v>January</v>
      </c>
      <c r="F204">
        <v>1</v>
      </c>
      <c r="G204">
        <v>17</v>
      </c>
      <c r="H204" t="b">
        <v>0</v>
      </c>
      <c r="I204" t="str">
        <f>TEXT(Append1[[#This Row],[dteday]],"DDDD")</f>
        <v>Sunday</v>
      </c>
      <c r="J204" t="str" cm="1">
        <f t="array" ref="J204">_xlfn.IFS(Append1[[#This Row],[weekday cnt]]=0,"Weekend",Append1[[#This Row],[weekday cnt]]=6,"Weekend",Append1[[#This Row],[weekday cnt]]&gt;0,"Weekday")</f>
        <v>Weekend</v>
      </c>
      <c r="K204">
        <v>0</v>
      </c>
      <c r="L204" t="str" cm="1">
        <f t="array" ref="L20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4">
        <v>1</v>
      </c>
      <c r="N204">
        <v>0.18</v>
      </c>
      <c r="O204">
        <v>202</v>
      </c>
      <c r="P204">
        <v>203</v>
      </c>
      <c r="Q204">
        <v>0.1515</v>
      </c>
      <c r="R204">
        <v>0.37</v>
      </c>
      <c r="S204">
        <v>0.3881</v>
      </c>
      <c r="T204">
        <v>3</v>
      </c>
      <c r="U204">
        <v>59</v>
      </c>
      <c r="V204">
        <v>62</v>
      </c>
    </row>
    <row r="205" spans="1:22" x14ac:dyDescent="0.3">
      <c r="A205">
        <v>204</v>
      </c>
      <c r="B205" s="1">
        <v>40552</v>
      </c>
      <c r="C205">
        <v>1</v>
      </c>
      <c r="D205">
        <v>0</v>
      </c>
      <c r="E205" t="str">
        <f>TEXT(Append1[[#This Row],[dteday]],"MMMM")</f>
        <v>January</v>
      </c>
      <c r="F205">
        <v>1</v>
      </c>
      <c r="G205">
        <v>18</v>
      </c>
      <c r="H205" t="b">
        <v>0</v>
      </c>
      <c r="I205" t="str">
        <f>TEXT(Append1[[#This Row],[dteday]],"DDDD")</f>
        <v>Sunday</v>
      </c>
      <c r="J205" t="str" cm="1">
        <f t="array" ref="J205">_xlfn.IFS(Append1[[#This Row],[weekday cnt]]=0,"Weekend",Append1[[#This Row],[weekday cnt]]=6,"Weekend",Append1[[#This Row],[weekday cnt]]&gt;0,"Weekday")</f>
        <v>Weekend</v>
      </c>
      <c r="K205">
        <v>0</v>
      </c>
      <c r="L205" t="str" cm="1">
        <f t="array" ref="L20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5">
        <v>1</v>
      </c>
      <c r="N205">
        <v>0.16</v>
      </c>
      <c r="O205">
        <v>203</v>
      </c>
      <c r="P205">
        <v>204</v>
      </c>
      <c r="Q205">
        <v>0.13639999999999999</v>
      </c>
      <c r="R205">
        <v>0.4</v>
      </c>
      <c r="S205">
        <v>0.32840000000000003</v>
      </c>
      <c r="T205">
        <v>4</v>
      </c>
      <c r="U205">
        <v>44</v>
      </c>
      <c r="V205">
        <v>48</v>
      </c>
    </row>
    <row r="206" spans="1:22" x14ac:dyDescent="0.3">
      <c r="A206">
        <v>205</v>
      </c>
      <c r="B206" s="1">
        <v>40552</v>
      </c>
      <c r="C206">
        <v>1</v>
      </c>
      <c r="D206">
        <v>0</v>
      </c>
      <c r="E206" t="str">
        <f>TEXT(Append1[[#This Row],[dteday]],"MMMM")</f>
        <v>January</v>
      </c>
      <c r="F206">
        <v>1</v>
      </c>
      <c r="G206">
        <v>19</v>
      </c>
      <c r="H206" t="b">
        <v>0</v>
      </c>
      <c r="I206" t="str">
        <f>TEXT(Append1[[#This Row],[dteday]],"DDDD")</f>
        <v>Sunday</v>
      </c>
      <c r="J206" t="str" cm="1">
        <f t="array" ref="J206">_xlfn.IFS(Append1[[#This Row],[weekday cnt]]=0,"Weekend",Append1[[#This Row],[weekday cnt]]=6,"Weekend",Append1[[#This Row],[weekday cnt]]&gt;0,"Weekday")</f>
        <v>Weekend</v>
      </c>
      <c r="K206">
        <v>0</v>
      </c>
      <c r="L206" t="str" cm="1">
        <f t="array" ref="L20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6">
        <v>1</v>
      </c>
      <c r="N206">
        <v>0.16</v>
      </c>
      <c r="O206">
        <v>204</v>
      </c>
      <c r="P206">
        <v>205</v>
      </c>
      <c r="Q206">
        <v>0.13639999999999999</v>
      </c>
      <c r="R206">
        <v>0.43</v>
      </c>
      <c r="S206">
        <v>0.32840000000000003</v>
      </c>
      <c r="T206">
        <v>1</v>
      </c>
      <c r="U206">
        <v>40</v>
      </c>
      <c r="V206">
        <v>41</v>
      </c>
    </row>
    <row r="207" spans="1:22" x14ac:dyDescent="0.3">
      <c r="A207">
        <v>206</v>
      </c>
      <c r="B207" s="1">
        <v>40552</v>
      </c>
      <c r="C207">
        <v>1</v>
      </c>
      <c r="D207">
        <v>0</v>
      </c>
      <c r="E207" t="str">
        <f>TEXT(Append1[[#This Row],[dteday]],"MMMM")</f>
        <v>January</v>
      </c>
      <c r="F207">
        <v>1</v>
      </c>
      <c r="G207">
        <v>20</v>
      </c>
      <c r="H207" t="b">
        <v>0</v>
      </c>
      <c r="I207" t="str">
        <f>TEXT(Append1[[#This Row],[dteday]],"DDDD")</f>
        <v>Sunday</v>
      </c>
      <c r="J207" t="str" cm="1">
        <f t="array" ref="J207">_xlfn.IFS(Append1[[#This Row],[weekday cnt]]=0,"Weekend",Append1[[#This Row],[weekday cnt]]=6,"Weekend",Append1[[#This Row],[weekday cnt]]&gt;0,"Weekday")</f>
        <v>Weekend</v>
      </c>
      <c r="K207">
        <v>0</v>
      </c>
      <c r="L207" t="str" cm="1">
        <f t="array" ref="L20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7">
        <v>1</v>
      </c>
      <c r="N207">
        <v>0.14000000000000001</v>
      </c>
      <c r="O207">
        <v>205</v>
      </c>
      <c r="P207">
        <v>206</v>
      </c>
      <c r="Q207">
        <v>0.1212</v>
      </c>
      <c r="R207">
        <v>0.46</v>
      </c>
      <c r="S207">
        <v>0.25369999999999998</v>
      </c>
      <c r="T207">
        <v>0</v>
      </c>
      <c r="U207">
        <v>38</v>
      </c>
      <c r="V207">
        <v>38</v>
      </c>
    </row>
    <row r="208" spans="1:22" x14ac:dyDescent="0.3">
      <c r="A208">
        <v>207</v>
      </c>
      <c r="B208" s="1">
        <v>40552</v>
      </c>
      <c r="C208">
        <v>1</v>
      </c>
      <c r="D208">
        <v>0</v>
      </c>
      <c r="E208" t="str">
        <f>TEXT(Append1[[#This Row],[dteday]],"MMMM")</f>
        <v>January</v>
      </c>
      <c r="F208">
        <v>1</v>
      </c>
      <c r="G208">
        <v>21</v>
      </c>
      <c r="H208" t="b">
        <v>0</v>
      </c>
      <c r="I208" t="str">
        <f>TEXT(Append1[[#This Row],[dteday]],"DDDD")</f>
        <v>Sunday</v>
      </c>
      <c r="J208" t="str" cm="1">
        <f t="array" ref="J208">_xlfn.IFS(Append1[[#This Row],[weekday cnt]]=0,"Weekend",Append1[[#This Row],[weekday cnt]]=6,"Weekend",Append1[[#This Row],[weekday cnt]]&gt;0,"Weekday")</f>
        <v>Weekend</v>
      </c>
      <c r="K208">
        <v>0</v>
      </c>
      <c r="L208" t="str" cm="1">
        <f t="array" ref="L20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8">
        <v>1</v>
      </c>
      <c r="N208">
        <v>0.14000000000000001</v>
      </c>
      <c r="O208">
        <v>206</v>
      </c>
      <c r="P208">
        <v>207</v>
      </c>
      <c r="Q208">
        <v>0.1061</v>
      </c>
      <c r="R208">
        <v>0.46</v>
      </c>
      <c r="S208">
        <v>0.41789999999999999</v>
      </c>
      <c r="T208">
        <v>1</v>
      </c>
      <c r="U208">
        <v>19</v>
      </c>
      <c r="V208">
        <v>20</v>
      </c>
    </row>
    <row r="209" spans="1:22" x14ac:dyDescent="0.3">
      <c r="A209">
        <v>208</v>
      </c>
      <c r="B209" s="1">
        <v>40552</v>
      </c>
      <c r="C209">
        <v>1</v>
      </c>
      <c r="D209">
        <v>0</v>
      </c>
      <c r="E209" t="str">
        <f>TEXT(Append1[[#This Row],[dteday]],"MMMM")</f>
        <v>January</v>
      </c>
      <c r="F209">
        <v>1</v>
      </c>
      <c r="G209">
        <v>22</v>
      </c>
      <c r="H209" t="b">
        <v>0</v>
      </c>
      <c r="I209" t="str">
        <f>TEXT(Append1[[#This Row],[dteday]],"DDDD")</f>
        <v>Sunday</v>
      </c>
      <c r="J209" t="str" cm="1">
        <f t="array" ref="J209">_xlfn.IFS(Append1[[#This Row],[weekday cnt]]=0,"Weekend",Append1[[#This Row],[weekday cnt]]=6,"Weekend",Append1[[#This Row],[weekday cnt]]&gt;0,"Weekday")</f>
        <v>Weekend</v>
      </c>
      <c r="K209">
        <v>0</v>
      </c>
      <c r="L209" t="str" cm="1">
        <f t="array" ref="L20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09">
        <v>1</v>
      </c>
      <c r="N209">
        <v>0.14000000000000001</v>
      </c>
      <c r="O209">
        <v>207</v>
      </c>
      <c r="P209">
        <v>208</v>
      </c>
      <c r="Q209">
        <v>0.1212</v>
      </c>
      <c r="R209">
        <v>0.46</v>
      </c>
      <c r="S209">
        <v>0.29849999999999999</v>
      </c>
      <c r="T209">
        <v>5</v>
      </c>
      <c r="U209">
        <v>10</v>
      </c>
      <c r="V209">
        <v>15</v>
      </c>
    </row>
    <row r="210" spans="1:22" x14ac:dyDescent="0.3">
      <c r="A210">
        <v>209</v>
      </c>
      <c r="B210" s="1">
        <v>40552</v>
      </c>
      <c r="C210">
        <v>1</v>
      </c>
      <c r="D210">
        <v>0</v>
      </c>
      <c r="E210" t="str">
        <f>TEXT(Append1[[#This Row],[dteday]],"MMMM")</f>
        <v>January</v>
      </c>
      <c r="F210">
        <v>1</v>
      </c>
      <c r="G210">
        <v>23</v>
      </c>
      <c r="H210" t="b">
        <v>0</v>
      </c>
      <c r="I210" t="str">
        <f>TEXT(Append1[[#This Row],[dteday]],"DDDD")</f>
        <v>Sunday</v>
      </c>
      <c r="J210" t="str" cm="1">
        <f t="array" ref="J210">_xlfn.IFS(Append1[[#This Row],[weekday cnt]]=0,"Weekend",Append1[[#This Row],[weekday cnt]]=6,"Weekend",Append1[[#This Row],[weekday cnt]]&gt;0,"Weekday")</f>
        <v>Weekend</v>
      </c>
      <c r="K210">
        <v>0</v>
      </c>
      <c r="L210" t="str" cm="1">
        <f t="array" ref="L2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10">
        <v>1</v>
      </c>
      <c r="N210">
        <v>0.12</v>
      </c>
      <c r="O210">
        <v>208</v>
      </c>
      <c r="P210">
        <v>209</v>
      </c>
      <c r="Q210">
        <v>0.13639999999999999</v>
      </c>
      <c r="R210">
        <v>0.5</v>
      </c>
      <c r="S210">
        <v>0.19400000000000001</v>
      </c>
      <c r="T210">
        <v>0</v>
      </c>
      <c r="U210">
        <v>6</v>
      </c>
      <c r="V210">
        <v>6</v>
      </c>
    </row>
    <row r="211" spans="1:22" x14ac:dyDescent="0.3">
      <c r="A211">
        <v>210</v>
      </c>
      <c r="B211" s="1">
        <v>40553</v>
      </c>
      <c r="C211">
        <v>1</v>
      </c>
      <c r="D211">
        <v>0</v>
      </c>
      <c r="E211" t="str">
        <f>TEXT(Append1[[#This Row],[dteday]],"MMMM")</f>
        <v>January</v>
      </c>
      <c r="F211">
        <v>1</v>
      </c>
      <c r="G211">
        <v>0</v>
      </c>
      <c r="H211" t="b">
        <v>0</v>
      </c>
      <c r="I211" t="str">
        <f>TEXT(Append1[[#This Row],[dteday]],"DDDD")</f>
        <v>Monday</v>
      </c>
      <c r="J211" t="str" cm="1">
        <f t="array" ref="J211">_xlfn.IFS(Append1[[#This Row],[weekday cnt]]=0,"Weekend",Append1[[#This Row],[weekday cnt]]=6,"Weekend",Append1[[#This Row],[weekday cnt]]&gt;0,"Weekday")</f>
        <v>Weekday</v>
      </c>
      <c r="K211">
        <v>1</v>
      </c>
      <c r="L211" t="str" cm="1">
        <f t="array" ref="L2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11">
        <v>1</v>
      </c>
      <c r="N211">
        <v>0.12</v>
      </c>
      <c r="O211">
        <v>209</v>
      </c>
      <c r="P211">
        <v>210</v>
      </c>
      <c r="Q211">
        <v>0.1212</v>
      </c>
      <c r="R211">
        <v>0.5</v>
      </c>
      <c r="S211">
        <v>0.28360000000000002</v>
      </c>
      <c r="T211">
        <v>2</v>
      </c>
      <c r="U211">
        <v>3</v>
      </c>
      <c r="V211">
        <v>5</v>
      </c>
    </row>
    <row r="212" spans="1:22" x14ac:dyDescent="0.3">
      <c r="A212">
        <v>211</v>
      </c>
      <c r="B212" s="1">
        <v>40553</v>
      </c>
      <c r="C212">
        <v>1</v>
      </c>
      <c r="D212">
        <v>0</v>
      </c>
      <c r="E212" t="str">
        <f>TEXT(Append1[[#This Row],[dteday]],"MMMM")</f>
        <v>January</v>
      </c>
      <c r="F212">
        <v>1</v>
      </c>
      <c r="G212">
        <v>1</v>
      </c>
      <c r="H212" t="b">
        <v>0</v>
      </c>
      <c r="I212" t="str">
        <f>TEXT(Append1[[#This Row],[dteday]],"DDDD")</f>
        <v>Monday</v>
      </c>
      <c r="J212" t="str" cm="1">
        <f t="array" ref="J212">_xlfn.IFS(Append1[[#This Row],[weekday cnt]]=0,"Weekend",Append1[[#This Row],[weekday cnt]]=6,"Weekend",Append1[[#This Row],[weekday cnt]]&gt;0,"Weekday")</f>
        <v>Weekday</v>
      </c>
      <c r="K212">
        <v>1</v>
      </c>
      <c r="L212" t="str" cm="1">
        <f t="array" ref="L2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12">
        <v>1</v>
      </c>
      <c r="N212">
        <v>0.12</v>
      </c>
      <c r="O212">
        <v>210</v>
      </c>
      <c r="P212">
        <v>211</v>
      </c>
      <c r="Q212">
        <v>0.1212</v>
      </c>
      <c r="R212">
        <v>0.5</v>
      </c>
      <c r="S212">
        <v>0.28360000000000002</v>
      </c>
      <c r="T212">
        <v>1</v>
      </c>
      <c r="U212">
        <v>0</v>
      </c>
      <c r="V212">
        <v>1</v>
      </c>
    </row>
    <row r="213" spans="1:22" x14ac:dyDescent="0.3">
      <c r="A213">
        <v>212</v>
      </c>
      <c r="B213" s="1">
        <v>40553</v>
      </c>
      <c r="C213">
        <v>1</v>
      </c>
      <c r="D213">
        <v>0</v>
      </c>
      <c r="E213" t="str">
        <f>TEXT(Append1[[#This Row],[dteday]],"MMMM")</f>
        <v>January</v>
      </c>
      <c r="F213">
        <v>1</v>
      </c>
      <c r="G213">
        <v>2</v>
      </c>
      <c r="H213" t="b">
        <v>0</v>
      </c>
      <c r="I213" t="str">
        <f>TEXT(Append1[[#This Row],[dteday]],"DDDD")</f>
        <v>Monday</v>
      </c>
      <c r="J213" t="str" cm="1">
        <f t="array" ref="J213">_xlfn.IFS(Append1[[#This Row],[weekday cnt]]=0,"Weekend",Append1[[#This Row],[weekday cnt]]=6,"Weekend",Append1[[#This Row],[weekday cnt]]&gt;0,"Weekday")</f>
        <v>Weekday</v>
      </c>
      <c r="K213">
        <v>1</v>
      </c>
      <c r="L213" t="str" cm="1">
        <f t="array" ref="L2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13">
        <v>1</v>
      </c>
      <c r="N213">
        <v>0.12</v>
      </c>
      <c r="O213">
        <v>211</v>
      </c>
      <c r="P213">
        <v>212</v>
      </c>
      <c r="Q213">
        <v>0.1212</v>
      </c>
      <c r="R213">
        <v>0.5</v>
      </c>
      <c r="S213">
        <v>0.22389999999999999</v>
      </c>
      <c r="T213">
        <v>0</v>
      </c>
      <c r="U213">
        <v>3</v>
      </c>
      <c r="V213">
        <v>3</v>
      </c>
    </row>
    <row r="214" spans="1:22" x14ac:dyDescent="0.3">
      <c r="A214">
        <v>213</v>
      </c>
      <c r="B214" s="1">
        <v>40553</v>
      </c>
      <c r="C214">
        <v>1</v>
      </c>
      <c r="D214">
        <v>0</v>
      </c>
      <c r="E214" t="str">
        <f>TEXT(Append1[[#This Row],[dteday]],"MMMM")</f>
        <v>January</v>
      </c>
      <c r="F214">
        <v>1</v>
      </c>
      <c r="G214">
        <v>3</v>
      </c>
      <c r="H214" t="b">
        <v>0</v>
      </c>
      <c r="I214" t="str">
        <f>TEXT(Append1[[#This Row],[dteday]],"DDDD")</f>
        <v>Monday</v>
      </c>
      <c r="J214" t="str" cm="1">
        <f t="array" ref="J214">_xlfn.IFS(Append1[[#This Row],[weekday cnt]]=0,"Weekend",Append1[[#This Row],[weekday cnt]]=6,"Weekend",Append1[[#This Row],[weekday cnt]]&gt;0,"Weekday")</f>
        <v>Weekday</v>
      </c>
      <c r="K214">
        <v>1</v>
      </c>
      <c r="L214" t="str" cm="1">
        <f t="array" ref="L2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14">
        <v>1</v>
      </c>
      <c r="N214">
        <v>0.12</v>
      </c>
      <c r="O214">
        <v>212</v>
      </c>
      <c r="P214">
        <v>213</v>
      </c>
      <c r="Q214">
        <v>0.1212</v>
      </c>
      <c r="R214">
        <v>0.5</v>
      </c>
      <c r="S214">
        <v>0.22389999999999999</v>
      </c>
      <c r="T214">
        <v>0</v>
      </c>
      <c r="U214">
        <v>1</v>
      </c>
      <c r="V214">
        <v>1</v>
      </c>
    </row>
    <row r="215" spans="1:22" x14ac:dyDescent="0.3">
      <c r="A215">
        <v>214</v>
      </c>
      <c r="B215" s="1">
        <v>40553</v>
      </c>
      <c r="C215">
        <v>1</v>
      </c>
      <c r="D215">
        <v>0</v>
      </c>
      <c r="E215" t="str">
        <f>TEXT(Append1[[#This Row],[dteday]],"MMMM")</f>
        <v>January</v>
      </c>
      <c r="F215">
        <v>1</v>
      </c>
      <c r="G215">
        <v>4</v>
      </c>
      <c r="H215" t="b">
        <v>0</v>
      </c>
      <c r="I215" t="str">
        <f>TEXT(Append1[[#This Row],[dteday]],"DDDD")</f>
        <v>Monday</v>
      </c>
      <c r="J215" t="str" cm="1">
        <f t="array" ref="J215">_xlfn.IFS(Append1[[#This Row],[weekday cnt]]=0,"Weekend",Append1[[#This Row],[weekday cnt]]=6,"Weekend",Append1[[#This Row],[weekday cnt]]&gt;0,"Weekday")</f>
        <v>Weekday</v>
      </c>
      <c r="K215">
        <v>1</v>
      </c>
      <c r="L215" t="str" cm="1">
        <f t="array" ref="L2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15">
        <v>1</v>
      </c>
      <c r="N215">
        <v>0.1</v>
      </c>
      <c r="O215">
        <v>213</v>
      </c>
      <c r="P215">
        <v>214</v>
      </c>
      <c r="Q215">
        <v>0.1212</v>
      </c>
      <c r="R215">
        <v>0.54</v>
      </c>
      <c r="S215">
        <v>0.1343</v>
      </c>
      <c r="T215">
        <v>1</v>
      </c>
      <c r="U215">
        <v>2</v>
      </c>
      <c r="V215">
        <v>3</v>
      </c>
    </row>
    <row r="216" spans="1:22" x14ac:dyDescent="0.3">
      <c r="A216">
        <v>215</v>
      </c>
      <c r="B216" s="1">
        <v>40553</v>
      </c>
      <c r="C216">
        <v>1</v>
      </c>
      <c r="D216">
        <v>0</v>
      </c>
      <c r="E216" t="str">
        <f>TEXT(Append1[[#This Row],[dteday]],"MMMM")</f>
        <v>January</v>
      </c>
      <c r="F216">
        <v>1</v>
      </c>
      <c r="G216">
        <v>5</v>
      </c>
      <c r="H216" t="b">
        <v>0</v>
      </c>
      <c r="I216" t="str">
        <f>TEXT(Append1[[#This Row],[dteday]],"DDDD")</f>
        <v>Monday</v>
      </c>
      <c r="J216" t="str" cm="1">
        <f t="array" ref="J216">_xlfn.IFS(Append1[[#This Row],[weekday cnt]]=0,"Weekend",Append1[[#This Row],[weekday cnt]]=6,"Weekend",Append1[[#This Row],[weekday cnt]]&gt;0,"Weekday")</f>
        <v>Weekday</v>
      </c>
      <c r="K216">
        <v>1</v>
      </c>
      <c r="L216" t="str" cm="1">
        <f t="array" ref="L2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16">
        <v>1</v>
      </c>
      <c r="N216">
        <v>0.1</v>
      </c>
      <c r="O216">
        <v>214</v>
      </c>
      <c r="P216">
        <v>215</v>
      </c>
      <c r="Q216">
        <v>0.1061</v>
      </c>
      <c r="R216">
        <v>0.54</v>
      </c>
      <c r="S216">
        <v>0.25369999999999998</v>
      </c>
      <c r="T216">
        <v>0</v>
      </c>
      <c r="U216">
        <v>3</v>
      </c>
      <c r="V216">
        <v>3</v>
      </c>
    </row>
    <row r="217" spans="1:22" x14ac:dyDescent="0.3">
      <c r="A217">
        <v>216</v>
      </c>
      <c r="B217" s="1">
        <v>40553</v>
      </c>
      <c r="C217">
        <v>1</v>
      </c>
      <c r="D217">
        <v>0</v>
      </c>
      <c r="E217" t="str">
        <f>TEXT(Append1[[#This Row],[dteday]],"MMMM")</f>
        <v>January</v>
      </c>
      <c r="F217">
        <v>1</v>
      </c>
      <c r="G217">
        <v>6</v>
      </c>
      <c r="H217" t="b">
        <v>0</v>
      </c>
      <c r="I217" t="str">
        <f>TEXT(Append1[[#This Row],[dteday]],"DDDD")</f>
        <v>Monday</v>
      </c>
      <c r="J217" t="str" cm="1">
        <f t="array" ref="J217">_xlfn.IFS(Append1[[#This Row],[weekday cnt]]=0,"Weekend",Append1[[#This Row],[weekday cnt]]=6,"Weekend",Append1[[#This Row],[weekday cnt]]&gt;0,"Weekday")</f>
        <v>Weekday</v>
      </c>
      <c r="K217">
        <v>1</v>
      </c>
      <c r="L217" t="str" cm="1">
        <f t="array" ref="L2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17">
        <v>1</v>
      </c>
      <c r="N217">
        <v>0.12</v>
      </c>
      <c r="O217">
        <v>215</v>
      </c>
      <c r="P217">
        <v>216</v>
      </c>
      <c r="Q217">
        <v>0.1212</v>
      </c>
      <c r="R217">
        <v>0.5</v>
      </c>
      <c r="S217">
        <v>0.28360000000000002</v>
      </c>
      <c r="T217">
        <v>0</v>
      </c>
      <c r="U217">
        <v>31</v>
      </c>
      <c r="V217">
        <v>31</v>
      </c>
    </row>
    <row r="218" spans="1:22" x14ac:dyDescent="0.3">
      <c r="A218">
        <v>217</v>
      </c>
      <c r="B218" s="1">
        <v>40553</v>
      </c>
      <c r="C218">
        <v>1</v>
      </c>
      <c r="D218">
        <v>0</v>
      </c>
      <c r="E218" t="str">
        <f>TEXT(Append1[[#This Row],[dteday]],"MMMM")</f>
        <v>January</v>
      </c>
      <c r="F218">
        <v>1</v>
      </c>
      <c r="G218">
        <v>7</v>
      </c>
      <c r="H218" t="b">
        <v>0</v>
      </c>
      <c r="I218" t="str">
        <f>TEXT(Append1[[#This Row],[dteday]],"DDDD")</f>
        <v>Monday</v>
      </c>
      <c r="J218" t="str" cm="1">
        <f t="array" ref="J218">_xlfn.IFS(Append1[[#This Row],[weekday cnt]]=0,"Weekend",Append1[[#This Row],[weekday cnt]]=6,"Weekend",Append1[[#This Row],[weekday cnt]]&gt;0,"Weekday")</f>
        <v>Weekday</v>
      </c>
      <c r="K218">
        <v>1</v>
      </c>
      <c r="L218" t="str" cm="1">
        <f t="array" ref="L2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18">
        <v>1</v>
      </c>
      <c r="N218">
        <v>0.12</v>
      </c>
      <c r="O218">
        <v>216</v>
      </c>
      <c r="P218">
        <v>217</v>
      </c>
      <c r="Q218">
        <v>0.1212</v>
      </c>
      <c r="R218">
        <v>0.5</v>
      </c>
      <c r="S218">
        <v>0.22389999999999999</v>
      </c>
      <c r="T218">
        <v>2</v>
      </c>
      <c r="U218">
        <v>75</v>
      </c>
      <c r="V218">
        <v>77</v>
      </c>
    </row>
    <row r="219" spans="1:22" x14ac:dyDescent="0.3">
      <c r="A219">
        <v>218</v>
      </c>
      <c r="B219" s="1">
        <v>40553</v>
      </c>
      <c r="C219">
        <v>1</v>
      </c>
      <c r="D219">
        <v>0</v>
      </c>
      <c r="E219" t="str">
        <f>TEXT(Append1[[#This Row],[dteday]],"MMMM")</f>
        <v>January</v>
      </c>
      <c r="F219">
        <v>1</v>
      </c>
      <c r="G219">
        <v>8</v>
      </c>
      <c r="H219" t="b">
        <v>0</v>
      </c>
      <c r="I219" t="str">
        <f>TEXT(Append1[[#This Row],[dteday]],"DDDD")</f>
        <v>Monday</v>
      </c>
      <c r="J219" t="str" cm="1">
        <f t="array" ref="J219">_xlfn.IFS(Append1[[#This Row],[weekday cnt]]=0,"Weekend",Append1[[#This Row],[weekday cnt]]=6,"Weekend",Append1[[#This Row],[weekday cnt]]&gt;0,"Weekday")</f>
        <v>Weekday</v>
      </c>
      <c r="K219">
        <v>1</v>
      </c>
      <c r="L219" t="str" cm="1">
        <f t="array" ref="L2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19">
        <v>2</v>
      </c>
      <c r="N219">
        <v>0.12</v>
      </c>
      <c r="O219">
        <v>217</v>
      </c>
      <c r="P219">
        <v>218</v>
      </c>
      <c r="Q219">
        <v>0.1212</v>
      </c>
      <c r="R219">
        <v>0.5</v>
      </c>
      <c r="S219">
        <v>0.28360000000000002</v>
      </c>
      <c r="T219">
        <v>4</v>
      </c>
      <c r="U219">
        <v>184</v>
      </c>
      <c r="V219">
        <v>188</v>
      </c>
    </row>
    <row r="220" spans="1:22" x14ac:dyDescent="0.3">
      <c r="A220">
        <v>219</v>
      </c>
      <c r="B220" s="1">
        <v>40553</v>
      </c>
      <c r="C220">
        <v>1</v>
      </c>
      <c r="D220">
        <v>0</v>
      </c>
      <c r="E220" t="str">
        <f>TEXT(Append1[[#This Row],[dteday]],"MMMM")</f>
        <v>January</v>
      </c>
      <c r="F220">
        <v>1</v>
      </c>
      <c r="G220">
        <v>9</v>
      </c>
      <c r="H220" t="b">
        <v>0</v>
      </c>
      <c r="I220" t="str">
        <f>TEXT(Append1[[#This Row],[dteday]],"DDDD")</f>
        <v>Monday</v>
      </c>
      <c r="J220" t="str" cm="1">
        <f t="array" ref="J220">_xlfn.IFS(Append1[[#This Row],[weekday cnt]]=0,"Weekend",Append1[[#This Row],[weekday cnt]]=6,"Weekend",Append1[[#This Row],[weekday cnt]]&gt;0,"Weekday")</f>
        <v>Weekday</v>
      </c>
      <c r="K220">
        <v>1</v>
      </c>
      <c r="L220" t="str" cm="1">
        <f t="array" ref="L2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20">
        <v>2</v>
      </c>
      <c r="N220">
        <v>0.14000000000000001</v>
      </c>
      <c r="O220">
        <v>218</v>
      </c>
      <c r="P220">
        <v>219</v>
      </c>
      <c r="Q220">
        <v>0.1212</v>
      </c>
      <c r="R220">
        <v>0.5</v>
      </c>
      <c r="S220">
        <v>0.25369999999999998</v>
      </c>
      <c r="T220">
        <v>2</v>
      </c>
      <c r="U220">
        <v>92</v>
      </c>
      <c r="V220">
        <v>94</v>
      </c>
    </row>
    <row r="221" spans="1:22" x14ac:dyDescent="0.3">
      <c r="A221">
        <v>220</v>
      </c>
      <c r="B221" s="1">
        <v>40553</v>
      </c>
      <c r="C221">
        <v>1</v>
      </c>
      <c r="D221">
        <v>0</v>
      </c>
      <c r="E221" t="str">
        <f>TEXT(Append1[[#This Row],[dteday]],"MMMM")</f>
        <v>January</v>
      </c>
      <c r="F221">
        <v>1</v>
      </c>
      <c r="G221">
        <v>10</v>
      </c>
      <c r="H221" t="b">
        <v>0</v>
      </c>
      <c r="I221" t="str">
        <f>TEXT(Append1[[#This Row],[dteday]],"DDDD")</f>
        <v>Monday</v>
      </c>
      <c r="J221" t="str" cm="1">
        <f t="array" ref="J221">_xlfn.IFS(Append1[[#This Row],[weekday cnt]]=0,"Weekend",Append1[[#This Row],[weekday cnt]]=6,"Weekend",Append1[[#This Row],[weekday cnt]]&gt;0,"Weekday")</f>
        <v>Weekday</v>
      </c>
      <c r="K221">
        <v>1</v>
      </c>
      <c r="L221" t="str" cm="1">
        <f t="array" ref="L2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21">
        <v>2</v>
      </c>
      <c r="N221">
        <v>0.14000000000000001</v>
      </c>
      <c r="O221">
        <v>219</v>
      </c>
      <c r="P221">
        <v>220</v>
      </c>
      <c r="Q221">
        <v>0.1212</v>
      </c>
      <c r="R221">
        <v>0.5</v>
      </c>
      <c r="S221">
        <v>0.29849999999999999</v>
      </c>
      <c r="T221">
        <v>0</v>
      </c>
      <c r="U221">
        <v>31</v>
      </c>
      <c r="V221">
        <v>31</v>
      </c>
    </row>
    <row r="222" spans="1:22" x14ac:dyDescent="0.3">
      <c r="A222">
        <v>221</v>
      </c>
      <c r="B222" s="1">
        <v>40553</v>
      </c>
      <c r="C222">
        <v>1</v>
      </c>
      <c r="D222">
        <v>0</v>
      </c>
      <c r="E222" t="str">
        <f>TEXT(Append1[[#This Row],[dteday]],"MMMM")</f>
        <v>January</v>
      </c>
      <c r="F222">
        <v>1</v>
      </c>
      <c r="G222">
        <v>11</v>
      </c>
      <c r="H222" t="b">
        <v>0</v>
      </c>
      <c r="I222" t="str">
        <f>TEXT(Append1[[#This Row],[dteday]],"DDDD")</f>
        <v>Monday</v>
      </c>
      <c r="J222" t="str" cm="1">
        <f t="array" ref="J222">_xlfn.IFS(Append1[[#This Row],[weekday cnt]]=0,"Weekend",Append1[[#This Row],[weekday cnt]]=6,"Weekend",Append1[[#This Row],[weekday cnt]]&gt;0,"Weekday")</f>
        <v>Weekday</v>
      </c>
      <c r="K222">
        <v>1</v>
      </c>
      <c r="L222" t="str" cm="1">
        <f t="array" ref="L2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22">
        <v>2</v>
      </c>
      <c r="N222">
        <v>0.16</v>
      </c>
      <c r="O222">
        <v>220</v>
      </c>
      <c r="P222">
        <v>221</v>
      </c>
      <c r="Q222">
        <v>0.13639999999999999</v>
      </c>
      <c r="R222">
        <v>0.47</v>
      </c>
      <c r="S222">
        <v>0.28360000000000002</v>
      </c>
      <c r="T222">
        <v>2</v>
      </c>
      <c r="U222">
        <v>28</v>
      </c>
      <c r="V222">
        <v>30</v>
      </c>
    </row>
    <row r="223" spans="1:22" x14ac:dyDescent="0.3">
      <c r="A223">
        <v>222</v>
      </c>
      <c r="B223" s="1">
        <v>40553</v>
      </c>
      <c r="C223">
        <v>1</v>
      </c>
      <c r="D223">
        <v>0</v>
      </c>
      <c r="E223" t="str">
        <f>TEXT(Append1[[#This Row],[dteday]],"MMMM")</f>
        <v>January</v>
      </c>
      <c r="F223">
        <v>1</v>
      </c>
      <c r="G223">
        <v>12</v>
      </c>
      <c r="H223" t="b">
        <v>0</v>
      </c>
      <c r="I223" t="str">
        <f>TEXT(Append1[[#This Row],[dteday]],"DDDD")</f>
        <v>Monday</v>
      </c>
      <c r="J223" t="str" cm="1">
        <f t="array" ref="J223">_xlfn.IFS(Append1[[#This Row],[weekday cnt]]=0,"Weekend",Append1[[#This Row],[weekday cnt]]=6,"Weekend",Append1[[#This Row],[weekday cnt]]&gt;0,"Weekday")</f>
        <v>Weekday</v>
      </c>
      <c r="K223">
        <v>1</v>
      </c>
      <c r="L223" t="str" cm="1">
        <f t="array" ref="L2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23">
        <v>2</v>
      </c>
      <c r="N223">
        <v>0.2</v>
      </c>
      <c r="O223">
        <v>221</v>
      </c>
      <c r="P223">
        <v>222</v>
      </c>
      <c r="Q223">
        <v>0.18179999999999999</v>
      </c>
      <c r="R223">
        <v>0.4</v>
      </c>
      <c r="S223">
        <v>0.28360000000000002</v>
      </c>
      <c r="T223">
        <v>5</v>
      </c>
      <c r="U223">
        <v>47</v>
      </c>
      <c r="V223">
        <v>52</v>
      </c>
    </row>
    <row r="224" spans="1:22" x14ac:dyDescent="0.3">
      <c r="A224">
        <v>223</v>
      </c>
      <c r="B224" s="1">
        <v>40553</v>
      </c>
      <c r="C224">
        <v>1</v>
      </c>
      <c r="D224">
        <v>0</v>
      </c>
      <c r="E224" t="str">
        <f>TEXT(Append1[[#This Row],[dteday]],"MMMM")</f>
        <v>January</v>
      </c>
      <c r="F224">
        <v>1</v>
      </c>
      <c r="G224">
        <v>13</v>
      </c>
      <c r="H224" t="b">
        <v>0</v>
      </c>
      <c r="I224" t="str">
        <f>TEXT(Append1[[#This Row],[dteday]],"DDDD")</f>
        <v>Monday</v>
      </c>
      <c r="J224" t="str" cm="1">
        <f t="array" ref="J224">_xlfn.IFS(Append1[[#This Row],[weekday cnt]]=0,"Weekend",Append1[[#This Row],[weekday cnt]]=6,"Weekend",Append1[[#This Row],[weekday cnt]]&gt;0,"Weekday")</f>
        <v>Weekday</v>
      </c>
      <c r="K224">
        <v>1</v>
      </c>
      <c r="L224" t="str" cm="1">
        <f t="array" ref="L2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24">
        <v>2</v>
      </c>
      <c r="N224">
        <v>0.2</v>
      </c>
      <c r="O224">
        <v>222</v>
      </c>
      <c r="P224">
        <v>223</v>
      </c>
      <c r="Q224">
        <v>0.18179999999999999</v>
      </c>
      <c r="R224">
        <v>0.4</v>
      </c>
      <c r="S224">
        <v>0.28360000000000002</v>
      </c>
      <c r="T224">
        <v>4</v>
      </c>
      <c r="U224">
        <v>50</v>
      </c>
      <c r="V224">
        <v>54</v>
      </c>
    </row>
    <row r="225" spans="1:22" x14ac:dyDescent="0.3">
      <c r="A225">
        <v>224</v>
      </c>
      <c r="B225" s="1">
        <v>40553</v>
      </c>
      <c r="C225">
        <v>1</v>
      </c>
      <c r="D225">
        <v>0</v>
      </c>
      <c r="E225" t="str">
        <f>TEXT(Append1[[#This Row],[dteday]],"MMMM")</f>
        <v>January</v>
      </c>
      <c r="F225">
        <v>1</v>
      </c>
      <c r="G225">
        <v>14</v>
      </c>
      <c r="H225" t="b">
        <v>0</v>
      </c>
      <c r="I225" t="str">
        <f>TEXT(Append1[[#This Row],[dteday]],"DDDD")</f>
        <v>Monday</v>
      </c>
      <c r="J225" t="str" cm="1">
        <f t="array" ref="J225">_xlfn.IFS(Append1[[#This Row],[weekday cnt]]=0,"Weekend",Append1[[#This Row],[weekday cnt]]=6,"Weekend",Append1[[#This Row],[weekday cnt]]&gt;0,"Weekday")</f>
        <v>Weekday</v>
      </c>
      <c r="K225">
        <v>1</v>
      </c>
      <c r="L225" t="str" cm="1">
        <f t="array" ref="L2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25">
        <v>2</v>
      </c>
      <c r="N225">
        <v>0.2</v>
      </c>
      <c r="O225">
        <v>223</v>
      </c>
      <c r="P225">
        <v>224</v>
      </c>
      <c r="Q225">
        <v>0.19700000000000001</v>
      </c>
      <c r="R225">
        <v>0.4</v>
      </c>
      <c r="S225">
        <v>0.22389999999999999</v>
      </c>
      <c r="T225">
        <v>0</v>
      </c>
      <c r="U225">
        <v>47</v>
      </c>
      <c r="V225">
        <v>47</v>
      </c>
    </row>
    <row r="226" spans="1:22" x14ac:dyDescent="0.3">
      <c r="A226">
        <v>225</v>
      </c>
      <c r="B226" s="1">
        <v>40553</v>
      </c>
      <c r="C226">
        <v>1</v>
      </c>
      <c r="D226">
        <v>0</v>
      </c>
      <c r="E226" t="str">
        <f>TEXT(Append1[[#This Row],[dteday]],"MMMM")</f>
        <v>January</v>
      </c>
      <c r="F226">
        <v>1</v>
      </c>
      <c r="G226">
        <v>15</v>
      </c>
      <c r="H226" t="b">
        <v>0</v>
      </c>
      <c r="I226" t="str">
        <f>TEXT(Append1[[#This Row],[dteday]],"DDDD")</f>
        <v>Monday</v>
      </c>
      <c r="J226" t="str" cm="1">
        <f t="array" ref="J226">_xlfn.IFS(Append1[[#This Row],[weekday cnt]]=0,"Weekend",Append1[[#This Row],[weekday cnt]]=6,"Weekend",Append1[[#This Row],[weekday cnt]]&gt;0,"Weekday")</f>
        <v>Weekday</v>
      </c>
      <c r="K226">
        <v>1</v>
      </c>
      <c r="L226" t="str" cm="1">
        <f t="array" ref="L2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26">
        <v>2</v>
      </c>
      <c r="N226">
        <v>0.2</v>
      </c>
      <c r="O226">
        <v>224</v>
      </c>
      <c r="P226">
        <v>225</v>
      </c>
      <c r="Q226">
        <v>0.19700000000000001</v>
      </c>
      <c r="R226">
        <v>0.4</v>
      </c>
      <c r="S226">
        <v>0.22389999999999999</v>
      </c>
      <c r="T226">
        <v>2</v>
      </c>
      <c r="U226">
        <v>43</v>
      </c>
      <c r="V226">
        <v>45</v>
      </c>
    </row>
    <row r="227" spans="1:22" x14ac:dyDescent="0.3">
      <c r="A227">
        <v>226</v>
      </c>
      <c r="B227" s="1">
        <v>40553</v>
      </c>
      <c r="C227">
        <v>1</v>
      </c>
      <c r="D227">
        <v>0</v>
      </c>
      <c r="E227" t="str">
        <f>TEXT(Append1[[#This Row],[dteday]],"MMMM")</f>
        <v>January</v>
      </c>
      <c r="F227">
        <v>1</v>
      </c>
      <c r="G227">
        <v>16</v>
      </c>
      <c r="H227" t="b">
        <v>0</v>
      </c>
      <c r="I227" t="str">
        <f>TEXT(Append1[[#This Row],[dteday]],"DDDD")</f>
        <v>Monday</v>
      </c>
      <c r="J227" t="str" cm="1">
        <f t="array" ref="J227">_xlfn.IFS(Append1[[#This Row],[weekday cnt]]=0,"Weekend",Append1[[#This Row],[weekday cnt]]=6,"Weekend",Append1[[#This Row],[weekday cnt]]&gt;0,"Weekday")</f>
        <v>Weekday</v>
      </c>
      <c r="K227">
        <v>1</v>
      </c>
      <c r="L227" t="str" cm="1">
        <f t="array" ref="L2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27">
        <v>1</v>
      </c>
      <c r="N227">
        <v>0.2</v>
      </c>
      <c r="O227">
        <v>225</v>
      </c>
      <c r="P227">
        <v>226</v>
      </c>
      <c r="Q227">
        <v>0.21210000000000001</v>
      </c>
      <c r="R227">
        <v>0.4</v>
      </c>
      <c r="S227">
        <v>0.1343</v>
      </c>
      <c r="T227">
        <v>4</v>
      </c>
      <c r="U227">
        <v>70</v>
      </c>
      <c r="V227">
        <v>74</v>
      </c>
    </row>
    <row r="228" spans="1:22" x14ac:dyDescent="0.3">
      <c r="A228">
        <v>227</v>
      </c>
      <c r="B228" s="1">
        <v>40553</v>
      </c>
      <c r="C228">
        <v>1</v>
      </c>
      <c r="D228">
        <v>0</v>
      </c>
      <c r="E228" t="str">
        <f>TEXT(Append1[[#This Row],[dteday]],"MMMM")</f>
        <v>January</v>
      </c>
      <c r="F228">
        <v>1</v>
      </c>
      <c r="G228">
        <v>17</v>
      </c>
      <c r="H228" t="b">
        <v>0</v>
      </c>
      <c r="I228" t="str">
        <f>TEXT(Append1[[#This Row],[dteday]],"DDDD")</f>
        <v>Monday</v>
      </c>
      <c r="J228" t="str" cm="1">
        <f t="array" ref="J228">_xlfn.IFS(Append1[[#This Row],[weekday cnt]]=0,"Weekend",Append1[[#This Row],[weekday cnt]]=6,"Weekend",Append1[[#This Row],[weekday cnt]]&gt;0,"Weekday")</f>
        <v>Weekday</v>
      </c>
      <c r="K228">
        <v>1</v>
      </c>
      <c r="L228" t="str" cm="1">
        <f t="array" ref="L2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28">
        <v>1</v>
      </c>
      <c r="N228">
        <v>0.2</v>
      </c>
      <c r="O228">
        <v>226</v>
      </c>
      <c r="P228">
        <v>227</v>
      </c>
      <c r="Q228">
        <v>0.2273</v>
      </c>
      <c r="R228">
        <v>0.4</v>
      </c>
      <c r="S228">
        <v>0.1045</v>
      </c>
      <c r="T228">
        <v>4</v>
      </c>
      <c r="U228">
        <v>174</v>
      </c>
      <c r="V228">
        <v>178</v>
      </c>
    </row>
    <row r="229" spans="1:22" x14ac:dyDescent="0.3">
      <c r="A229">
        <v>228</v>
      </c>
      <c r="B229" s="1">
        <v>40553</v>
      </c>
      <c r="C229">
        <v>1</v>
      </c>
      <c r="D229">
        <v>0</v>
      </c>
      <c r="E229" t="str">
        <f>TEXT(Append1[[#This Row],[dteday]],"MMMM")</f>
        <v>January</v>
      </c>
      <c r="F229">
        <v>1</v>
      </c>
      <c r="G229">
        <v>18</v>
      </c>
      <c r="H229" t="b">
        <v>0</v>
      </c>
      <c r="I229" t="str">
        <f>TEXT(Append1[[#This Row],[dteday]],"DDDD")</f>
        <v>Monday</v>
      </c>
      <c r="J229" t="str" cm="1">
        <f t="array" ref="J229">_xlfn.IFS(Append1[[#This Row],[weekday cnt]]=0,"Weekend",Append1[[#This Row],[weekday cnt]]=6,"Weekend",Append1[[#This Row],[weekday cnt]]&gt;0,"Weekday")</f>
        <v>Weekday</v>
      </c>
      <c r="K229">
        <v>1</v>
      </c>
      <c r="L229" t="str" cm="1">
        <f t="array" ref="L2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29">
        <v>1</v>
      </c>
      <c r="N229">
        <v>0.2</v>
      </c>
      <c r="O229">
        <v>227</v>
      </c>
      <c r="P229">
        <v>228</v>
      </c>
      <c r="Q229">
        <v>0.19700000000000001</v>
      </c>
      <c r="R229">
        <v>0.4</v>
      </c>
      <c r="S229">
        <v>0.22389999999999999</v>
      </c>
      <c r="T229">
        <v>1</v>
      </c>
      <c r="U229">
        <v>154</v>
      </c>
      <c r="V229">
        <v>155</v>
      </c>
    </row>
    <row r="230" spans="1:22" x14ac:dyDescent="0.3">
      <c r="A230">
        <v>229</v>
      </c>
      <c r="B230" s="1">
        <v>40553</v>
      </c>
      <c r="C230">
        <v>1</v>
      </c>
      <c r="D230">
        <v>0</v>
      </c>
      <c r="E230" t="str">
        <f>TEXT(Append1[[#This Row],[dteday]],"MMMM")</f>
        <v>January</v>
      </c>
      <c r="F230">
        <v>1</v>
      </c>
      <c r="G230">
        <v>19</v>
      </c>
      <c r="H230" t="b">
        <v>0</v>
      </c>
      <c r="I230" t="str">
        <f>TEXT(Append1[[#This Row],[dteday]],"DDDD")</f>
        <v>Monday</v>
      </c>
      <c r="J230" t="str" cm="1">
        <f t="array" ref="J230">_xlfn.IFS(Append1[[#This Row],[weekday cnt]]=0,"Weekend",Append1[[#This Row],[weekday cnt]]=6,"Weekend",Append1[[#This Row],[weekday cnt]]&gt;0,"Weekday")</f>
        <v>Weekday</v>
      </c>
      <c r="K230">
        <v>1</v>
      </c>
      <c r="L230" t="str" cm="1">
        <f t="array" ref="L2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30">
        <v>1</v>
      </c>
      <c r="N230">
        <v>0.16</v>
      </c>
      <c r="O230">
        <v>228</v>
      </c>
      <c r="P230">
        <v>229</v>
      </c>
      <c r="Q230">
        <v>0.16669999999999999</v>
      </c>
      <c r="R230">
        <v>0.47</v>
      </c>
      <c r="S230">
        <v>0.16420000000000001</v>
      </c>
      <c r="T230">
        <v>3</v>
      </c>
      <c r="U230">
        <v>92</v>
      </c>
      <c r="V230">
        <v>95</v>
      </c>
    </row>
    <row r="231" spans="1:22" x14ac:dyDescent="0.3">
      <c r="A231">
        <v>230</v>
      </c>
      <c r="B231" s="1">
        <v>40553</v>
      </c>
      <c r="C231">
        <v>1</v>
      </c>
      <c r="D231">
        <v>0</v>
      </c>
      <c r="E231" t="str">
        <f>TEXT(Append1[[#This Row],[dteday]],"MMMM")</f>
        <v>January</v>
      </c>
      <c r="F231">
        <v>1</v>
      </c>
      <c r="G231">
        <v>20</v>
      </c>
      <c r="H231" t="b">
        <v>0</v>
      </c>
      <c r="I231" t="str">
        <f>TEXT(Append1[[#This Row],[dteday]],"DDDD")</f>
        <v>Monday</v>
      </c>
      <c r="J231" t="str" cm="1">
        <f t="array" ref="J231">_xlfn.IFS(Append1[[#This Row],[weekday cnt]]=0,"Weekend",Append1[[#This Row],[weekday cnt]]=6,"Weekend",Append1[[#This Row],[weekday cnt]]&gt;0,"Weekday")</f>
        <v>Weekday</v>
      </c>
      <c r="K231">
        <v>1</v>
      </c>
      <c r="L231" t="str" cm="1">
        <f t="array" ref="L2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31">
        <v>1</v>
      </c>
      <c r="N231">
        <v>0.16</v>
      </c>
      <c r="O231">
        <v>229</v>
      </c>
      <c r="P231">
        <v>230</v>
      </c>
      <c r="Q231">
        <v>0.16669999999999999</v>
      </c>
      <c r="R231">
        <v>0.5</v>
      </c>
      <c r="S231">
        <v>0.16420000000000001</v>
      </c>
      <c r="T231">
        <v>1</v>
      </c>
      <c r="U231">
        <v>73</v>
      </c>
      <c r="V231">
        <v>74</v>
      </c>
    </row>
    <row r="232" spans="1:22" x14ac:dyDescent="0.3">
      <c r="A232">
        <v>231</v>
      </c>
      <c r="B232" s="1">
        <v>40553</v>
      </c>
      <c r="C232">
        <v>1</v>
      </c>
      <c r="D232">
        <v>0</v>
      </c>
      <c r="E232" t="str">
        <f>TEXT(Append1[[#This Row],[dteday]],"MMMM")</f>
        <v>January</v>
      </c>
      <c r="F232">
        <v>1</v>
      </c>
      <c r="G232">
        <v>21</v>
      </c>
      <c r="H232" t="b">
        <v>0</v>
      </c>
      <c r="I232" t="str">
        <f>TEXT(Append1[[#This Row],[dteday]],"DDDD")</f>
        <v>Monday</v>
      </c>
      <c r="J232" t="str" cm="1">
        <f t="array" ref="J232">_xlfn.IFS(Append1[[#This Row],[weekday cnt]]=0,"Weekend",Append1[[#This Row],[weekday cnt]]=6,"Weekend",Append1[[#This Row],[weekday cnt]]&gt;0,"Weekday")</f>
        <v>Weekday</v>
      </c>
      <c r="K232">
        <v>1</v>
      </c>
      <c r="L232" t="str" cm="1">
        <f t="array" ref="L2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32">
        <v>1</v>
      </c>
      <c r="N232">
        <v>0.14000000000000001</v>
      </c>
      <c r="O232">
        <v>230</v>
      </c>
      <c r="P232">
        <v>231</v>
      </c>
      <c r="Q232">
        <v>0.13639999999999999</v>
      </c>
      <c r="R232">
        <v>0.59</v>
      </c>
      <c r="S232">
        <v>0.19400000000000001</v>
      </c>
      <c r="T232">
        <v>1</v>
      </c>
      <c r="U232">
        <v>37</v>
      </c>
      <c r="V232">
        <v>38</v>
      </c>
    </row>
    <row r="233" spans="1:22" x14ac:dyDescent="0.3">
      <c r="A233">
        <v>232</v>
      </c>
      <c r="B233" s="1">
        <v>40553</v>
      </c>
      <c r="C233">
        <v>1</v>
      </c>
      <c r="D233">
        <v>0</v>
      </c>
      <c r="E233" t="str">
        <f>TEXT(Append1[[#This Row],[dteday]],"MMMM")</f>
        <v>January</v>
      </c>
      <c r="F233">
        <v>1</v>
      </c>
      <c r="G233">
        <v>22</v>
      </c>
      <c r="H233" t="b">
        <v>0</v>
      </c>
      <c r="I233" t="str">
        <f>TEXT(Append1[[#This Row],[dteday]],"DDDD")</f>
        <v>Monday</v>
      </c>
      <c r="J233" t="str" cm="1">
        <f t="array" ref="J233">_xlfn.IFS(Append1[[#This Row],[weekday cnt]]=0,"Weekend",Append1[[#This Row],[weekday cnt]]=6,"Weekend",Append1[[#This Row],[weekday cnt]]&gt;0,"Weekday")</f>
        <v>Weekday</v>
      </c>
      <c r="K233">
        <v>1</v>
      </c>
      <c r="L233" t="str" cm="1">
        <f t="array" ref="L2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33">
        <v>1</v>
      </c>
      <c r="N233">
        <v>0.14000000000000001</v>
      </c>
      <c r="O233">
        <v>231</v>
      </c>
      <c r="P233">
        <v>232</v>
      </c>
      <c r="Q233">
        <v>0.1515</v>
      </c>
      <c r="R233">
        <v>0.59</v>
      </c>
      <c r="S233">
        <v>0.16420000000000001</v>
      </c>
      <c r="T233">
        <v>2</v>
      </c>
      <c r="U233">
        <v>22</v>
      </c>
      <c r="V233">
        <v>24</v>
      </c>
    </row>
    <row r="234" spans="1:22" x14ac:dyDescent="0.3">
      <c r="A234">
        <v>233</v>
      </c>
      <c r="B234" s="1">
        <v>40553</v>
      </c>
      <c r="C234">
        <v>1</v>
      </c>
      <c r="D234">
        <v>0</v>
      </c>
      <c r="E234" t="str">
        <f>TEXT(Append1[[#This Row],[dteday]],"MMMM")</f>
        <v>January</v>
      </c>
      <c r="F234">
        <v>1</v>
      </c>
      <c r="G234">
        <v>23</v>
      </c>
      <c r="H234" t="b">
        <v>0</v>
      </c>
      <c r="I234" t="str">
        <f>TEXT(Append1[[#This Row],[dteday]],"DDDD")</f>
        <v>Monday</v>
      </c>
      <c r="J234" t="str" cm="1">
        <f t="array" ref="J234">_xlfn.IFS(Append1[[#This Row],[weekday cnt]]=0,"Weekend",Append1[[#This Row],[weekday cnt]]=6,"Weekend",Append1[[#This Row],[weekday cnt]]&gt;0,"Weekday")</f>
        <v>Weekday</v>
      </c>
      <c r="K234">
        <v>1</v>
      </c>
      <c r="L234" t="str" cm="1">
        <f t="array" ref="L2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34">
        <v>1</v>
      </c>
      <c r="N234">
        <v>0.14000000000000001</v>
      </c>
      <c r="O234">
        <v>232</v>
      </c>
      <c r="P234">
        <v>233</v>
      </c>
      <c r="Q234">
        <v>0.1515</v>
      </c>
      <c r="R234">
        <v>0.59</v>
      </c>
      <c r="S234">
        <v>0.16420000000000001</v>
      </c>
      <c r="T234">
        <v>0</v>
      </c>
      <c r="U234">
        <v>18</v>
      </c>
      <c r="V234">
        <v>18</v>
      </c>
    </row>
    <row r="235" spans="1:22" x14ac:dyDescent="0.3">
      <c r="A235">
        <v>234</v>
      </c>
      <c r="B235" s="1">
        <v>40554</v>
      </c>
      <c r="C235">
        <v>1</v>
      </c>
      <c r="D235">
        <v>0</v>
      </c>
      <c r="E235" t="str">
        <f>TEXT(Append1[[#This Row],[dteday]],"MMMM")</f>
        <v>January</v>
      </c>
      <c r="F235">
        <v>1</v>
      </c>
      <c r="G235">
        <v>0</v>
      </c>
      <c r="H235" t="b">
        <v>0</v>
      </c>
      <c r="I235" t="str">
        <f>TEXT(Append1[[#This Row],[dteday]],"DDDD")</f>
        <v>Tuesday</v>
      </c>
      <c r="J235" t="str" cm="1">
        <f t="array" ref="J235">_xlfn.IFS(Append1[[#This Row],[weekday cnt]]=0,"Weekend",Append1[[#This Row],[weekday cnt]]=6,"Weekend",Append1[[#This Row],[weekday cnt]]&gt;0,"Weekday")</f>
        <v>Weekday</v>
      </c>
      <c r="K235">
        <v>2</v>
      </c>
      <c r="L235" t="str" cm="1">
        <f t="array" ref="L2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35">
        <v>1</v>
      </c>
      <c r="N235">
        <v>0.14000000000000001</v>
      </c>
      <c r="O235">
        <v>233</v>
      </c>
      <c r="P235">
        <v>234</v>
      </c>
      <c r="Q235">
        <v>0.16669999999999999</v>
      </c>
      <c r="R235">
        <v>0.59</v>
      </c>
      <c r="S235">
        <v>0.1045</v>
      </c>
      <c r="T235">
        <v>2</v>
      </c>
      <c r="U235">
        <v>10</v>
      </c>
      <c r="V235">
        <v>12</v>
      </c>
    </row>
    <row r="236" spans="1:22" x14ac:dyDescent="0.3">
      <c r="A236">
        <v>235</v>
      </c>
      <c r="B236" s="1">
        <v>40554</v>
      </c>
      <c r="C236">
        <v>1</v>
      </c>
      <c r="D236">
        <v>0</v>
      </c>
      <c r="E236" t="str">
        <f>TEXT(Append1[[#This Row],[dteday]],"MMMM")</f>
        <v>January</v>
      </c>
      <c r="F236">
        <v>1</v>
      </c>
      <c r="G236">
        <v>1</v>
      </c>
      <c r="H236" t="b">
        <v>0</v>
      </c>
      <c r="I236" t="str">
        <f>TEXT(Append1[[#This Row],[dteday]],"DDDD")</f>
        <v>Tuesday</v>
      </c>
      <c r="J236" t="str" cm="1">
        <f t="array" ref="J236">_xlfn.IFS(Append1[[#This Row],[weekday cnt]]=0,"Weekend",Append1[[#This Row],[weekday cnt]]=6,"Weekend",Append1[[#This Row],[weekday cnt]]&gt;0,"Weekday")</f>
        <v>Weekday</v>
      </c>
      <c r="K236">
        <v>2</v>
      </c>
      <c r="L236" t="str" cm="1">
        <f t="array" ref="L2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36">
        <v>1</v>
      </c>
      <c r="N236">
        <v>0.14000000000000001</v>
      </c>
      <c r="O236">
        <v>234</v>
      </c>
      <c r="P236">
        <v>235</v>
      </c>
      <c r="Q236">
        <v>0.1515</v>
      </c>
      <c r="R236">
        <v>0.59</v>
      </c>
      <c r="S236">
        <v>0.16420000000000001</v>
      </c>
      <c r="T236">
        <v>0</v>
      </c>
      <c r="U236">
        <v>3</v>
      </c>
      <c r="V236">
        <v>3</v>
      </c>
    </row>
    <row r="237" spans="1:22" x14ac:dyDescent="0.3">
      <c r="A237">
        <v>236</v>
      </c>
      <c r="B237" s="1">
        <v>40554</v>
      </c>
      <c r="C237">
        <v>1</v>
      </c>
      <c r="D237">
        <v>0</v>
      </c>
      <c r="E237" t="str">
        <f>TEXT(Append1[[#This Row],[dteday]],"MMMM")</f>
        <v>January</v>
      </c>
      <c r="F237">
        <v>1</v>
      </c>
      <c r="G237">
        <v>2</v>
      </c>
      <c r="H237" t="b">
        <v>0</v>
      </c>
      <c r="I237" t="str">
        <f>TEXT(Append1[[#This Row],[dteday]],"DDDD")</f>
        <v>Tuesday</v>
      </c>
      <c r="J237" t="str" cm="1">
        <f t="array" ref="J237">_xlfn.IFS(Append1[[#This Row],[weekday cnt]]=0,"Weekend",Append1[[#This Row],[weekday cnt]]=6,"Weekend",Append1[[#This Row],[weekday cnt]]&gt;0,"Weekday")</f>
        <v>Weekday</v>
      </c>
      <c r="K237">
        <v>2</v>
      </c>
      <c r="L237" t="str" cm="1">
        <f t="array" ref="L2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37">
        <v>2</v>
      </c>
      <c r="N237">
        <v>0.16</v>
      </c>
      <c r="O237">
        <v>235</v>
      </c>
      <c r="P237">
        <v>236</v>
      </c>
      <c r="Q237">
        <v>0.1515</v>
      </c>
      <c r="R237">
        <v>0.55000000000000004</v>
      </c>
      <c r="S237">
        <v>0.19400000000000001</v>
      </c>
      <c r="T237">
        <v>0</v>
      </c>
      <c r="U237">
        <v>3</v>
      </c>
      <c r="V237">
        <v>3</v>
      </c>
    </row>
    <row r="238" spans="1:22" x14ac:dyDescent="0.3">
      <c r="A238">
        <v>237</v>
      </c>
      <c r="B238" s="1">
        <v>40554</v>
      </c>
      <c r="C238">
        <v>1</v>
      </c>
      <c r="D238">
        <v>0</v>
      </c>
      <c r="E238" t="str">
        <f>TEXT(Append1[[#This Row],[dteday]],"MMMM")</f>
        <v>January</v>
      </c>
      <c r="F238">
        <v>1</v>
      </c>
      <c r="G238">
        <v>5</v>
      </c>
      <c r="H238" t="b">
        <v>0</v>
      </c>
      <c r="I238" t="str">
        <f>TEXT(Append1[[#This Row],[dteday]],"DDDD")</f>
        <v>Tuesday</v>
      </c>
      <c r="J238" t="str" cm="1">
        <f t="array" ref="J238">_xlfn.IFS(Append1[[#This Row],[weekday cnt]]=0,"Weekend",Append1[[#This Row],[weekday cnt]]=6,"Weekend",Append1[[#This Row],[weekday cnt]]&gt;0,"Weekday")</f>
        <v>Weekday</v>
      </c>
      <c r="K238">
        <v>2</v>
      </c>
      <c r="L238" t="str" cm="1">
        <f t="array" ref="L2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38">
        <v>2</v>
      </c>
      <c r="N238">
        <v>0.16</v>
      </c>
      <c r="O238">
        <v>236</v>
      </c>
      <c r="P238">
        <v>237</v>
      </c>
      <c r="Q238">
        <v>0.18179999999999999</v>
      </c>
      <c r="R238">
        <v>0.55000000000000004</v>
      </c>
      <c r="S238">
        <v>0.1343</v>
      </c>
      <c r="T238">
        <v>0</v>
      </c>
      <c r="U238">
        <v>6</v>
      </c>
      <c r="V238">
        <v>6</v>
      </c>
    </row>
    <row r="239" spans="1:22" x14ac:dyDescent="0.3">
      <c r="A239">
        <v>238</v>
      </c>
      <c r="B239" s="1">
        <v>40554</v>
      </c>
      <c r="C239">
        <v>1</v>
      </c>
      <c r="D239">
        <v>0</v>
      </c>
      <c r="E239" t="str">
        <f>TEXT(Append1[[#This Row],[dteday]],"MMMM")</f>
        <v>January</v>
      </c>
      <c r="F239">
        <v>1</v>
      </c>
      <c r="G239">
        <v>6</v>
      </c>
      <c r="H239" t="b">
        <v>0</v>
      </c>
      <c r="I239" t="str">
        <f>TEXT(Append1[[#This Row],[dteday]],"DDDD")</f>
        <v>Tuesday</v>
      </c>
      <c r="J239" t="str" cm="1">
        <f t="array" ref="J239">_xlfn.IFS(Append1[[#This Row],[weekday cnt]]=0,"Weekend",Append1[[#This Row],[weekday cnt]]=6,"Weekend",Append1[[#This Row],[weekday cnt]]&gt;0,"Weekday")</f>
        <v>Weekday</v>
      </c>
      <c r="K239">
        <v>2</v>
      </c>
      <c r="L239" t="str" cm="1">
        <f t="array" ref="L2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39">
        <v>2</v>
      </c>
      <c r="N239">
        <v>0.16</v>
      </c>
      <c r="O239">
        <v>237</v>
      </c>
      <c r="P239">
        <v>238</v>
      </c>
      <c r="Q239">
        <v>0.18179999999999999</v>
      </c>
      <c r="R239">
        <v>0.55000000000000004</v>
      </c>
      <c r="S239">
        <v>0.1343</v>
      </c>
      <c r="T239">
        <v>0</v>
      </c>
      <c r="U239">
        <v>27</v>
      </c>
      <c r="V239">
        <v>27</v>
      </c>
    </row>
    <row r="240" spans="1:22" x14ac:dyDescent="0.3">
      <c r="A240">
        <v>239</v>
      </c>
      <c r="B240" s="1">
        <v>40554</v>
      </c>
      <c r="C240">
        <v>1</v>
      </c>
      <c r="D240">
        <v>0</v>
      </c>
      <c r="E240" t="str">
        <f>TEXT(Append1[[#This Row],[dteday]],"MMMM")</f>
        <v>January</v>
      </c>
      <c r="F240">
        <v>1</v>
      </c>
      <c r="G240">
        <v>7</v>
      </c>
      <c r="H240" t="b">
        <v>0</v>
      </c>
      <c r="I240" t="str">
        <f>TEXT(Append1[[#This Row],[dteday]],"DDDD")</f>
        <v>Tuesday</v>
      </c>
      <c r="J240" t="str" cm="1">
        <f t="array" ref="J240">_xlfn.IFS(Append1[[#This Row],[weekday cnt]]=0,"Weekend",Append1[[#This Row],[weekday cnt]]=6,"Weekend",Append1[[#This Row],[weekday cnt]]&gt;0,"Weekday")</f>
        <v>Weekday</v>
      </c>
      <c r="K240">
        <v>2</v>
      </c>
      <c r="L240" t="str" cm="1">
        <f t="array" ref="L2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0">
        <v>2</v>
      </c>
      <c r="N240">
        <v>0.16</v>
      </c>
      <c r="O240">
        <v>238</v>
      </c>
      <c r="P240">
        <v>239</v>
      </c>
      <c r="Q240">
        <v>0.2273</v>
      </c>
      <c r="R240">
        <v>0.55000000000000004</v>
      </c>
      <c r="S240">
        <v>0</v>
      </c>
      <c r="T240">
        <v>2</v>
      </c>
      <c r="U240">
        <v>97</v>
      </c>
      <c r="V240">
        <v>99</v>
      </c>
    </row>
    <row r="241" spans="1:22" x14ac:dyDescent="0.3">
      <c r="A241">
        <v>240</v>
      </c>
      <c r="B241" s="1">
        <v>40554</v>
      </c>
      <c r="C241">
        <v>1</v>
      </c>
      <c r="D241">
        <v>0</v>
      </c>
      <c r="E241" t="str">
        <f>TEXT(Append1[[#This Row],[dteday]],"MMMM")</f>
        <v>January</v>
      </c>
      <c r="F241">
        <v>1</v>
      </c>
      <c r="G241">
        <v>8</v>
      </c>
      <c r="H241" t="b">
        <v>0</v>
      </c>
      <c r="I241" t="str">
        <f>TEXT(Append1[[#This Row],[dteday]],"DDDD")</f>
        <v>Tuesday</v>
      </c>
      <c r="J241" t="str" cm="1">
        <f t="array" ref="J241">_xlfn.IFS(Append1[[#This Row],[weekday cnt]]=0,"Weekend",Append1[[#This Row],[weekday cnt]]=6,"Weekend",Append1[[#This Row],[weekday cnt]]&gt;0,"Weekday")</f>
        <v>Weekday</v>
      </c>
      <c r="K241">
        <v>2</v>
      </c>
      <c r="L241" t="str" cm="1">
        <f t="array" ref="L2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1">
        <v>2</v>
      </c>
      <c r="N241">
        <v>0.18</v>
      </c>
      <c r="O241">
        <v>239</v>
      </c>
      <c r="P241">
        <v>240</v>
      </c>
      <c r="Q241">
        <v>0.21210000000000001</v>
      </c>
      <c r="R241">
        <v>0.51</v>
      </c>
      <c r="S241">
        <v>8.9599999999999999E-2</v>
      </c>
      <c r="T241">
        <v>3</v>
      </c>
      <c r="U241">
        <v>214</v>
      </c>
      <c r="V241">
        <v>217</v>
      </c>
    </row>
    <row r="242" spans="1:22" x14ac:dyDescent="0.3">
      <c r="A242">
        <v>241</v>
      </c>
      <c r="B242" s="1">
        <v>40554</v>
      </c>
      <c r="C242">
        <v>1</v>
      </c>
      <c r="D242">
        <v>0</v>
      </c>
      <c r="E242" t="str">
        <f>TEXT(Append1[[#This Row],[dteday]],"MMMM")</f>
        <v>January</v>
      </c>
      <c r="F242">
        <v>1</v>
      </c>
      <c r="G242">
        <v>9</v>
      </c>
      <c r="H242" t="b">
        <v>0</v>
      </c>
      <c r="I242" t="str">
        <f>TEXT(Append1[[#This Row],[dteday]],"DDDD")</f>
        <v>Tuesday</v>
      </c>
      <c r="J242" t="str" cm="1">
        <f t="array" ref="J242">_xlfn.IFS(Append1[[#This Row],[weekday cnt]]=0,"Weekend",Append1[[#This Row],[weekday cnt]]=6,"Weekend",Append1[[#This Row],[weekday cnt]]&gt;0,"Weekday")</f>
        <v>Weekday</v>
      </c>
      <c r="K242">
        <v>2</v>
      </c>
      <c r="L242" t="str" cm="1">
        <f t="array" ref="L2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2">
        <v>2</v>
      </c>
      <c r="N242">
        <v>0.18</v>
      </c>
      <c r="O242">
        <v>240</v>
      </c>
      <c r="P242">
        <v>241</v>
      </c>
      <c r="Q242">
        <v>0.19700000000000001</v>
      </c>
      <c r="R242">
        <v>0.51</v>
      </c>
      <c r="S242">
        <v>0.16420000000000001</v>
      </c>
      <c r="T242">
        <v>3</v>
      </c>
      <c r="U242">
        <v>127</v>
      </c>
      <c r="V242">
        <v>130</v>
      </c>
    </row>
    <row r="243" spans="1:22" x14ac:dyDescent="0.3">
      <c r="A243">
        <v>242</v>
      </c>
      <c r="B243" s="1">
        <v>40554</v>
      </c>
      <c r="C243">
        <v>1</v>
      </c>
      <c r="D243">
        <v>0</v>
      </c>
      <c r="E243" t="str">
        <f>TEXT(Append1[[#This Row],[dteday]],"MMMM")</f>
        <v>January</v>
      </c>
      <c r="F243">
        <v>1</v>
      </c>
      <c r="G243">
        <v>10</v>
      </c>
      <c r="H243" t="b">
        <v>0</v>
      </c>
      <c r="I243" t="str">
        <f>TEXT(Append1[[#This Row],[dteday]],"DDDD")</f>
        <v>Tuesday</v>
      </c>
      <c r="J243" t="str" cm="1">
        <f t="array" ref="J243">_xlfn.IFS(Append1[[#This Row],[weekday cnt]]=0,"Weekend",Append1[[#This Row],[weekday cnt]]=6,"Weekend",Append1[[#This Row],[weekday cnt]]&gt;0,"Weekday")</f>
        <v>Weekday</v>
      </c>
      <c r="K243">
        <v>2</v>
      </c>
      <c r="L243" t="str" cm="1">
        <f t="array" ref="L2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3">
        <v>2</v>
      </c>
      <c r="N243">
        <v>0.2</v>
      </c>
      <c r="O243">
        <v>241</v>
      </c>
      <c r="P243">
        <v>242</v>
      </c>
      <c r="Q243">
        <v>0.21210000000000001</v>
      </c>
      <c r="R243">
        <v>0.51</v>
      </c>
      <c r="S243">
        <v>0.16420000000000001</v>
      </c>
      <c r="T243">
        <v>3</v>
      </c>
      <c r="U243">
        <v>51</v>
      </c>
      <c r="V243">
        <v>54</v>
      </c>
    </row>
    <row r="244" spans="1:22" x14ac:dyDescent="0.3">
      <c r="A244">
        <v>243</v>
      </c>
      <c r="B244" s="1">
        <v>40554</v>
      </c>
      <c r="C244">
        <v>1</v>
      </c>
      <c r="D244">
        <v>0</v>
      </c>
      <c r="E244" t="str">
        <f>TEXT(Append1[[#This Row],[dteday]],"MMMM")</f>
        <v>January</v>
      </c>
      <c r="F244">
        <v>1</v>
      </c>
      <c r="G244">
        <v>11</v>
      </c>
      <c r="H244" t="b">
        <v>0</v>
      </c>
      <c r="I244" t="str">
        <f>TEXT(Append1[[#This Row],[dteday]],"DDDD")</f>
        <v>Tuesday</v>
      </c>
      <c r="J244" t="str" cm="1">
        <f t="array" ref="J244">_xlfn.IFS(Append1[[#This Row],[weekday cnt]]=0,"Weekend",Append1[[#This Row],[weekday cnt]]=6,"Weekend",Append1[[#This Row],[weekday cnt]]&gt;0,"Weekday")</f>
        <v>Weekday</v>
      </c>
      <c r="K244">
        <v>2</v>
      </c>
      <c r="L244" t="str" cm="1">
        <f t="array" ref="L2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4">
        <v>2</v>
      </c>
      <c r="N244">
        <v>0.2</v>
      </c>
      <c r="O244">
        <v>242</v>
      </c>
      <c r="P244">
        <v>243</v>
      </c>
      <c r="Q244">
        <v>0.21210000000000001</v>
      </c>
      <c r="R244">
        <v>0.47</v>
      </c>
      <c r="S244">
        <v>0.1343</v>
      </c>
      <c r="T244">
        <v>4</v>
      </c>
      <c r="U244">
        <v>31</v>
      </c>
      <c r="V244">
        <v>35</v>
      </c>
    </row>
    <row r="245" spans="1:22" x14ac:dyDescent="0.3">
      <c r="A245">
        <v>244</v>
      </c>
      <c r="B245" s="1">
        <v>40554</v>
      </c>
      <c r="C245">
        <v>1</v>
      </c>
      <c r="D245">
        <v>0</v>
      </c>
      <c r="E245" t="str">
        <f>TEXT(Append1[[#This Row],[dteday]],"MMMM")</f>
        <v>January</v>
      </c>
      <c r="F245">
        <v>1</v>
      </c>
      <c r="G245">
        <v>12</v>
      </c>
      <c r="H245" t="b">
        <v>0</v>
      </c>
      <c r="I245" t="str">
        <f>TEXT(Append1[[#This Row],[dteday]],"DDDD")</f>
        <v>Tuesday</v>
      </c>
      <c r="J245" t="str" cm="1">
        <f t="array" ref="J245">_xlfn.IFS(Append1[[#This Row],[weekday cnt]]=0,"Weekend",Append1[[#This Row],[weekday cnt]]=6,"Weekend",Append1[[#This Row],[weekday cnt]]&gt;0,"Weekday")</f>
        <v>Weekday</v>
      </c>
      <c r="K245">
        <v>2</v>
      </c>
      <c r="L245" t="str" cm="1">
        <f t="array" ref="L2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5">
        <v>2</v>
      </c>
      <c r="N245">
        <v>0.2</v>
      </c>
      <c r="O245">
        <v>243</v>
      </c>
      <c r="P245">
        <v>244</v>
      </c>
      <c r="Q245">
        <v>0.2273</v>
      </c>
      <c r="R245">
        <v>0.51</v>
      </c>
      <c r="S245">
        <v>0.1045</v>
      </c>
      <c r="T245">
        <v>2</v>
      </c>
      <c r="U245">
        <v>55</v>
      </c>
      <c r="V245">
        <v>57</v>
      </c>
    </row>
    <row r="246" spans="1:22" x14ac:dyDescent="0.3">
      <c r="A246">
        <v>245</v>
      </c>
      <c r="B246" s="1">
        <v>40554</v>
      </c>
      <c r="C246">
        <v>1</v>
      </c>
      <c r="D246">
        <v>0</v>
      </c>
      <c r="E246" t="str">
        <f>TEXT(Append1[[#This Row],[dteday]],"MMMM")</f>
        <v>January</v>
      </c>
      <c r="F246">
        <v>1</v>
      </c>
      <c r="G246">
        <v>13</v>
      </c>
      <c r="H246" t="b">
        <v>0</v>
      </c>
      <c r="I246" t="str">
        <f>TEXT(Append1[[#This Row],[dteday]],"DDDD")</f>
        <v>Tuesday</v>
      </c>
      <c r="J246" t="str" cm="1">
        <f t="array" ref="J246">_xlfn.IFS(Append1[[#This Row],[weekday cnt]]=0,"Weekend",Append1[[#This Row],[weekday cnt]]=6,"Weekend",Append1[[#This Row],[weekday cnt]]&gt;0,"Weekday")</f>
        <v>Weekday</v>
      </c>
      <c r="K246">
        <v>2</v>
      </c>
      <c r="L246" t="str" cm="1">
        <f t="array" ref="L2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6">
        <v>2</v>
      </c>
      <c r="N246">
        <v>0.2</v>
      </c>
      <c r="O246">
        <v>244</v>
      </c>
      <c r="P246">
        <v>245</v>
      </c>
      <c r="Q246">
        <v>0.2273</v>
      </c>
      <c r="R246">
        <v>0.59</v>
      </c>
      <c r="S246">
        <v>8.9599999999999999E-2</v>
      </c>
      <c r="T246">
        <v>6</v>
      </c>
      <c r="U246">
        <v>46</v>
      </c>
      <c r="V246">
        <v>52</v>
      </c>
    </row>
    <row r="247" spans="1:22" x14ac:dyDescent="0.3">
      <c r="A247">
        <v>246</v>
      </c>
      <c r="B247" s="1">
        <v>40554</v>
      </c>
      <c r="C247">
        <v>1</v>
      </c>
      <c r="D247">
        <v>0</v>
      </c>
      <c r="E247" t="str">
        <f>TEXT(Append1[[#This Row],[dteday]],"MMMM")</f>
        <v>January</v>
      </c>
      <c r="F247">
        <v>1</v>
      </c>
      <c r="G247">
        <v>14</v>
      </c>
      <c r="H247" t="b">
        <v>0</v>
      </c>
      <c r="I247" t="str">
        <f>TEXT(Append1[[#This Row],[dteday]],"DDDD")</f>
        <v>Tuesday</v>
      </c>
      <c r="J247" t="str" cm="1">
        <f t="array" ref="J247">_xlfn.IFS(Append1[[#This Row],[weekday cnt]]=0,"Weekend",Append1[[#This Row],[weekday cnt]]=6,"Weekend",Append1[[#This Row],[weekday cnt]]&gt;0,"Weekday")</f>
        <v>Weekday</v>
      </c>
      <c r="K247">
        <v>2</v>
      </c>
      <c r="L247" t="str" cm="1">
        <f t="array" ref="L2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7">
        <v>2</v>
      </c>
      <c r="N247">
        <v>0.2</v>
      </c>
      <c r="O247">
        <v>245</v>
      </c>
      <c r="P247">
        <v>246</v>
      </c>
      <c r="Q247">
        <v>0.2273</v>
      </c>
      <c r="R247">
        <v>0.59</v>
      </c>
      <c r="S247">
        <v>8.9599999999999999E-2</v>
      </c>
      <c r="T247">
        <v>3</v>
      </c>
      <c r="U247">
        <v>60</v>
      </c>
      <c r="V247">
        <v>63</v>
      </c>
    </row>
    <row r="248" spans="1:22" x14ac:dyDescent="0.3">
      <c r="A248">
        <v>247</v>
      </c>
      <c r="B248" s="1">
        <v>40554</v>
      </c>
      <c r="C248">
        <v>1</v>
      </c>
      <c r="D248">
        <v>0</v>
      </c>
      <c r="E248" t="str">
        <f>TEXT(Append1[[#This Row],[dteday]],"MMMM")</f>
        <v>January</v>
      </c>
      <c r="F248">
        <v>1</v>
      </c>
      <c r="G248">
        <v>15</v>
      </c>
      <c r="H248" t="b">
        <v>0</v>
      </c>
      <c r="I248" t="str">
        <f>TEXT(Append1[[#This Row],[dteday]],"DDDD")</f>
        <v>Tuesday</v>
      </c>
      <c r="J248" t="str" cm="1">
        <f t="array" ref="J248">_xlfn.IFS(Append1[[#This Row],[weekday cnt]]=0,"Weekend",Append1[[#This Row],[weekday cnt]]=6,"Weekend",Append1[[#This Row],[weekday cnt]]&gt;0,"Weekday")</f>
        <v>Weekday</v>
      </c>
      <c r="K248">
        <v>2</v>
      </c>
      <c r="L248" t="str" cm="1">
        <f t="array" ref="L2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8">
        <v>2</v>
      </c>
      <c r="N248">
        <v>0.16</v>
      </c>
      <c r="O248">
        <v>246</v>
      </c>
      <c r="P248">
        <v>247</v>
      </c>
      <c r="Q248">
        <v>0.19700000000000001</v>
      </c>
      <c r="R248">
        <v>0.8</v>
      </c>
      <c r="S248">
        <v>8.9599999999999999E-2</v>
      </c>
      <c r="T248">
        <v>2</v>
      </c>
      <c r="U248">
        <v>45</v>
      </c>
      <c r="V248">
        <v>47</v>
      </c>
    </row>
    <row r="249" spans="1:22" x14ac:dyDescent="0.3">
      <c r="A249">
        <v>248</v>
      </c>
      <c r="B249" s="1">
        <v>40554</v>
      </c>
      <c r="C249">
        <v>1</v>
      </c>
      <c r="D249">
        <v>0</v>
      </c>
      <c r="E249" t="str">
        <f>TEXT(Append1[[#This Row],[dteday]],"MMMM")</f>
        <v>January</v>
      </c>
      <c r="F249">
        <v>1</v>
      </c>
      <c r="G249">
        <v>16</v>
      </c>
      <c r="H249" t="b">
        <v>0</v>
      </c>
      <c r="I249" t="str">
        <f>TEXT(Append1[[#This Row],[dteday]],"DDDD")</f>
        <v>Tuesday</v>
      </c>
      <c r="J249" t="str" cm="1">
        <f t="array" ref="J249">_xlfn.IFS(Append1[[#This Row],[weekday cnt]]=0,"Weekend",Append1[[#This Row],[weekday cnt]]=6,"Weekend",Append1[[#This Row],[weekday cnt]]&gt;0,"Weekday")</f>
        <v>Weekday</v>
      </c>
      <c r="K249">
        <v>2</v>
      </c>
      <c r="L249" t="str" cm="1">
        <f t="array" ref="L2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49">
        <v>2</v>
      </c>
      <c r="N249">
        <v>0.16</v>
      </c>
      <c r="O249">
        <v>247</v>
      </c>
      <c r="P249">
        <v>248</v>
      </c>
      <c r="Q249">
        <v>0.1515</v>
      </c>
      <c r="R249">
        <v>0.86</v>
      </c>
      <c r="S249">
        <v>0.22389999999999999</v>
      </c>
      <c r="T249">
        <v>4</v>
      </c>
      <c r="U249">
        <v>72</v>
      </c>
      <c r="V249">
        <v>76</v>
      </c>
    </row>
    <row r="250" spans="1:22" x14ac:dyDescent="0.3">
      <c r="A250">
        <v>249</v>
      </c>
      <c r="B250" s="1">
        <v>40554</v>
      </c>
      <c r="C250">
        <v>1</v>
      </c>
      <c r="D250">
        <v>0</v>
      </c>
      <c r="E250" t="str">
        <f>TEXT(Append1[[#This Row],[dteday]],"MMMM")</f>
        <v>January</v>
      </c>
      <c r="F250">
        <v>1</v>
      </c>
      <c r="G250">
        <v>17</v>
      </c>
      <c r="H250" t="b">
        <v>0</v>
      </c>
      <c r="I250" t="str">
        <f>TEXT(Append1[[#This Row],[dteday]],"DDDD")</f>
        <v>Tuesday</v>
      </c>
      <c r="J250" t="str" cm="1">
        <f t="array" ref="J250">_xlfn.IFS(Append1[[#This Row],[weekday cnt]]=0,"Weekend",Append1[[#This Row],[weekday cnt]]=6,"Weekend",Append1[[#This Row],[weekday cnt]]&gt;0,"Weekday")</f>
        <v>Weekday</v>
      </c>
      <c r="K250">
        <v>2</v>
      </c>
      <c r="L250" t="str" cm="1">
        <f t="array" ref="L2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50">
        <v>2</v>
      </c>
      <c r="N250">
        <v>0.16</v>
      </c>
      <c r="O250">
        <v>248</v>
      </c>
      <c r="P250">
        <v>249</v>
      </c>
      <c r="Q250">
        <v>0.1515</v>
      </c>
      <c r="R250">
        <v>0.86</v>
      </c>
      <c r="S250">
        <v>0.22389999999999999</v>
      </c>
      <c r="T250">
        <v>6</v>
      </c>
      <c r="U250">
        <v>130</v>
      </c>
      <c r="V250">
        <v>136</v>
      </c>
    </row>
    <row r="251" spans="1:22" x14ac:dyDescent="0.3">
      <c r="A251">
        <v>250</v>
      </c>
      <c r="B251" s="1">
        <v>40554</v>
      </c>
      <c r="C251">
        <v>1</v>
      </c>
      <c r="D251">
        <v>0</v>
      </c>
      <c r="E251" t="str">
        <f>TEXT(Append1[[#This Row],[dteday]],"MMMM")</f>
        <v>January</v>
      </c>
      <c r="F251">
        <v>1</v>
      </c>
      <c r="G251">
        <v>18</v>
      </c>
      <c r="H251" t="b">
        <v>0</v>
      </c>
      <c r="I251" t="str">
        <f>TEXT(Append1[[#This Row],[dteday]],"DDDD")</f>
        <v>Tuesday</v>
      </c>
      <c r="J251" t="str" cm="1">
        <f t="array" ref="J251">_xlfn.IFS(Append1[[#This Row],[weekday cnt]]=0,"Weekend",Append1[[#This Row],[weekday cnt]]=6,"Weekend",Append1[[#This Row],[weekday cnt]]&gt;0,"Weekday")</f>
        <v>Weekday</v>
      </c>
      <c r="K251">
        <v>2</v>
      </c>
      <c r="L251" t="str" cm="1">
        <f t="array" ref="L2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251">
        <v>3</v>
      </c>
      <c r="N251">
        <v>0.16</v>
      </c>
      <c r="O251">
        <v>249</v>
      </c>
      <c r="P251">
        <v>250</v>
      </c>
      <c r="Q251">
        <v>0.18179999999999999</v>
      </c>
      <c r="R251">
        <v>0.93</v>
      </c>
      <c r="S251">
        <v>0.1045</v>
      </c>
      <c r="T251">
        <v>1</v>
      </c>
      <c r="U251">
        <v>94</v>
      </c>
      <c r="V251">
        <v>95</v>
      </c>
    </row>
    <row r="252" spans="1:22" x14ac:dyDescent="0.3">
      <c r="A252">
        <v>251</v>
      </c>
      <c r="B252" s="1">
        <v>40554</v>
      </c>
      <c r="C252">
        <v>1</v>
      </c>
      <c r="D252">
        <v>0</v>
      </c>
      <c r="E252" t="str">
        <f>TEXT(Append1[[#This Row],[dteday]],"MMMM")</f>
        <v>January</v>
      </c>
      <c r="F252">
        <v>1</v>
      </c>
      <c r="G252">
        <v>19</v>
      </c>
      <c r="H252" t="b">
        <v>0</v>
      </c>
      <c r="I252" t="str">
        <f>TEXT(Append1[[#This Row],[dteday]],"DDDD")</f>
        <v>Tuesday</v>
      </c>
      <c r="J252" t="str" cm="1">
        <f t="array" ref="J252">_xlfn.IFS(Append1[[#This Row],[weekday cnt]]=0,"Weekend",Append1[[#This Row],[weekday cnt]]=6,"Weekend",Append1[[#This Row],[weekday cnt]]&gt;0,"Weekday")</f>
        <v>Weekday</v>
      </c>
      <c r="K252">
        <v>2</v>
      </c>
      <c r="L252" t="str" cm="1">
        <f t="array" ref="L2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252">
        <v>3</v>
      </c>
      <c r="N252">
        <v>0.16</v>
      </c>
      <c r="O252">
        <v>250</v>
      </c>
      <c r="P252">
        <v>251</v>
      </c>
      <c r="Q252">
        <v>0.2273</v>
      </c>
      <c r="R252">
        <v>0.93</v>
      </c>
      <c r="S252">
        <v>0</v>
      </c>
      <c r="T252">
        <v>0</v>
      </c>
      <c r="U252">
        <v>51</v>
      </c>
      <c r="V252">
        <v>51</v>
      </c>
    </row>
    <row r="253" spans="1:22" x14ac:dyDescent="0.3">
      <c r="A253">
        <v>252</v>
      </c>
      <c r="B253" s="1">
        <v>40554</v>
      </c>
      <c r="C253">
        <v>1</v>
      </c>
      <c r="D253">
        <v>0</v>
      </c>
      <c r="E253" t="str">
        <f>TEXT(Append1[[#This Row],[dteday]],"MMMM")</f>
        <v>January</v>
      </c>
      <c r="F253">
        <v>1</v>
      </c>
      <c r="G253">
        <v>20</v>
      </c>
      <c r="H253" t="b">
        <v>0</v>
      </c>
      <c r="I253" t="str">
        <f>TEXT(Append1[[#This Row],[dteday]],"DDDD")</f>
        <v>Tuesday</v>
      </c>
      <c r="J253" t="str" cm="1">
        <f t="array" ref="J253">_xlfn.IFS(Append1[[#This Row],[weekday cnt]]=0,"Weekend",Append1[[#This Row],[weekday cnt]]=6,"Weekend",Append1[[#This Row],[weekday cnt]]&gt;0,"Weekday")</f>
        <v>Weekday</v>
      </c>
      <c r="K253">
        <v>2</v>
      </c>
      <c r="L253" t="str" cm="1">
        <f t="array" ref="L2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253">
        <v>3</v>
      </c>
      <c r="N253">
        <v>0.16</v>
      </c>
      <c r="O253">
        <v>251</v>
      </c>
      <c r="P253">
        <v>252</v>
      </c>
      <c r="Q253">
        <v>0.1515</v>
      </c>
      <c r="R253">
        <v>0.93</v>
      </c>
      <c r="S253">
        <v>0.19400000000000001</v>
      </c>
      <c r="T253">
        <v>0</v>
      </c>
      <c r="U253">
        <v>32</v>
      </c>
      <c r="V253">
        <v>32</v>
      </c>
    </row>
    <row r="254" spans="1:22" x14ac:dyDescent="0.3">
      <c r="A254">
        <v>253</v>
      </c>
      <c r="B254" s="1">
        <v>40554</v>
      </c>
      <c r="C254">
        <v>1</v>
      </c>
      <c r="D254">
        <v>0</v>
      </c>
      <c r="E254" t="str">
        <f>TEXT(Append1[[#This Row],[dteday]],"MMMM")</f>
        <v>January</v>
      </c>
      <c r="F254">
        <v>1</v>
      </c>
      <c r="G254">
        <v>21</v>
      </c>
      <c r="H254" t="b">
        <v>0</v>
      </c>
      <c r="I254" t="str">
        <f>TEXT(Append1[[#This Row],[dteday]],"DDDD")</f>
        <v>Tuesday</v>
      </c>
      <c r="J254" t="str" cm="1">
        <f t="array" ref="J254">_xlfn.IFS(Append1[[#This Row],[weekday cnt]]=0,"Weekend",Append1[[#This Row],[weekday cnt]]=6,"Weekend",Append1[[#This Row],[weekday cnt]]&gt;0,"Weekday")</f>
        <v>Weekday</v>
      </c>
      <c r="K254">
        <v>2</v>
      </c>
      <c r="L254" t="str" cm="1">
        <f t="array" ref="L2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254">
        <v>3</v>
      </c>
      <c r="N254">
        <v>0.16</v>
      </c>
      <c r="O254">
        <v>252</v>
      </c>
      <c r="P254">
        <v>253</v>
      </c>
      <c r="Q254">
        <v>0.19700000000000001</v>
      </c>
      <c r="R254">
        <v>0.86</v>
      </c>
      <c r="S254">
        <v>8.9599999999999999E-2</v>
      </c>
      <c r="T254">
        <v>0</v>
      </c>
      <c r="U254">
        <v>20</v>
      </c>
      <c r="V254">
        <v>20</v>
      </c>
    </row>
    <row r="255" spans="1:22" x14ac:dyDescent="0.3">
      <c r="A255">
        <v>254</v>
      </c>
      <c r="B255" s="1">
        <v>40554</v>
      </c>
      <c r="C255">
        <v>1</v>
      </c>
      <c r="D255">
        <v>0</v>
      </c>
      <c r="E255" t="str">
        <f>TEXT(Append1[[#This Row],[dteday]],"MMMM")</f>
        <v>January</v>
      </c>
      <c r="F255">
        <v>1</v>
      </c>
      <c r="G255">
        <v>22</v>
      </c>
      <c r="H255" t="b">
        <v>0</v>
      </c>
      <c r="I255" t="str">
        <f>TEXT(Append1[[#This Row],[dteday]],"DDDD")</f>
        <v>Tuesday</v>
      </c>
      <c r="J255" t="str" cm="1">
        <f t="array" ref="J255">_xlfn.IFS(Append1[[#This Row],[weekday cnt]]=0,"Weekend",Append1[[#This Row],[weekday cnt]]=6,"Weekend",Append1[[#This Row],[weekday cnt]]&gt;0,"Weekday")</f>
        <v>Weekday</v>
      </c>
      <c r="K255">
        <v>2</v>
      </c>
      <c r="L255" t="str" cm="1">
        <f t="array" ref="L2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255">
        <v>3</v>
      </c>
      <c r="N255">
        <v>0.16</v>
      </c>
      <c r="O255">
        <v>253</v>
      </c>
      <c r="P255">
        <v>254</v>
      </c>
      <c r="Q255">
        <v>0.18179999999999999</v>
      </c>
      <c r="R255">
        <v>0.93</v>
      </c>
      <c r="S255">
        <v>0.1045</v>
      </c>
      <c r="T255">
        <v>1</v>
      </c>
      <c r="U255">
        <v>28</v>
      </c>
      <c r="V255">
        <v>29</v>
      </c>
    </row>
    <row r="256" spans="1:22" x14ac:dyDescent="0.3">
      <c r="A256">
        <v>255</v>
      </c>
      <c r="B256" s="1">
        <v>40554</v>
      </c>
      <c r="C256">
        <v>1</v>
      </c>
      <c r="D256">
        <v>0</v>
      </c>
      <c r="E256" t="str">
        <f>TEXT(Append1[[#This Row],[dteday]],"MMMM")</f>
        <v>January</v>
      </c>
      <c r="F256">
        <v>1</v>
      </c>
      <c r="G256">
        <v>23</v>
      </c>
      <c r="H256" t="b">
        <v>0</v>
      </c>
      <c r="I256" t="str">
        <f>TEXT(Append1[[#This Row],[dteday]],"DDDD")</f>
        <v>Tuesday</v>
      </c>
      <c r="J256" t="str" cm="1">
        <f t="array" ref="J256">_xlfn.IFS(Append1[[#This Row],[weekday cnt]]=0,"Weekend",Append1[[#This Row],[weekday cnt]]=6,"Weekend",Append1[[#This Row],[weekday cnt]]&gt;0,"Weekday")</f>
        <v>Weekday</v>
      </c>
      <c r="K256">
        <v>2</v>
      </c>
      <c r="L256" t="str" cm="1">
        <f t="array" ref="L2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256">
        <v>3</v>
      </c>
      <c r="N256">
        <v>0.16</v>
      </c>
      <c r="O256">
        <v>254</v>
      </c>
      <c r="P256">
        <v>255</v>
      </c>
      <c r="Q256">
        <v>0.19700000000000001</v>
      </c>
      <c r="R256">
        <v>0.93</v>
      </c>
      <c r="S256">
        <v>8.9599999999999999E-2</v>
      </c>
      <c r="T256">
        <v>1</v>
      </c>
      <c r="U256">
        <v>18</v>
      </c>
      <c r="V256">
        <v>19</v>
      </c>
    </row>
    <row r="257" spans="1:22" x14ac:dyDescent="0.3">
      <c r="A257">
        <v>256</v>
      </c>
      <c r="B257" s="1">
        <v>40555</v>
      </c>
      <c r="C257">
        <v>1</v>
      </c>
      <c r="D257">
        <v>0</v>
      </c>
      <c r="E257" t="str">
        <f>TEXT(Append1[[#This Row],[dteday]],"MMMM")</f>
        <v>January</v>
      </c>
      <c r="F257">
        <v>1</v>
      </c>
      <c r="G257">
        <v>0</v>
      </c>
      <c r="H257" t="b">
        <v>0</v>
      </c>
      <c r="I257" t="str">
        <f>TEXT(Append1[[#This Row],[dteday]],"DDDD")</f>
        <v>Wednesday</v>
      </c>
      <c r="J257" t="str" cm="1">
        <f t="array" ref="J257">_xlfn.IFS(Append1[[#This Row],[weekday cnt]]=0,"Weekend",Append1[[#This Row],[weekday cnt]]=6,"Weekend",Append1[[#This Row],[weekday cnt]]&gt;0,"Weekday")</f>
        <v>Weekday</v>
      </c>
      <c r="K257">
        <v>3</v>
      </c>
      <c r="L257" t="str" cm="1">
        <f t="array" ref="L2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57">
        <v>2</v>
      </c>
      <c r="N257">
        <v>0.16</v>
      </c>
      <c r="O257">
        <v>255</v>
      </c>
      <c r="P257">
        <v>256</v>
      </c>
      <c r="Q257">
        <v>0.19700000000000001</v>
      </c>
      <c r="R257">
        <v>0.86</v>
      </c>
      <c r="S257">
        <v>8.9599999999999999E-2</v>
      </c>
      <c r="T257">
        <v>0</v>
      </c>
      <c r="U257">
        <v>7</v>
      </c>
      <c r="V257">
        <v>7</v>
      </c>
    </row>
    <row r="258" spans="1:22" x14ac:dyDescent="0.3">
      <c r="A258">
        <v>257</v>
      </c>
      <c r="B258" s="1">
        <v>40555</v>
      </c>
      <c r="C258">
        <v>1</v>
      </c>
      <c r="D258">
        <v>0</v>
      </c>
      <c r="E258" t="str">
        <f>TEXT(Append1[[#This Row],[dteday]],"MMMM")</f>
        <v>January</v>
      </c>
      <c r="F258">
        <v>1</v>
      </c>
      <c r="G258">
        <v>1</v>
      </c>
      <c r="H258" t="b">
        <v>0</v>
      </c>
      <c r="I258" t="str">
        <f>TEXT(Append1[[#This Row],[dteday]],"DDDD")</f>
        <v>Wednesday</v>
      </c>
      <c r="J258" t="str" cm="1">
        <f t="array" ref="J258">_xlfn.IFS(Append1[[#This Row],[weekday cnt]]=0,"Weekend",Append1[[#This Row],[weekday cnt]]=6,"Weekend",Append1[[#This Row],[weekday cnt]]&gt;0,"Weekday")</f>
        <v>Weekday</v>
      </c>
      <c r="K258">
        <v>3</v>
      </c>
      <c r="L258" t="str" cm="1">
        <f t="array" ref="L2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58">
        <v>2</v>
      </c>
      <c r="N258">
        <v>0.16</v>
      </c>
      <c r="O258">
        <v>256</v>
      </c>
      <c r="P258">
        <v>257</v>
      </c>
      <c r="Q258">
        <v>0.18179999999999999</v>
      </c>
      <c r="R258">
        <v>0.86</v>
      </c>
      <c r="S258">
        <v>0.1045</v>
      </c>
      <c r="T258">
        <v>0</v>
      </c>
      <c r="U258">
        <v>6</v>
      </c>
      <c r="V258">
        <v>6</v>
      </c>
    </row>
    <row r="259" spans="1:22" x14ac:dyDescent="0.3">
      <c r="A259">
        <v>258</v>
      </c>
      <c r="B259" s="1">
        <v>40555</v>
      </c>
      <c r="C259">
        <v>1</v>
      </c>
      <c r="D259">
        <v>0</v>
      </c>
      <c r="E259" t="str">
        <f>TEXT(Append1[[#This Row],[dteday]],"MMMM")</f>
        <v>January</v>
      </c>
      <c r="F259">
        <v>1</v>
      </c>
      <c r="G259">
        <v>2</v>
      </c>
      <c r="H259" t="b">
        <v>0</v>
      </c>
      <c r="I259" t="str">
        <f>TEXT(Append1[[#This Row],[dteday]],"DDDD")</f>
        <v>Wednesday</v>
      </c>
      <c r="J259" t="str" cm="1">
        <f t="array" ref="J259">_xlfn.IFS(Append1[[#This Row],[weekday cnt]]=0,"Weekend",Append1[[#This Row],[weekday cnt]]=6,"Weekend",Append1[[#This Row],[weekday cnt]]&gt;0,"Weekday")</f>
        <v>Weekday</v>
      </c>
      <c r="K259">
        <v>3</v>
      </c>
      <c r="L259" t="str" cm="1">
        <f t="array" ref="L2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59">
        <v>1</v>
      </c>
      <c r="N259">
        <v>0.14000000000000001</v>
      </c>
      <c r="O259">
        <v>257</v>
      </c>
      <c r="P259">
        <v>258</v>
      </c>
      <c r="Q259">
        <v>0.1515</v>
      </c>
      <c r="R259">
        <v>0.86</v>
      </c>
      <c r="S259">
        <v>0.1343</v>
      </c>
      <c r="T259">
        <v>0</v>
      </c>
      <c r="U259">
        <v>1</v>
      </c>
      <c r="V259">
        <v>1</v>
      </c>
    </row>
    <row r="260" spans="1:22" x14ac:dyDescent="0.3">
      <c r="A260">
        <v>259</v>
      </c>
      <c r="B260" s="1">
        <v>40555</v>
      </c>
      <c r="C260">
        <v>1</v>
      </c>
      <c r="D260">
        <v>0</v>
      </c>
      <c r="E260" t="str">
        <f>TEXT(Append1[[#This Row],[dteday]],"MMMM")</f>
        <v>January</v>
      </c>
      <c r="F260">
        <v>1</v>
      </c>
      <c r="G260">
        <v>5</v>
      </c>
      <c r="H260" t="b">
        <v>0</v>
      </c>
      <c r="I260" t="str">
        <f>TEXT(Append1[[#This Row],[dteday]],"DDDD")</f>
        <v>Wednesday</v>
      </c>
      <c r="J260" t="str" cm="1">
        <f t="array" ref="J260">_xlfn.IFS(Append1[[#This Row],[weekday cnt]]=0,"Weekend",Append1[[#This Row],[weekday cnt]]=6,"Weekend",Append1[[#This Row],[weekday cnt]]&gt;0,"Weekday")</f>
        <v>Weekday</v>
      </c>
      <c r="K260">
        <v>3</v>
      </c>
      <c r="L260" t="str" cm="1">
        <f t="array" ref="L2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0">
        <v>1</v>
      </c>
      <c r="N260">
        <v>0.14000000000000001</v>
      </c>
      <c r="O260">
        <v>258</v>
      </c>
      <c r="P260">
        <v>259</v>
      </c>
      <c r="Q260">
        <v>0.1515</v>
      </c>
      <c r="R260">
        <v>0.86</v>
      </c>
      <c r="S260">
        <v>0.16420000000000001</v>
      </c>
      <c r="T260">
        <v>0</v>
      </c>
      <c r="U260">
        <v>5</v>
      </c>
      <c r="V260">
        <v>5</v>
      </c>
    </row>
    <row r="261" spans="1:22" x14ac:dyDescent="0.3">
      <c r="A261">
        <v>260</v>
      </c>
      <c r="B261" s="1">
        <v>40555</v>
      </c>
      <c r="C261">
        <v>1</v>
      </c>
      <c r="D261">
        <v>0</v>
      </c>
      <c r="E261" t="str">
        <f>TEXT(Append1[[#This Row],[dteday]],"MMMM")</f>
        <v>January</v>
      </c>
      <c r="F261">
        <v>1</v>
      </c>
      <c r="G261">
        <v>6</v>
      </c>
      <c r="H261" t="b">
        <v>0</v>
      </c>
      <c r="I261" t="str">
        <f>TEXT(Append1[[#This Row],[dteday]],"DDDD")</f>
        <v>Wednesday</v>
      </c>
      <c r="J261" t="str" cm="1">
        <f t="array" ref="J261">_xlfn.IFS(Append1[[#This Row],[weekday cnt]]=0,"Weekend",Append1[[#This Row],[weekday cnt]]=6,"Weekend",Append1[[#This Row],[weekday cnt]]&gt;0,"Weekday")</f>
        <v>Weekday</v>
      </c>
      <c r="K261">
        <v>3</v>
      </c>
      <c r="L261" t="str" cm="1">
        <f t="array" ref="L2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1">
        <v>1</v>
      </c>
      <c r="N261">
        <v>0.12</v>
      </c>
      <c r="O261">
        <v>259</v>
      </c>
      <c r="P261">
        <v>260</v>
      </c>
      <c r="Q261">
        <v>0.1515</v>
      </c>
      <c r="R261">
        <v>0.93</v>
      </c>
      <c r="S261">
        <v>0.1343</v>
      </c>
      <c r="T261">
        <v>0</v>
      </c>
      <c r="U261">
        <v>16</v>
      </c>
      <c r="V261">
        <v>16</v>
      </c>
    </row>
    <row r="262" spans="1:22" x14ac:dyDescent="0.3">
      <c r="A262">
        <v>261</v>
      </c>
      <c r="B262" s="1">
        <v>40555</v>
      </c>
      <c r="C262">
        <v>1</v>
      </c>
      <c r="D262">
        <v>0</v>
      </c>
      <c r="E262" t="str">
        <f>TEXT(Append1[[#This Row],[dteday]],"MMMM")</f>
        <v>January</v>
      </c>
      <c r="F262">
        <v>1</v>
      </c>
      <c r="G262">
        <v>7</v>
      </c>
      <c r="H262" t="b">
        <v>0</v>
      </c>
      <c r="I262" t="str">
        <f>TEXT(Append1[[#This Row],[dteday]],"DDDD")</f>
        <v>Wednesday</v>
      </c>
      <c r="J262" t="str" cm="1">
        <f t="array" ref="J262">_xlfn.IFS(Append1[[#This Row],[weekday cnt]]=0,"Weekend",Append1[[#This Row],[weekday cnt]]=6,"Weekend",Append1[[#This Row],[weekday cnt]]&gt;0,"Weekday")</f>
        <v>Weekday</v>
      </c>
      <c r="K262">
        <v>3</v>
      </c>
      <c r="L262" t="str" cm="1">
        <f t="array" ref="L2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2">
        <v>1</v>
      </c>
      <c r="N262">
        <v>0.14000000000000001</v>
      </c>
      <c r="O262">
        <v>260</v>
      </c>
      <c r="P262">
        <v>261</v>
      </c>
      <c r="Q262">
        <v>0.1515</v>
      </c>
      <c r="R262">
        <v>0.69</v>
      </c>
      <c r="S262">
        <v>0.1343</v>
      </c>
      <c r="T262">
        <v>0</v>
      </c>
      <c r="U262">
        <v>54</v>
      </c>
      <c r="V262">
        <v>54</v>
      </c>
    </row>
    <row r="263" spans="1:22" x14ac:dyDescent="0.3">
      <c r="A263">
        <v>262</v>
      </c>
      <c r="B263" s="1">
        <v>40555</v>
      </c>
      <c r="C263">
        <v>1</v>
      </c>
      <c r="D263">
        <v>0</v>
      </c>
      <c r="E263" t="str">
        <f>TEXT(Append1[[#This Row],[dteday]],"MMMM")</f>
        <v>January</v>
      </c>
      <c r="F263">
        <v>1</v>
      </c>
      <c r="G263">
        <v>8</v>
      </c>
      <c r="H263" t="b">
        <v>0</v>
      </c>
      <c r="I263" t="str">
        <f>TEXT(Append1[[#This Row],[dteday]],"DDDD")</f>
        <v>Wednesday</v>
      </c>
      <c r="J263" t="str" cm="1">
        <f t="array" ref="J263">_xlfn.IFS(Append1[[#This Row],[weekday cnt]]=0,"Weekend",Append1[[#This Row],[weekday cnt]]=6,"Weekend",Append1[[#This Row],[weekday cnt]]&gt;0,"Weekday")</f>
        <v>Weekday</v>
      </c>
      <c r="K263">
        <v>3</v>
      </c>
      <c r="L263" t="str" cm="1">
        <f t="array" ref="L2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3">
        <v>1</v>
      </c>
      <c r="N263">
        <v>0.16</v>
      </c>
      <c r="O263">
        <v>261</v>
      </c>
      <c r="P263">
        <v>262</v>
      </c>
      <c r="Q263">
        <v>0.16669999999999999</v>
      </c>
      <c r="R263">
        <v>0.59</v>
      </c>
      <c r="S263">
        <v>0.16420000000000001</v>
      </c>
      <c r="T263">
        <v>3</v>
      </c>
      <c r="U263">
        <v>125</v>
      </c>
      <c r="V263">
        <v>128</v>
      </c>
    </row>
    <row r="264" spans="1:22" x14ac:dyDescent="0.3">
      <c r="A264">
        <v>263</v>
      </c>
      <c r="B264" s="1">
        <v>40555</v>
      </c>
      <c r="C264">
        <v>1</v>
      </c>
      <c r="D264">
        <v>0</v>
      </c>
      <c r="E264" t="str">
        <f>TEXT(Append1[[#This Row],[dteday]],"MMMM")</f>
        <v>January</v>
      </c>
      <c r="F264">
        <v>1</v>
      </c>
      <c r="G264">
        <v>9</v>
      </c>
      <c r="H264" t="b">
        <v>0</v>
      </c>
      <c r="I264" t="str">
        <f>TEXT(Append1[[#This Row],[dteday]],"DDDD")</f>
        <v>Wednesday</v>
      </c>
      <c r="J264" t="str" cm="1">
        <f t="array" ref="J264">_xlfn.IFS(Append1[[#This Row],[weekday cnt]]=0,"Weekend",Append1[[#This Row],[weekday cnt]]=6,"Weekend",Append1[[#This Row],[weekday cnt]]&gt;0,"Weekday")</f>
        <v>Weekday</v>
      </c>
      <c r="K264">
        <v>3</v>
      </c>
      <c r="L264" t="str" cm="1">
        <f t="array" ref="L2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4">
        <v>1</v>
      </c>
      <c r="N264">
        <v>0.16</v>
      </c>
      <c r="O264">
        <v>262</v>
      </c>
      <c r="P264">
        <v>263</v>
      </c>
      <c r="Q264">
        <v>0.13639999999999999</v>
      </c>
      <c r="R264">
        <v>0.59</v>
      </c>
      <c r="S264">
        <v>0.32840000000000003</v>
      </c>
      <c r="T264">
        <v>3</v>
      </c>
      <c r="U264">
        <v>78</v>
      </c>
      <c r="V264">
        <v>81</v>
      </c>
    </row>
    <row r="265" spans="1:22" x14ac:dyDescent="0.3">
      <c r="A265">
        <v>264</v>
      </c>
      <c r="B265" s="1">
        <v>40555</v>
      </c>
      <c r="C265">
        <v>1</v>
      </c>
      <c r="D265">
        <v>0</v>
      </c>
      <c r="E265" t="str">
        <f>TEXT(Append1[[#This Row],[dteday]],"MMMM")</f>
        <v>January</v>
      </c>
      <c r="F265">
        <v>1</v>
      </c>
      <c r="G265">
        <v>10</v>
      </c>
      <c r="H265" t="b">
        <v>0</v>
      </c>
      <c r="I265" t="str">
        <f>TEXT(Append1[[#This Row],[dteday]],"DDDD")</f>
        <v>Wednesday</v>
      </c>
      <c r="J265" t="str" cm="1">
        <f t="array" ref="J265">_xlfn.IFS(Append1[[#This Row],[weekday cnt]]=0,"Weekend",Append1[[#This Row],[weekday cnt]]=6,"Weekend",Append1[[#This Row],[weekday cnt]]&gt;0,"Weekday")</f>
        <v>Weekday</v>
      </c>
      <c r="K265">
        <v>3</v>
      </c>
      <c r="L265" t="str" cm="1">
        <f t="array" ref="L2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5">
        <v>1</v>
      </c>
      <c r="N265">
        <v>0.18</v>
      </c>
      <c r="O265">
        <v>263</v>
      </c>
      <c r="P265">
        <v>264</v>
      </c>
      <c r="Q265">
        <v>0.18179999999999999</v>
      </c>
      <c r="R265">
        <v>0.55000000000000004</v>
      </c>
      <c r="S265">
        <v>0.22389999999999999</v>
      </c>
      <c r="T265">
        <v>0</v>
      </c>
      <c r="U265">
        <v>39</v>
      </c>
      <c r="V265">
        <v>39</v>
      </c>
    </row>
    <row r="266" spans="1:22" x14ac:dyDescent="0.3">
      <c r="A266">
        <v>265</v>
      </c>
      <c r="B266" s="1">
        <v>40555</v>
      </c>
      <c r="C266">
        <v>1</v>
      </c>
      <c r="D266">
        <v>0</v>
      </c>
      <c r="E266" t="str">
        <f>TEXT(Append1[[#This Row],[dteday]],"MMMM")</f>
        <v>January</v>
      </c>
      <c r="F266">
        <v>1</v>
      </c>
      <c r="G266">
        <v>11</v>
      </c>
      <c r="H266" t="b">
        <v>0</v>
      </c>
      <c r="I266" t="str">
        <f>TEXT(Append1[[#This Row],[dteday]],"DDDD")</f>
        <v>Wednesday</v>
      </c>
      <c r="J266" t="str" cm="1">
        <f t="array" ref="J266">_xlfn.IFS(Append1[[#This Row],[weekday cnt]]=0,"Weekend",Append1[[#This Row],[weekday cnt]]=6,"Weekend",Append1[[#This Row],[weekday cnt]]&gt;0,"Weekday")</f>
        <v>Weekday</v>
      </c>
      <c r="K266">
        <v>3</v>
      </c>
      <c r="L266" t="str" cm="1">
        <f t="array" ref="L2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6">
        <v>1</v>
      </c>
      <c r="N266">
        <v>0.2</v>
      </c>
      <c r="O266">
        <v>264</v>
      </c>
      <c r="P266">
        <v>265</v>
      </c>
      <c r="Q266">
        <v>0.18179999999999999</v>
      </c>
      <c r="R266">
        <v>0.51</v>
      </c>
      <c r="S266">
        <v>0.3881</v>
      </c>
      <c r="T266">
        <v>3</v>
      </c>
      <c r="U266">
        <v>32</v>
      </c>
      <c r="V266">
        <v>35</v>
      </c>
    </row>
    <row r="267" spans="1:22" x14ac:dyDescent="0.3">
      <c r="A267">
        <v>266</v>
      </c>
      <c r="B267" s="1">
        <v>40555</v>
      </c>
      <c r="C267">
        <v>1</v>
      </c>
      <c r="D267">
        <v>0</v>
      </c>
      <c r="E267" t="str">
        <f>TEXT(Append1[[#This Row],[dteday]],"MMMM")</f>
        <v>January</v>
      </c>
      <c r="F267">
        <v>1</v>
      </c>
      <c r="G267">
        <v>12</v>
      </c>
      <c r="H267" t="b">
        <v>0</v>
      </c>
      <c r="I267" t="str">
        <f>TEXT(Append1[[#This Row],[dteday]],"DDDD")</f>
        <v>Wednesday</v>
      </c>
      <c r="J267" t="str" cm="1">
        <f t="array" ref="J267">_xlfn.IFS(Append1[[#This Row],[weekday cnt]]=0,"Weekend",Append1[[#This Row],[weekday cnt]]=6,"Weekend",Append1[[#This Row],[weekday cnt]]&gt;0,"Weekday")</f>
        <v>Weekday</v>
      </c>
      <c r="K267">
        <v>3</v>
      </c>
      <c r="L267" t="str" cm="1">
        <f t="array" ref="L2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7">
        <v>1</v>
      </c>
      <c r="N267">
        <v>0.2</v>
      </c>
      <c r="O267">
        <v>265</v>
      </c>
      <c r="P267">
        <v>266</v>
      </c>
      <c r="Q267">
        <v>0.1515</v>
      </c>
      <c r="R267">
        <v>0.47</v>
      </c>
      <c r="S267">
        <v>0.58209999999999995</v>
      </c>
      <c r="T267">
        <v>3</v>
      </c>
      <c r="U267">
        <v>52</v>
      </c>
      <c r="V267">
        <v>55</v>
      </c>
    </row>
    <row r="268" spans="1:22" x14ac:dyDescent="0.3">
      <c r="A268">
        <v>267</v>
      </c>
      <c r="B268" s="1">
        <v>40555</v>
      </c>
      <c r="C268">
        <v>1</v>
      </c>
      <c r="D268">
        <v>0</v>
      </c>
      <c r="E268" t="str">
        <f>TEXT(Append1[[#This Row],[dteday]],"MMMM")</f>
        <v>January</v>
      </c>
      <c r="F268">
        <v>1</v>
      </c>
      <c r="G268">
        <v>13</v>
      </c>
      <c r="H268" t="b">
        <v>0</v>
      </c>
      <c r="I268" t="str">
        <f>TEXT(Append1[[#This Row],[dteday]],"DDDD")</f>
        <v>Wednesday</v>
      </c>
      <c r="J268" t="str" cm="1">
        <f t="array" ref="J268">_xlfn.IFS(Append1[[#This Row],[weekday cnt]]=0,"Weekend",Append1[[#This Row],[weekday cnt]]=6,"Weekend",Append1[[#This Row],[weekday cnt]]&gt;0,"Weekday")</f>
        <v>Weekday</v>
      </c>
      <c r="K268">
        <v>3</v>
      </c>
      <c r="L268" t="str" cm="1">
        <f t="array" ref="L2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8">
        <v>1</v>
      </c>
      <c r="N268">
        <v>0.22</v>
      </c>
      <c r="O268">
        <v>266</v>
      </c>
      <c r="P268">
        <v>267</v>
      </c>
      <c r="Q268">
        <v>0.19700000000000001</v>
      </c>
      <c r="R268">
        <v>0.44</v>
      </c>
      <c r="S268">
        <v>0.35820000000000002</v>
      </c>
      <c r="T268">
        <v>0</v>
      </c>
      <c r="U268">
        <v>49</v>
      </c>
      <c r="V268">
        <v>49</v>
      </c>
    </row>
    <row r="269" spans="1:22" x14ac:dyDescent="0.3">
      <c r="A269">
        <v>268</v>
      </c>
      <c r="B269" s="1">
        <v>40555</v>
      </c>
      <c r="C269">
        <v>1</v>
      </c>
      <c r="D269">
        <v>0</v>
      </c>
      <c r="E269" t="str">
        <f>TEXT(Append1[[#This Row],[dteday]],"MMMM")</f>
        <v>January</v>
      </c>
      <c r="F269">
        <v>1</v>
      </c>
      <c r="G269">
        <v>14</v>
      </c>
      <c r="H269" t="b">
        <v>0</v>
      </c>
      <c r="I269" t="str">
        <f>TEXT(Append1[[#This Row],[dteday]],"DDDD")</f>
        <v>Wednesday</v>
      </c>
      <c r="J269" t="str" cm="1">
        <f t="array" ref="J269">_xlfn.IFS(Append1[[#This Row],[weekday cnt]]=0,"Weekend",Append1[[#This Row],[weekday cnt]]=6,"Weekend",Append1[[#This Row],[weekday cnt]]&gt;0,"Weekday")</f>
        <v>Weekday</v>
      </c>
      <c r="K269">
        <v>3</v>
      </c>
      <c r="L269" t="str" cm="1">
        <f t="array" ref="L2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69">
        <v>1</v>
      </c>
      <c r="N269">
        <v>0.2</v>
      </c>
      <c r="O269">
        <v>267</v>
      </c>
      <c r="P269">
        <v>268</v>
      </c>
      <c r="Q269">
        <v>0.18179999999999999</v>
      </c>
      <c r="R269">
        <v>0.47</v>
      </c>
      <c r="S269">
        <v>0.32840000000000003</v>
      </c>
      <c r="T269">
        <v>0</v>
      </c>
      <c r="U269">
        <v>44</v>
      </c>
      <c r="V269">
        <v>44</v>
      </c>
    </row>
    <row r="270" spans="1:22" x14ac:dyDescent="0.3">
      <c r="A270">
        <v>269</v>
      </c>
      <c r="B270" s="1">
        <v>40555</v>
      </c>
      <c r="C270">
        <v>1</v>
      </c>
      <c r="D270">
        <v>0</v>
      </c>
      <c r="E270" t="str">
        <f>TEXT(Append1[[#This Row],[dteday]],"MMMM")</f>
        <v>January</v>
      </c>
      <c r="F270">
        <v>1</v>
      </c>
      <c r="G270">
        <v>15</v>
      </c>
      <c r="H270" t="b">
        <v>0</v>
      </c>
      <c r="I270" t="str">
        <f>TEXT(Append1[[#This Row],[dteday]],"DDDD")</f>
        <v>Wednesday</v>
      </c>
      <c r="J270" t="str" cm="1">
        <f t="array" ref="J270">_xlfn.IFS(Append1[[#This Row],[weekday cnt]]=0,"Weekend",Append1[[#This Row],[weekday cnt]]=6,"Weekend",Append1[[#This Row],[weekday cnt]]&gt;0,"Weekday")</f>
        <v>Weekday</v>
      </c>
      <c r="K270">
        <v>3</v>
      </c>
      <c r="L270" t="str" cm="1">
        <f t="array" ref="L2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0">
        <v>1</v>
      </c>
      <c r="N270">
        <v>0.2</v>
      </c>
      <c r="O270">
        <v>268</v>
      </c>
      <c r="P270">
        <v>269</v>
      </c>
      <c r="Q270">
        <v>0.16669999999999999</v>
      </c>
      <c r="R270">
        <v>0.47</v>
      </c>
      <c r="S270">
        <v>0.41789999999999999</v>
      </c>
      <c r="T270">
        <v>1</v>
      </c>
      <c r="U270">
        <v>48</v>
      </c>
      <c r="V270">
        <v>49</v>
      </c>
    </row>
    <row r="271" spans="1:22" x14ac:dyDescent="0.3">
      <c r="A271">
        <v>270</v>
      </c>
      <c r="B271" s="1">
        <v>40555</v>
      </c>
      <c r="C271">
        <v>1</v>
      </c>
      <c r="D271">
        <v>0</v>
      </c>
      <c r="E271" t="str">
        <f>TEXT(Append1[[#This Row],[dteday]],"MMMM")</f>
        <v>January</v>
      </c>
      <c r="F271">
        <v>1</v>
      </c>
      <c r="G271">
        <v>16</v>
      </c>
      <c r="H271" t="b">
        <v>0</v>
      </c>
      <c r="I271" t="str">
        <f>TEXT(Append1[[#This Row],[dteday]],"DDDD")</f>
        <v>Wednesday</v>
      </c>
      <c r="J271" t="str" cm="1">
        <f t="array" ref="J271">_xlfn.IFS(Append1[[#This Row],[weekday cnt]]=0,"Weekend",Append1[[#This Row],[weekday cnt]]=6,"Weekend",Append1[[#This Row],[weekday cnt]]&gt;0,"Weekday")</f>
        <v>Weekday</v>
      </c>
      <c r="K271">
        <v>3</v>
      </c>
      <c r="L271" t="str" cm="1">
        <f t="array" ref="L2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1">
        <v>1</v>
      </c>
      <c r="N271">
        <v>0.22</v>
      </c>
      <c r="O271">
        <v>269</v>
      </c>
      <c r="P271">
        <v>270</v>
      </c>
      <c r="Q271">
        <v>0.19700000000000001</v>
      </c>
      <c r="R271">
        <v>0.44</v>
      </c>
      <c r="S271">
        <v>0.32840000000000003</v>
      </c>
      <c r="T271">
        <v>5</v>
      </c>
      <c r="U271">
        <v>63</v>
      </c>
      <c r="V271">
        <v>68</v>
      </c>
    </row>
    <row r="272" spans="1:22" x14ac:dyDescent="0.3">
      <c r="A272">
        <v>271</v>
      </c>
      <c r="B272" s="1">
        <v>40555</v>
      </c>
      <c r="C272">
        <v>1</v>
      </c>
      <c r="D272">
        <v>0</v>
      </c>
      <c r="E272" t="str">
        <f>TEXT(Append1[[#This Row],[dteday]],"MMMM")</f>
        <v>January</v>
      </c>
      <c r="F272">
        <v>1</v>
      </c>
      <c r="G272">
        <v>17</v>
      </c>
      <c r="H272" t="b">
        <v>0</v>
      </c>
      <c r="I272" t="str">
        <f>TEXT(Append1[[#This Row],[dteday]],"DDDD")</f>
        <v>Wednesday</v>
      </c>
      <c r="J272" t="str" cm="1">
        <f t="array" ref="J272">_xlfn.IFS(Append1[[#This Row],[weekday cnt]]=0,"Weekend",Append1[[#This Row],[weekday cnt]]=6,"Weekend",Append1[[#This Row],[weekday cnt]]&gt;0,"Weekday")</f>
        <v>Weekday</v>
      </c>
      <c r="K272">
        <v>3</v>
      </c>
      <c r="L272" t="str" cm="1">
        <f t="array" ref="L2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2">
        <v>1</v>
      </c>
      <c r="N272">
        <v>0.2</v>
      </c>
      <c r="O272">
        <v>270</v>
      </c>
      <c r="P272">
        <v>271</v>
      </c>
      <c r="Q272">
        <v>0.18179999999999999</v>
      </c>
      <c r="R272">
        <v>0.47</v>
      </c>
      <c r="S272">
        <v>0.35820000000000002</v>
      </c>
      <c r="T272">
        <v>0</v>
      </c>
      <c r="U272">
        <v>139</v>
      </c>
      <c r="V272">
        <v>139</v>
      </c>
    </row>
    <row r="273" spans="1:22" x14ac:dyDescent="0.3">
      <c r="A273">
        <v>272</v>
      </c>
      <c r="B273" s="1">
        <v>40555</v>
      </c>
      <c r="C273">
        <v>1</v>
      </c>
      <c r="D273">
        <v>0</v>
      </c>
      <c r="E273" t="str">
        <f>TEXT(Append1[[#This Row],[dteday]],"MMMM")</f>
        <v>January</v>
      </c>
      <c r="F273">
        <v>1</v>
      </c>
      <c r="G273">
        <v>18</v>
      </c>
      <c r="H273" t="b">
        <v>0</v>
      </c>
      <c r="I273" t="str">
        <f>TEXT(Append1[[#This Row],[dteday]],"DDDD")</f>
        <v>Wednesday</v>
      </c>
      <c r="J273" t="str" cm="1">
        <f t="array" ref="J273">_xlfn.IFS(Append1[[#This Row],[weekday cnt]]=0,"Weekend",Append1[[#This Row],[weekday cnt]]=6,"Weekend",Append1[[#This Row],[weekday cnt]]&gt;0,"Weekday")</f>
        <v>Weekday</v>
      </c>
      <c r="K273">
        <v>3</v>
      </c>
      <c r="L273" t="str" cm="1">
        <f t="array" ref="L2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3">
        <v>1</v>
      </c>
      <c r="N273">
        <v>0.2</v>
      </c>
      <c r="O273">
        <v>271</v>
      </c>
      <c r="P273">
        <v>272</v>
      </c>
      <c r="Q273">
        <v>0.1515</v>
      </c>
      <c r="R273">
        <v>0.47</v>
      </c>
      <c r="S273">
        <v>0.52239999999999998</v>
      </c>
      <c r="T273">
        <v>2</v>
      </c>
      <c r="U273">
        <v>135</v>
      </c>
      <c r="V273">
        <v>137</v>
      </c>
    </row>
    <row r="274" spans="1:22" x14ac:dyDescent="0.3">
      <c r="A274">
        <v>273</v>
      </c>
      <c r="B274" s="1">
        <v>40555</v>
      </c>
      <c r="C274">
        <v>1</v>
      </c>
      <c r="D274">
        <v>0</v>
      </c>
      <c r="E274" t="str">
        <f>TEXT(Append1[[#This Row],[dteday]],"MMMM")</f>
        <v>January</v>
      </c>
      <c r="F274">
        <v>1</v>
      </c>
      <c r="G274">
        <v>19</v>
      </c>
      <c r="H274" t="b">
        <v>0</v>
      </c>
      <c r="I274" t="str">
        <f>TEXT(Append1[[#This Row],[dteday]],"DDDD")</f>
        <v>Wednesday</v>
      </c>
      <c r="J274" t="str" cm="1">
        <f t="array" ref="J274">_xlfn.IFS(Append1[[#This Row],[weekday cnt]]=0,"Weekend",Append1[[#This Row],[weekday cnt]]=6,"Weekend",Append1[[#This Row],[weekday cnt]]&gt;0,"Weekday")</f>
        <v>Weekday</v>
      </c>
      <c r="K274">
        <v>3</v>
      </c>
      <c r="L274" t="str" cm="1">
        <f t="array" ref="L2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4">
        <v>1</v>
      </c>
      <c r="N274">
        <v>0.18</v>
      </c>
      <c r="O274">
        <v>272</v>
      </c>
      <c r="P274">
        <v>273</v>
      </c>
      <c r="Q274">
        <v>0.1515</v>
      </c>
      <c r="R274">
        <v>0.47</v>
      </c>
      <c r="S274">
        <v>0.41789999999999999</v>
      </c>
      <c r="T274">
        <v>1</v>
      </c>
      <c r="U274">
        <v>82</v>
      </c>
      <c r="V274">
        <v>83</v>
      </c>
    </row>
    <row r="275" spans="1:22" x14ac:dyDescent="0.3">
      <c r="A275">
        <v>274</v>
      </c>
      <c r="B275" s="1">
        <v>40555</v>
      </c>
      <c r="C275">
        <v>1</v>
      </c>
      <c r="D275">
        <v>0</v>
      </c>
      <c r="E275" t="str">
        <f>TEXT(Append1[[#This Row],[dteday]],"MMMM")</f>
        <v>January</v>
      </c>
      <c r="F275">
        <v>1</v>
      </c>
      <c r="G275">
        <v>20</v>
      </c>
      <c r="H275" t="b">
        <v>0</v>
      </c>
      <c r="I275" t="str">
        <f>TEXT(Append1[[#This Row],[dteday]],"DDDD")</f>
        <v>Wednesday</v>
      </c>
      <c r="J275" t="str" cm="1">
        <f t="array" ref="J275">_xlfn.IFS(Append1[[#This Row],[weekday cnt]]=0,"Weekend",Append1[[#This Row],[weekday cnt]]=6,"Weekend",Append1[[#This Row],[weekday cnt]]&gt;0,"Weekday")</f>
        <v>Weekday</v>
      </c>
      <c r="K275">
        <v>3</v>
      </c>
      <c r="L275" t="str" cm="1">
        <f t="array" ref="L2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5">
        <v>1</v>
      </c>
      <c r="N275">
        <v>0.16</v>
      </c>
      <c r="O275">
        <v>273</v>
      </c>
      <c r="P275">
        <v>274</v>
      </c>
      <c r="Q275">
        <v>0.13639999999999999</v>
      </c>
      <c r="R275">
        <v>0.5</v>
      </c>
      <c r="S275">
        <v>0.32840000000000003</v>
      </c>
      <c r="T275">
        <v>2</v>
      </c>
      <c r="U275">
        <v>54</v>
      </c>
      <c r="V275">
        <v>56</v>
      </c>
    </row>
    <row r="276" spans="1:22" x14ac:dyDescent="0.3">
      <c r="A276">
        <v>275</v>
      </c>
      <c r="B276" s="1">
        <v>40555</v>
      </c>
      <c r="C276">
        <v>1</v>
      </c>
      <c r="D276">
        <v>0</v>
      </c>
      <c r="E276" t="str">
        <f>TEXT(Append1[[#This Row],[dteday]],"MMMM")</f>
        <v>January</v>
      </c>
      <c r="F276">
        <v>1</v>
      </c>
      <c r="G276">
        <v>21</v>
      </c>
      <c r="H276" t="b">
        <v>0</v>
      </c>
      <c r="I276" t="str">
        <f>TEXT(Append1[[#This Row],[dteday]],"DDDD")</f>
        <v>Wednesday</v>
      </c>
      <c r="J276" t="str" cm="1">
        <f t="array" ref="J276">_xlfn.IFS(Append1[[#This Row],[weekday cnt]]=0,"Weekend",Append1[[#This Row],[weekday cnt]]=6,"Weekend",Append1[[#This Row],[weekday cnt]]&gt;0,"Weekday")</f>
        <v>Weekday</v>
      </c>
      <c r="K276">
        <v>3</v>
      </c>
      <c r="L276" t="str" cm="1">
        <f t="array" ref="L2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6">
        <v>1</v>
      </c>
      <c r="N276">
        <v>0.16</v>
      </c>
      <c r="O276">
        <v>274</v>
      </c>
      <c r="P276">
        <v>275</v>
      </c>
      <c r="Q276">
        <v>0.13639999999999999</v>
      </c>
      <c r="R276">
        <v>0.55000000000000004</v>
      </c>
      <c r="S276">
        <v>0.32840000000000003</v>
      </c>
      <c r="T276">
        <v>0</v>
      </c>
      <c r="U276">
        <v>57</v>
      </c>
      <c r="V276">
        <v>57</v>
      </c>
    </row>
    <row r="277" spans="1:22" x14ac:dyDescent="0.3">
      <c r="A277">
        <v>276</v>
      </c>
      <c r="B277" s="1">
        <v>40555</v>
      </c>
      <c r="C277">
        <v>1</v>
      </c>
      <c r="D277">
        <v>0</v>
      </c>
      <c r="E277" t="str">
        <f>TEXT(Append1[[#This Row],[dteday]],"MMMM")</f>
        <v>January</v>
      </c>
      <c r="F277">
        <v>1</v>
      </c>
      <c r="G277">
        <v>22</v>
      </c>
      <c r="H277" t="b">
        <v>0</v>
      </c>
      <c r="I277" t="str">
        <f>TEXT(Append1[[#This Row],[dteday]],"DDDD")</f>
        <v>Wednesday</v>
      </c>
      <c r="J277" t="str" cm="1">
        <f t="array" ref="J277">_xlfn.IFS(Append1[[#This Row],[weekday cnt]]=0,"Weekend",Append1[[#This Row],[weekday cnt]]=6,"Weekend",Append1[[#This Row],[weekday cnt]]&gt;0,"Weekday")</f>
        <v>Weekday</v>
      </c>
      <c r="K277">
        <v>3</v>
      </c>
      <c r="L277" t="str" cm="1">
        <f t="array" ref="L2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7">
        <v>1</v>
      </c>
      <c r="N277">
        <v>0.16</v>
      </c>
      <c r="O277">
        <v>275</v>
      </c>
      <c r="P277">
        <v>276</v>
      </c>
      <c r="Q277">
        <v>0.1212</v>
      </c>
      <c r="R277">
        <v>0.55000000000000004</v>
      </c>
      <c r="S277">
        <v>0.44779999999999998</v>
      </c>
      <c r="T277">
        <v>1</v>
      </c>
      <c r="U277">
        <v>32</v>
      </c>
      <c r="V277">
        <v>33</v>
      </c>
    </row>
    <row r="278" spans="1:22" x14ac:dyDescent="0.3">
      <c r="A278">
        <v>277</v>
      </c>
      <c r="B278" s="1">
        <v>40555</v>
      </c>
      <c r="C278">
        <v>1</v>
      </c>
      <c r="D278">
        <v>0</v>
      </c>
      <c r="E278" t="str">
        <f>TEXT(Append1[[#This Row],[dteday]],"MMMM")</f>
        <v>January</v>
      </c>
      <c r="F278">
        <v>1</v>
      </c>
      <c r="G278">
        <v>23</v>
      </c>
      <c r="H278" t="b">
        <v>0</v>
      </c>
      <c r="I278" t="str">
        <f>TEXT(Append1[[#This Row],[dteday]],"DDDD")</f>
        <v>Wednesday</v>
      </c>
      <c r="J278" t="str" cm="1">
        <f t="array" ref="J278">_xlfn.IFS(Append1[[#This Row],[weekday cnt]]=0,"Weekend",Append1[[#This Row],[weekday cnt]]=6,"Weekend",Append1[[#This Row],[weekday cnt]]&gt;0,"Weekday")</f>
        <v>Weekday</v>
      </c>
      <c r="K278">
        <v>3</v>
      </c>
      <c r="L278" t="str" cm="1">
        <f t="array" ref="L2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8">
        <v>1</v>
      </c>
      <c r="N278">
        <v>0.14000000000000001</v>
      </c>
      <c r="O278">
        <v>276</v>
      </c>
      <c r="P278">
        <v>277</v>
      </c>
      <c r="Q278">
        <v>0.1061</v>
      </c>
      <c r="R278">
        <v>0.59</v>
      </c>
      <c r="S278">
        <v>0.41789999999999999</v>
      </c>
      <c r="T278">
        <v>1</v>
      </c>
      <c r="U278">
        <v>19</v>
      </c>
      <c r="V278">
        <v>20</v>
      </c>
    </row>
    <row r="279" spans="1:22" x14ac:dyDescent="0.3">
      <c r="A279">
        <v>278</v>
      </c>
      <c r="B279" s="1">
        <v>40556</v>
      </c>
      <c r="C279">
        <v>1</v>
      </c>
      <c r="D279">
        <v>0</v>
      </c>
      <c r="E279" t="str">
        <f>TEXT(Append1[[#This Row],[dteday]],"MMMM")</f>
        <v>January</v>
      </c>
      <c r="F279">
        <v>1</v>
      </c>
      <c r="G279">
        <v>0</v>
      </c>
      <c r="H279" t="b">
        <v>0</v>
      </c>
      <c r="I279" t="str">
        <f>TEXT(Append1[[#This Row],[dteday]],"DDDD")</f>
        <v>Thursday</v>
      </c>
      <c r="J279" t="str" cm="1">
        <f t="array" ref="J279">_xlfn.IFS(Append1[[#This Row],[weekday cnt]]=0,"Weekend",Append1[[#This Row],[weekday cnt]]=6,"Weekend",Append1[[#This Row],[weekday cnt]]&gt;0,"Weekday")</f>
        <v>Weekday</v>
      </c>
      <c r="K279">
        <v>4</v>
      </c>
      <c r="L279" t="str" cm="1">
        <f t="array" ref="L2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79">
        <v>1</v>
      </c>
      <c r="N279">
        <v>0.14000000000000001</v>
      </c>
      <c r="O279">
        <v>277</v>
      </c>
      <c r="P279">
        <v>278</v>
      </c>
      <c r="Q279">
        <v>0.1212</v>
      </c>
      <c r="R279">
        <v>0.59</v>
      </c>
      <c r="S279">
        <v>0.28360000000000002</v>
      </c>
      <c r="T279">
        <v>1</v>
      </c>
      <c r="U279">
        <v>6</v>
      </c>
      <c r="V279">
        <v>7</v>
      </c>
    </row>
    <row r="280" spans="1:22" x14ac:dyDescent="0.3">
      <c r="A280">
        <v>279</v>
      </c>
      <c r="B280" s="1">
        <v>40556</v>
      </c>
      <c r="C280">
        <v>1</v>
      </c>
      <c r="D280">
        <v>0</v>
      </c>
      <c r="E280" t="str">
        <f>TEXT(Append1[[#This Row],[dteday]],"MMMM")</f>
        <v>January</v>
      </c>
      <c r="F280">
        <v>1</v>
      </c>
      <c r="G280">
        <v>1</v>
      </c>
      <c r="H280" t="b">
        <v>0</v>
      </c>
      <c r="I280" t="str">
        <f>TEXT(Append1[[#This Row],[dteday]],"DDDD")</f>
        <v>Thursday</v>
      </c>
      <c r="J280" t="str" cm="1">
        <f t="array" ref="J280">_xlfn.IFS(Append1[[#This Row],[weekday cnt]]=0,"Weekend",Append1[[#This Row],[weekday cnt]]=6,"Weekend",Append1[[#This Row],[weekday cnt]]&gt;0,"Weekday")</f>
        <v>Weekday</v>
      </c>
      <c r="K280">
        <v>4</v>
      </c>
      <c r="L280" t="str" cm="1">
        <f t="array" ref="L2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80">
        <v>1</v>
      </c>
      <c r="N280">
        <v>0.14000000000000001</v>
      </c>
      <c r="O280">
        <v>278</v>
      </c>
      <c r="P280">
        <v>279</v>
      </c>
      <c r="Q280">
        <v>0.1212</v>
      </c>
      <c r="R280">
        <v>0.5</v>
      </c>
      <c r="S280">
        <v>0.28360000000000002</v>
      </c>
      <c r="T280">
        <v>0</v>
      </c>
      <c r="U280">
        <v>2</v>
      </c>
      <c r="V280">
        <v>2</v>
      </c>
    </row>
    <row r="281" spans="1:22" x14ac:dyDescent="0.3">
      <c r="A281">
        <v>280</v>
      </c>
      <c r="B281" s="1">
        <v>40556</v>
      </c>
      <c r="C281">
        <v>1</v>
      </c>
      <c r="D281">
        <v>0</v>
      </c>
      <c r="E281" t="str">
        <f>TEXT(Append1[[#This Row],[dteday]],"MMMM")</f>
        <v>January</v>
      </c>
      <c r="F281">
        <v>1</v>
      </c>
      <c r="G281">
        <v>2</v>
      </c>
      <c r="H281" t="b">
        <v>0</v>
      </c>
      <c r="I281" t="str">
        <f>TEXT(Append1[[#This Row],[dteday]],"DDDD")</f>
        <v>Thursday</v>
      </c>
      <c r="J281" t="str" cm="1">
        <f t="array" ref="J281">_xlfn.IFS(Append1[[#This Row],[weekday cnt]]=0,"Weekend",Append1[[#This Row],[weekday cnt]]=6,"Weekend",Append1[[#This Row],[weekday cnt]]&gt;0,"Weekday")</f>
        <v>Weekday</v>
      </c>
      <c r="K281">
        <v>4</v>
      </c>
      <c r="L281" t="str" cm="1">
        <f t="array" ref="L2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81">
        <v>1</v>
      </c>
      <c r="N281">
        <v>0.14000000000000001</v>
      </c>
      <c r="O281">
        <v>279</v>
      </c>
      <c r="P281">
        <v>280</v>
      </c>
      <c r="Q281">
        <v>0.1212</v>
      </c>
      <c r="R281">
        <v>0.5</v>
      </c>
      <c r="S281">
        <v>0.35820000000000002</v>
      </c>
      <c r="T281">
        <v>0</v>
      </c>
      <c r="U281">
        <v>2</v>
      </c>
      <c r="V281">
        <v>2</v>
      </c>
    </row>
    <row r="282" spans="1:22" x14ac:dyDescent="0.3">
      <c r="A282">
        <v>281</v>
      </c>
      <c r="B282" s="1">
        <v>40556</v>
      </c>
      <c r="C282">
        <v>1</v>
      </c>
      <c r="D282">
        <v>0</v>
      </c>
      <c r="E282" t="str">
        <f>TEXT(Append1[[#This Row],[dteday]],"MMMM")</f>
        <v>January</v>
      </c>
      <c r="F282">
        <v>1</v>
      </c>
      <c r="G282">
        <v>3</v>
      </c>
      <c r="H282" t="b">
        <v>0</v>
      </c>
      <c r="I282" t="str">
        <f>TEXT(Append1[[#This Row],[dteday]],"DDDD")</f>
        <v>Thursday</v>
      </c>
      <c r="J282" t="str" cm="1">
        <f t="array" ref="J282">_xlfn.IFS(Append1[[#This Row],[weekday cnt]]=0,"Weekend",Append1[[#This Row],[weekday cnt]]=6,"Weekend",Append1[[#This Row],[weekday cnt]]&gt;0,"Weekday")</f>
        <v>Weekday</v>
      </c>
      <c r="K282">
        <v>4</v>
      </c>
      <c r="L282" t="str" cm="1">
        <f t="array" ref="L2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82">
        <v>1</v>
      </c>
      <c r="N282">
        <v>0.14000000000000001</v>
      </c>
      <c r="O282">
        <v>280</v>
      </c>
      <c r="P282">
        <v>281</v>
      </c>
      <c r="Q282">
        <v>0.1212</v>
      </c>
      <c r="R282">
        <v>0.5</v>
      </c>
      <c r="S282">
        <v>0.32840000000000003</v>
      </c>
      <c r="T282">
        <v>0</v>
      </c>
      <c r="U282">
        <v>3</v>
      </c>
      <c r="V282">
        <v>3</v>
      </c>
    </row>
    <row r="283" spans="1:22" x14ac:dyDescent="0.3">
      <c r="A283">
        <v>282</v>
      </c>
      <c r="B283" s="1">
        <v>40556</v>
      </c>
      <c r="C283">
        <v>1</v>
      </c>
      <c r="D283">
        <v>0</v>
      </c>
      <c r="E283" t="str">
        <f>TEXT(Append1[[#This Row],[dteday]],"MMMM")</f>
        <v>January</v>
      </c>
      <c r="F283">
        <v>1</v>
      </c>
      <c r="G283">
        <v>4</v>
      </c>
      <c r="H283" t="b">
        <v>0</v>
      </c>
      <c r="I283" t="str">
        <f>TEXT(Append1[[#This Row],[dteday]],"DDDD")</f>
        <v>Thursday</v>
      </c>
      <c r="J283" t="str" cm="1">
        <f t="array" ref="J283">_xlfn.IFS(Append1[[#This Row],[weekday cnt]]=0,"Weekend",Append1[[#This Row],[weekday cnt]]=6,"Weekend",Append1[[#This Row],[weekday cnt]]&gt;0,"Weekday")</f>
        <v>Weekday</v>
      </c>
      <c r="K283">
        <v>4</v>
      </c>
      <c r="L283" t="str" cm="1">
        <f t="array" ref="L2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83">
        <v>1</v>
      </c>
      <c r="N283">
        <v>0.14000000000000001</v>
      </c>
      <c r="O283">
        <v>281</v>
      </c>
      <c r="P283">
        <v>282</v>
      </c>
      <c r="Q283">
        <v>0.1212</v>
      </c>
      <c r="R283">
        <v>0.5</v>
      </c>
      <c r="S283">
        <v>0.25369999999999998</v>
      </c>
      <c r="T283">
        <v>0</v>
      </c>
      <c r="U283">
        <v>4</v>
      </c>
      <c r="V283">
        <v>4</v>
      </c>
    </row>
    <row r="284" spans="1:22" x14ac:dyDescent="0.3">
      <c r="A284">
        <v>283</v>
      </c>
      <c r="B284" s="1">
        <v>40556</v>
      </c>
      <c r="C284">
        <v>1</v>
      </c>
      <c r="D284">
        <v>0</v>
      </c>
      <c r="E284" t="str">
        <f>TEXT(Append1[[#This Row],[dteday]],"MMMM")</f>
        <v>January</v>
      </c>
      <c r="F284">
        <v>1</v>
      </c>
      <c r="G284">
        <v>5</v>
      </c>
      <c r="H284" t="b">
        <v>0</v>
      </c>
      <c r="I284" t="str">
        <f>TEXT(Append1[[#This Row],[dteday]],"DDDD")</f>
        <v>Thursday</v>
      </c>
      <c r="J284" t="str" cm="1">
        <f t="array" ref="J284">_xlfn.IFS(Append1[[#This Row],[weekday cnt]]=0,"Weekend",Append1[[#This Row],[weekday cnt]]=6,"Weekend",Append1[[#This Row],[weekday cnt]]&gt;0,"Weekday")</f>
        <v>Weekday</v>
      </c>
      <c r="K284">
        <v>4</v>
      </c>
      <c r="L284" t="str" cm="1">
        <f t="array" ref="L2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84">
        <v>1</v>
      </c>
      <c r="N284">
        <v>0.14000000000000001</v>
      </c>
      <c r="O284">
        <v>282</v>
      </c>
      <c r="P284">
        <v>283</v>
      </c>
      <c r="Q284">
        <v>0.1212</v>
      </c>
      <c r="R284">
        <v>0.5</v>
      </c>
      <c r="S284">
        <v>0.29849999999999999</v>
      </c>
      <c r="T284">
        <v>0</v>
      </c>
      <c r="U284">
        <v>3</v>
      </c>
      <c r="V284">
        <v>3</v>
      </c>
    </row>
    <row r="285" spans="1:22" x14ac:dyDescent="0.3">
      <c r="A285">
        <v>284</v>
      </c>
      <c r="B285" s="1">
        <v>40556</v>
      </c>
      <c r="C285">
        <v>1</v>
      </c>
      <c r="D285">
        <v>0</v>
      </c>
      <c r="E285" t="str">
        <f>TEXT(Append1[[#This Row],[dteday]],"MMMM")</f>
        <v>January</v>
      </c>
      <c r="F285">
        <v>1</v>
      </c>
      <c r="G285">
        <v>6</v>
      </c>
      <c r="H285" t="b">
        <v>0</v>
      </c>
      <c r="I285" t="str">
        <f>TEXT(Append1[[#This Row],[dteday]],"DDDD")</f>
        <v>Thursday</v>
      </c>
      <c r="J285" t="str" cm="1">
        <f t="array" ref="J285">_xlfn.IFS(Append1[[#This Row],[weekday cnt]]=0,"Weekend",Append1[[#This Row],[weekday cnt]]=6,"Weekend",Append1[[#This Row],[weekday cnt]]&gt;0,"Weekday")</f>
        <v>Weekday</v>
      </c>
      <c r="K285">
        <v>4</v>
      </c>
      <c r="L285" t="str" cm="1">
        <f t="array" ref="L2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85">
        <v>1</v>
      </c>
      <c r="N285">
        <v>0.12</v>
      </c>
      <c r="O285">
        <v>283</v>
      </c>
      <c r="P285">
        <v>284</v>
      </c>
      <c r="Q285">
        <v>0.1515</v>
      </c>
      <c r="R285">
        <v>0.54</v>
      </c>
      <c r="S285">
        <v>0.1343</v>
      </c>
      <c r="T285">
        <v>0</v>
      </c>
      <c r="U285">
        <v>28</v>
      </c>
      <c r="V285">
        <v>28</v>
      </c>
    </row>
    <row r="286" spans="1:22" x14ac:dyDescent="0.3">
      <c r="A286">
        <v>285</v>
      </c>
      <c r="B286" s="1">
        <v>40556</v>
      </c>
      <c r="C286">
        <v>1</v>
      </c>
      <c r="D286">
        <v>0</v>
      </c>
      <c r="E286" t="str">
        <f>TEXT(Append1[[#This Row],[dteday]],"MMMM")</f>
        <v>January</v>
      </c>
      <c r="F286">
        <v>1</v>
      </c>
      <c r="G286">
        <v>7</v>
      </c>
      <c r="H286" t="b">
        <v>0</v>
      </c>
      <c r="I286" t="str">
        <f>TEXT(Append1[[#This Row],[dteday]],"DDDD")</f>
        <v>Thursday</v>
      </c>
      <c r="J286" t="str" cm="1">
        <f t="array" ref="J286">_xlfn.IFS(Append1[[#This Row],[weekday cnt]]=0,"Weekend",Append1[[#This Row],[weekday cnt]]=6,"Weekend",Append1[[#This Row],[weekday cnt]]&gt;0,"Weekday")</f>
        <v>Weekday</v>
      </c>
      <c r="K286">
        <v>4</v>
      </c>
      <c r="L286" t="str" cm="1">
        <f t="array" ref="L2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86">
        <v>1</v>
      </c>
      <c r="N286">
        <v>0.12</v>
      </c>
      <c r="O286">
        <v>284</v>
      </c>
      <c r="P286">
        <v>285</v>
      </c>
      <c r="Q286">
        <v>0.1515</v>
      </c>
      <c r="R286">
        <v>0.54</v>
      </c>
      <c r="S286">
        <v>0.1343</v>
      </c>
      <c r="T286">
        <v>0</v>
      </c>
      <c r="U286">
        <v>72</v>
      </c>
      <c r="V286">
        <v>72</v>
      </c>
    </row>
    <row r="287" spans="1:22" x14ac:dyDescent="0.3">
      <c r="A287">
        <v>286</v>
      </c>
      <c r="B287" s="1">
        <v>40556</v>
      </c>
      <c r="C287">
        <v>1</v>
      </c>
      <c r="D287">
        <v>0</v>
      </c>
      <c r="E287" t="str">
        <f>TEXT(Append1[[#This Row],[dteday]],"MMMM")</f>
        <v>January</v>
      </c>
      <c r="F287">
        <v>1</v>
      </c>
      <c r="G287">
        <v>8</v>
      </c>
      <c r="H287" t="b">
        <v>0</v>
      </c>
      <c r="I287" t="str">
        <f>TEXT(Append1[[#This Row],[dteday]],"DDDD")</f>
        <v>Thursday</v>
      </c>
      <c r="J287" t="str" cm="1">
        <f t="array" ref="J287">_xlfn.IFS(Append1[[#This Row],[weekday cnt]]=0,"Weekend",Append1[[#This Row],[weekday cnt]]=6,"Weekend",Append1[[#This Row],[weekday cnt]]&gt;0,"Weekday")</f>
        <v>Weekday</v>
      </c>
      <c r="K287">
        <v>4</v>
      </c>
      <c r="L287" t="str" cm="1">
        <f t="array" ref="L2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87">
        <v>1</v>
      </c>
      <c r="N287">
        <v>0.14000000000000001</v>
      </c>
      <c r="O287">
        <v>285</v>
      </c>
      <c r="P287">
        <v>286</v>
      </c>
      <c r="Q287">
        <v>0.13639999999999999</v>
      </c>
      <c r="R287">
        <v>0.5</v>
      </c>
      <c r="S287">
        <v>0.19400000000000001</v>
      </c>
      <c r="T287">
        <v>5</v>
      </c>
      <c r="U287">
        <v>197</v>
      </c>
      <c r="V287">
        <v>202</v>
      </c>
    </row>
    <row r="288" spans="1:22" x14ac:dyDescent="0.3">
      <c r="A288">
        <v>287</v>
      </c>
      <c r="B288" s="1">
        <v>40556</v>
      </c>
      <c r="C288">
        <v>1</v>
      </c>
      <c r="D288">
        <v>0</v>
      </c>
      <c r="E288" t="str">
        <f>TEXT(Append1[[#This Row],[dteday]],"MMMM")</f>
        <v>January</v>
      </c>
      <c r="F288">
        <v>1</v>
      </c>
      <c r="G288">
        <v>9</v>
      </c>
      <c r="H288" t="b">
        <v>0</v>
      </c>
      <c r="I288" t="str">
        <f>TEXT(Append1[[#This Row],[dteday]],"DDDD")</f>
        <v>Thursday</v>
      </c>
      <c r="J288" t="str" cm="1">
        <f t="array" ref="J288">_xlfn.IFS(Append1[[#This Row],[weekday cnt]]=0,"Weekend",Append1[[#This Row],[weekday cnt]]=6,"Weekend",Append1[[#This Row],[weekday cnt]]&gt;0,"Weekday")</f>
        <v>Weekday</v>
      </c>
      <c r="K288">
        <v>4</v>
      </c>
      <c r="L288" t="str" cm="1">
        <f t="array" ref="L2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88">
        <v>1</v>
      </c>
      <c r="N288">
        <v>0.14000000000000001</v>
      </c>
      <c r="O288">
        <v>286</v>
      </c>
      <c r="P288">
        <v>287</v>
      </c>
      <c r="Q288">
        <v>0.1212</v>
      </c>
      <c r="R288">
        <v>0.5</v>
      </c>
      <c r="S288">
        <v>0.32840000000000003</v>
      </c>
      <c r="T288">
        <v>2</v>
      </c>
      <c r="U288">
        <v>137</v>
      </c>
      <c r="V288">
        <v>139</v>
      </c>
    </row>
    <row r="289" spans="1:22" x14ac:dyDescent="0.3">
      <c r="A289">
        <v>288</v>
      </c>
      <c r="B289" s="1">
        <v>40556</v>
      </c>
      <c r="C289">
        <v>1</v>
      </c>
      <c r="D289">
        <v>0</v>
      </c>
      <c r="E289" t="str">
        <f>TEXT(Append1[[#This Row],[dteday]],"MMMM")</f>
        <v>January</v>
      </c>
      <c r="F289">
        <v>1</v>
      </c>
      <c r="G289">
        <v>10</v>
      </c>
      <c r="H289" t="b">
        <v>0</v>
      </c>
      <c r="I289" t="str">
        <f>TEXT(Append1[[#This Row],[dteday]],"DDDD")</f>
        <v>Thursday</v>
      </c>
      <c r="J289" t="str" cm="1">
        <f t="array" ref="J289">_xlfn.IFS(Append1[[#This Row],[weekday cnt]]=0,"Weekend",Append1[[#This Row],[weekday cnt]]=6,"Weekend",Append1[[#This Row],[weekday cnt]]&gt;0,"Weekday")</f>
        <v>Weekday</v>
      </c>
      <c r="K289">
        <v>4</v>
      </c>
      <c r="L289" t="str" cm="1">
        <f t="array" ref="L2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89">
        <v>2</v>
      </c>
      <c r="N289">
        <v>0.16</v>
      </c>
      <c r="O289">
        <v>287</v>
      </c>
      <c r="P289">
        <v>288</v>
      </c>
      <c r="Q289">
        <v>0.13639999999999999</v>
      </c>
      <c r="R289">
        <v>0.5</v>
      </c>
      <c r="S289">
        <v>0.35820000000000002</v>
      </c>
      <c r="T289">
        <v>2</v>
      </c>
      <c r="U289">
        <v>36</v>
      </c>
      <c r="V289">
        <v>38</v>
      </c>
    </row>
    <row r="290" spans="1:22" x14ac:dyDescent="0.3">
      <c r="A290">
        <v>289</v>
      </c>
      <c r="B290" s="1">
        <v>40556</v>
      </c>
      <c r="C290">
        <v>1</v>
      </c>
      <c r="D290">
        <v>0</v>
      </c>
      <c r="E290" t="str">
        <f>TEXT(Append1[[#This Row],[dteday]],"MMMM")</f>
        <v>January</v>
      </c>
      <c r="F290">
        <v>1</v>
      </c>
      <c r="G290">
        <v>11</v>
      </c>
      <c r="H290" t="b">
        <v>0</v>
      </c>
      <c r="I290" t="str">
        <f>TEXT(Append1[[#This Row],[dteday]],"DDDD")</f>
        <v>Thursday</v>
      </c>
      <c r="J290" t="str" cm="1">
        <f t="array" ref="J290">_xlfn.IFS(Append1[[#This Row],[weekday cnt]]=0,"Weekend",Append1[[#This Row],[weekday cnt]]=6,"Weekend",Append1[[#This Row],[weekday cnt]]&gt;0,"Weekday")</f>
        <v>Weekday</v>
      </c>
      <c r="K290">
        <v>4</v>
      </c>
      <c r="L290" t="str" cm="1">
        <f t="array" ref="L2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290">
        <v>2</v>
      </c>
      <c r="N290">
        <v>0.2</v>
      </c>
      <c r="O290">
        <v>288</v>
      </c>
      <c r="P290">
        <v>289</v>
      </c>
      <c r="Q290">
        <v>0.16669999999999999</v>
      </c>
      <c r="R290">
        <v>0.44</v>
      </c>
      <c r="S290">
        <v>0.44779999999999998</v>
      </c>
      <c r="T290">
        <v>4</v>
      </c>
      <c r="U290">
        <v>33</v>
      </c>
      <c r="V290">
        <v>37</v>
      </c>
    </row>
    <row r="291" spans="1:22" x14ac:dyDescent="0.3">
      <c r="A291">
        <v>290</v>
      </c>
      <c r="B291" s="1">
        <v>40556</v>
      </c>
      <c r="C291">
        <v>1</v>
      </c>
      <c r="D291">
        <v>0</v>
      </c>
      <c r="E291" t="str">
        <f>TEXT(Append1[[#This Row],[dteday]],"MMMM")</f>
        <v>January</v>
      </c>
      <c r="F291">
        <v>1</v>
      </c>
      <c r="G291">
        <v>12</v>
      </c>
      <c r="H291" t="b">
        <v>0</v>
      </c>
      <c r="I291" t="str">
        <f>TEXT(Append1[[#This Row],[dteday]],"DDDD")</f>
        <v>Thursday</v>
      </c>
      <c r="J291" t="str" cm="1">
        <f t="array" ref="J291">_xlfn.IFS(Append1[[#This Row],[weekday cnt]]=0,"Weekend",Append1[[#This Row],[weekday cnt]]=6,"Weekend",Append1[[#This Row],[weekday cnt]]&gt;0,"Weekday")</f>
        <v>Weekday</v>
      </c>
      <c r="K291">
        <v>4</v>
      </c>
      <c r="L291" t="str" cm="1">
        <f t="array" ref="L2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91">
        <v>1</v>
      </c>
      <c r="N291">
        <v>0.2</v>
      </c>
      <c r="O291">
        <v>289</v>
      </c>
      <c r="P291">
        <v>290</v>
      </c>
      <c r="Q291">
        <v>0.16669999999999999</v>
      </c>
      <c r="R291">
        <v>0.44</v>
      </c>
      <c r="S291">
        <v>0.41789999999999999</v>
      </c>
      <c r="T291">
        <v>3</v>
      </c>
      <c r="U291">
        <v>49</v>
      </c>
      <c r="V291">
        <v>52</v>
      </c>
    </row>
    <row r="292" spans="1:22" x14ac:dyDescent="0.3">
      <c r="A292">
        <v>291</v>
      </c>
      <c r="B292" s="1">
        <v>40556</v>
      </c>
      <c r="C292">
        <v>1</v>
      </c>
      <c r="D292">
        <v>0</v>
      </c>
      <c r="E292" t="str">
        <f>TEXT(Append1[[#This Row],[dteday]],"MMMM")</f>
        <v>January</v>
      </c>
      <c r="F292">
        <v>1</v>
      </c>
      <c r="G292">
        <v>13</v>
      </c>
      <c r="H292" t="b">
        <v>0</v>
      </c>
      <c r="I292" t="str">
        <f>TEXT(Append1[[#This Row],[dteday]],"DDDD")</f>
        <v>Thursday</v>
      </c>
      <c r="J292" t="str" cm="1">
        <f t="array" ref="J292">_xlfn.IFS(Append1[[#This Row],[weekday cnt]]=0,"Weekend",Append1[[#This Row],[weekday cnt]]=6,"Weekend",Append1[[#This Row],[weekday cnt]]&gt;0,"Weekday")</f>
        <v>Weekday</v>
      </c>
      <c r="K292">
        <v>4</v>
      </c>
      <c r="L292" t="str" cm="1">
        <f t="array" ref="L2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92">
        <v>1</v>
      </c>
      <c r="N292">
        <v>0.22</v>
      </c>
      <c r="O292">
        <v>290</v>
      </c>
      <c r="P292">
        <v>291</v>
      </c>
      <c r="Q292">
        <v>0.19700000000000001</v>
      </c>
      <c r="R292">
        <v>0.41</v>
      </c>
      <c r="S292">
        <v>0.44779999999999998</v>
      </c>
      <c r="T292">
        <v>2</v>
      </c>
      <c r="U292">
        <v>81</v>
      </c>
      <c r="V292">
        <v>83</v>
      </c>
    </row>
    <row r="293" spans="1:22" x14ac:dyDescent="0.3">
      <c r="A293">
        <v>292</v>
      </c>
      <c r="B293" s="1">
        <v>40556</v>
      </c>
      <c r="C293">
        <v>1</v>
      </c>
      <c r="D293">
        <v>0</v>
      </c>
      <c r="E293" t="str">
        <f>TEXT(Append1[[#This Row],[dteday]],"MMMM")</f>
        <v>January</v>
      </c>
      <c r="F293">
        <v>1</v>
      </c>
      <c r="G293">
        <v>14</v>
      </c>
      <c r="H293" t="b">
        <v>0</v>
      </c>
      <c r="I293" t="str">
        <f>TEXT(Append1[[#This Row],[dteday]],"DDDD")</f>
        <v>Thursday</v>
      </c>
      <c r="J293" t="str" cm="1">
        <f t="array" ref="J293">_xlfn.IFS(Append1[[#This Row],[weekday cnt]]=0,"Weekend",Append1[[#This Row],[weekday cnt]]=6,"Weekend",Append1[[#This Row],[weekday cnt]]&gt;0,"Weekday")</f>
        <v>Weekday</v>
      </c>
      <c r="K293">
        <v>4</v>
      </c>
      <c r="L293" t="str" cm="1">
        <f t="array" ref="L2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93">
        <v>1</v>
      </c>
      <c r="N293">
        <v>0.22</v>
      </c>
      <c r="O293">
        <v>291</v>
      </c>
      <c r="P293">
        <v>292</v>
      </c>
      <c r="Q293">
        <v>0.19700000000000001</v>
      </c>
      <c r="R293">
        <v>0.41</v>
      </c>
      <c r="S293">
        <v>0.3881</v>
      </c>
      <c r="T293">
        <v>3</v>
      </c>
      <c r="U293">
        <v>39</v>
      </c>
      <c r="V293">
        <v>42</v>
      </c>
    </row>
    <row r="294" spans="1:22" x14ac:dyDescent="0.3">
      <c r="A294">
        <v>293</v>
      </c>
      <c r="B294" s="1">
        <v>40556</v>
      </c>
      <c r="C294">
        <v>1</v>
      </c>
      <c r="D294">
        <v>0</v>
      </c>
      <c r="E294" t="str">
        <f>TEXT(Append1[[#This Row],[dteday]],"MMMM")</f>
        <v>January</v>
      </c>
      <c r="F294">
        <v>1</v>
      </c>
      <c r="G294">
        <v>15</v>
      </c>
      <c r="H294" t="b">
        <v>0</v>
      </c>
      <c r="I294" t="str">
        <f>TEXT(Append1[[#This Row],[dteday]],"DDDD")</f>
        <v>Thursday</v>
      </c>
      <c r="J294" t="str" cm="1">
        <f t="array" ref="J294">_xlfn.IFS(Append1[[#This Row],[weekday cnt]]=0,"Weekend",Append1[[#This Row],[weekday cnt]]=6,"Weekend",Append1[[#This Row],[weekday cnt]]&gt;0,"Weekday")</f>
        <v>Weekday</v>
      </c>
      <c r="K294">
        <v>4</v>
      </c>
      <c r="L294" t="str" cm="1">
        <f t="array" ref="L2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94">
        <v>1</v>
      </c>
      <c r="N294">
        <v>0.24</v>
      </c>
      <c r="O294">
        <v>292</v>
      </c>
      <c r="P294">
        <v>293</v>
      </c>
      <c r="Q294">
        <v>0.21210000000000001</v>
      </c>
      <c r="R294">
        <v>0.38</v>
      </c>
      <c r="S294">
        <v>0.29849999999999999</v>
      </c>
      <c r="T294">
        <v>5</v>
      </c>
      <c r="U294">
        <v>55</v>
      </c>
      <c r="V294">
        <v>60</v>
      </c>
    </row>
    <row r="295" spans="1:22" x14ac:dyDescent="0.3">
      <c r="A295">
        <v>294</v>
      </c>
      <c r="B295" s="1">
        <v>40556</v>
      </c>
      <c r="C295">
        <v>1</v>
      </c>
      <c r="D295">
        <v>0</v>
      </c>
      <c r="E295" t="str">
        <f>TEXT(Append1[[#This Row],[dteday]],"MMMM")</f>
        <v>January</v>
      </c>
      <c r="F295">
        <v>1</v>
      </c>
      <c r="G295">
        <v>16</v>
      </c>
      <c r="H295" t="b">
        <v>0</v>
      </c>
      <c r="I295" t="str">
        <f>TEXT(Append1[[#This Row],[dteday]],"DDDD")</f>
        <v>Thursday</v>
      </c>
      <c r="J295" t="str" cm="1">
        <f t="array" ref="J295">_xlfn.IFS(Append1[[#This Row],[weekday cnt]]=0,"Weekend",Append1[[#This Row],[weekday cnt]]=6,"Weekend",Append1[[#This Row],[weekday cnt]]&gt;0,"Weekday")</f>
        <v>Weekday</v>
      </c>
      <c r="K295">
        <v>4</v>
      </c>
      <c r="L295" t="str" cm="1">
        <f t="array" ref="L2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95">
        <v>1</v>
      </c>
      <c r="N295">
        <v>0.24</v>
      </c>
      <c r="O295">
        <v>293</v>
      </c>
      <c r="P295">
        <v>294</v>
      </c>
      <c r="Q295">
        <v>0.21210000000000001</v>
      </c>
      <c r="R295">
        <v>0.38</v>
      </c>
      <c r="S295">
        <v>0.35820000000000002</v>
      </c>
      <c r="T295">
        <v>2</v>
      </c>
      <c r="U295">
        <v>76</v>
      </c>
      <c r="V295">
        <v>78</v>
      </c>
    </row>
    <row r="296" spans="1:22" x14ac:dyDescent="0.3">
      <c r="A296">
        <v>295</v>
      </c>
      <c r="B296" s="1">
        <v>40556</v>
      </c>
      <c r="C296">
        <v>1</v>
      </c>
      <c r="D296">
        <v>0</v>
      </c>
      <c r="E296" t="str">
        <f>TEXT(Append1[[#This Row],[dteday]],"MMMM")</f>
        <v>January</v>
      </c>
      <c r="F296">
        <v>1</v>
      </c>
      <c r="G296">
        <v>17</v>
      </c>
      <c r="H296" t="b">
        <v>0</v>
      </c>
      <c r="I296" t="str">
        <f>TEXT(Append1[[#This Row],[dteday]],"DDDD")</f>
        <v>Thursday</v>
      </c>
      <c r="J296" t="str" cm="1">
        <f t="array" ref="J296">_xlfn.IFS(Append1[[#This Row],[weekday cnt]]=0,"Weekend",Append1[[#This Row],[weekday cnt]]=6,"Weekend",Append1[[#This Row],[weekday cnt]]&gt;0,"Weekday")</f>
        <v>Weekday</v>
      </c>
      <c r="K296">
        <v>4</v>
      </c>
      <c r="L296" t="str" cm="1">
        <f t="array" ref="L2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96">
        <v>1</v>
      </c>
      <c r="N296">
        <v>0.2</v>
      </c>
      <c r="O296">
        <v>294</v>
      </c>
      <c r="P296">
        <v>295</v>
      </c>
      <c r="Q296">
        <v>0.18179999999999999</v>
      </c>
      <c r="R296">
        <v>0.4</v>
      </c>
      <c r="S296">
        <v>0.28360000000000002</v>
      </c>
      <c r="T296">
        <v>4</v>
      </c>
      <c r="U296">
        <v>158</v>
      </c>
      <c r="V296">
        <v>162</v>
      </c>
    </row>
    <row r="297" spans="1:22" x14ac:dyDescent="0.3">
      <c r="A297">
        <v>296</v>
      </c>
      <c r="B297" s="1">
        <v>40556</v>
      </c>
      <c r="C297">
        <v>1</v>
      </c>
      <c r="D297">
        <v>0</v>
      </c>
      <c r="E297" t="str">
        <f>TEXT(Append1[[#This Row],[dteday]],"MMMM")</f>
        <v>January</v>
      </c>
      <c r="F297">
        <v>1</v>
      </c>
      <c r="G297">
        <v>18</v>
      </c>
      <c r="H297" t="b">
        <v>0</v>
      </c>
      <c r="I297" t="str">
        <f>TEXT(Append1[[#This Row],[dteday]],"DDDD")</f>
        <v>Thursday</v>
      </c>
      <c r="J297" t="str" cm="1">
        <f t="array" ref="J297">_xlfn.IFS(Append1[[#This Row],[weekday cnt]]=0,"Weekend",Append1[[#This Row],[weekday cnt]]=6,"Weekend",Append1[[#This Row],[weekday cnt]]&gt;0,"Weekday")</f>
        <v>Weekday</v>
      </c>
      <c r="K297">
        <v>4</v>
      </c>
      <c r="L297" t="str" cm="1">
        <f t="array" ref="L2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97">
        <v>1</v>
      </c>
      <c r="N297">
        <v>0.2</v>
      </c>
      <c r="O297">
        <v>295</v>
      </c>
      <c r="P297">
        <v>296</v>
      </c>
      <c r="Q297">
        <v>0.18179999999999999</v>
      </c>
      <c r="R297">
        <v>0.4</v>
      </c>
      <c r="S297">
        <v>0.32840000000000003</v>
      </c>
      <c r="T297">
        <v>3</v>
      </c>
      <c r="U297">
        <v>141</v>
      </c>
      <c r="V297">
        <v>144</v>
      </c>
    </row>
    <row r="298" spans="1:22" x14ac:dyDescent="0.3">
      <c r="A298">
        <v>297</v>
      </c>
      <c r="B298" s="1">
        <v>40556</v>
      </c>
      <c r="C298">
        <v>1</v>
      </c>
      <c r="D298">
        <v>0</v>
      </c>
      <c r="E298" t="str">
        <f>TEXT(Append1[[#This Row],[dteday]],"MMMM")</f>
        <v>January</v>
      </c>
      <c r="F298">
        <v>1</v>
      </c>
      <c r="G298">
        <v>19</v>
      </c>
      <c r="H298" t="b">
        <v>0</v>
      </c>
      <c r="I298" t="str">
        <f>TEXT(Append1[[#This Row],[dteday]],"DDDD")</f>
        <v>Thursday</v>
      </c>
      <c r="J298" t="str" cm="1">
        <f t="array" ref="J298">_xlfn.IFS(Append1[[#This Row],[weekday cnt]]=0,"Weekend",Append1[[#This Row],[weekday cnt]]=6,"Weekend",Append1[[#This Row],[weekday cnt]]&gt;0,"Weekday")</f>
        <v>Weekday</v>
      </c>
      <c r="K298">
        <v>4</v>
      </c>
      <c r="L298" t="str" cm="1">
        <f t="array" ref="L2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98">
        <v>1</v>
      </c>
      <c r="N298">
        <v>0.16</v>
      </c>
      <c r="O298">
        <v>296</v>
      </c>
      <c r="P298">
        <v>297</v>
      </c>
      <c r="Q298">
        <v>0.1515</v>
      </c>
      <c r="R298">
        <v>0.47</v>
      </c>
      <c r="S298">
        <v>0.25369999999999998</v>
      </c>
      <c r="T298">
        <v>1</v>
      </c>
      <c r="U298">
        <v>98</v>
      </c>
      <c r="V298">
        <v>99</v>
      </c>
    </row>
    <row r="299" spans="1:22" x14ac:dyDescent="0.3">
      <c r="A299">
        <v>298</v>
      </c>
      <c r="B299" s="1">
        <v>40556</v>
      </c>
      <c r="C299">
        <v>1</v>
      </c>
      <c r="D299">
        <v>0</v>
      </c>
      <c r="E299" t="str">
        <f>TEXT(Append1[[#This Row],[dteday]],"MMMM")</f>
        <v>January</v>
      </c>
      <c r="F299">
        <v>1</v>
      </c>
      <c r="G299">
        <v>20</v>
      </c>
      <c r="H299" t="b">
        <v>0</v>
      </c>
      <c r="I299" t="str">
        <f>TEXT(Append1[[#This Row],[dteday]],"DDDD")</f>
        <v>Thursday</v>
      </c>
      <c r="J299" t="str" cm="1">
        <f t="array" ref="J299">_xlfn.IFS(Append1[[#This Row],[weekday cnt]]=0,"Weekend",Append1[[#This Row],[weekday cnt]]=6,"Weekend",Append1[[#This Row],[weekday cnt]]&gt;0,"Weekday")</f>
        <v>Weekday</v>
      </c>
      <c r="K299">
        <v>4</v>
      </c>
      <c r="L299" t="str" cm="1">
        <f t="array" ref="L2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299">
        <v>1</v>
      </c>
      <c r="N299">
        <v>0.16</v>
      </c>
      <c r="O299">
        <v>297</v>
      </c>
      <c r="P299">
        <v>298</v>
      </c>
      <c r="Q299">
        <v>0.1515</v>
      </c>
      <c r="R299">
        <v>0.47</v>
      </c>
      <c r="S299">
        <v>0.22389999999999999</v>
      </c>
      <c r="T299">
        <v>0</v>
      </c>
      <c r="U299">
        <v>64</v>
      </c>
      <c r="V299">
        <v>64</v>
      </c>
    </row>
    <row r="300" spans="1:22" x14ac:dyDescent="0.3">
      <c r="A300">
        <v>299</v>
      </c>
      <c r="B300" s="1">
        <v>40556</v>
      </c>
      <c r="C300">
        <v>1</v>
      </c>
      <c r="D300">
        <v>0</v>
      </c>
      <c r="E300" t="str">
        <f>TEXT(Append1[[#This Row],[dteday]],"MMMM")</f>
        <v>January</v>
      </c>
      <c r="F300">
        <v>1</v>
      </c>
      <c r="G300">
        <v>21</v>
      </c>
      <c r="H300" t="b">
        <v>0</v>
      </c>
      <c r="I300" t="str">
        <f>TEXT(Append1[[#This Row],[dteday]],"DDDD")</f>
        <v>Thursday</v>
      </c>
      <c r="J300" t="str" cm="1">
        <f t="array" ref="J300">_xlfn.IFS(Append1[[#This Row],[weekday cnt]]=0,"Weekend",Append1[[#This Row],[weekday cnt]]=6,"Weekend",Append1[[#This Row],[weekday cnt]]&gt;0,"Weekday")</f>
        <v>Weekday</v>
      </c>
      <c r="K300">
        <v>4</v>
      </c>
      <c r="L300" t="str" cm="1">
        <f t="array" ref="L3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0">
        <v>1</v>
      </c>
      <c r="N300">
        <v>0.14000000000000001</v>
      </c>
      <c r="O300">
        <v>298</v>
      </c>
      <c r="P300">
        <v>299</v>
      </c>
      <c r="Q300">
        <v>0.1212</v>
      </c>
      <c r="R300">
        <v>0.46</v>
      </c>
      <c r="S300">
        <v>0.29849999999999999</v>
      </c>
      <c r="T300">
        <v>0</v>
      </c>
      <c r="U300">
        <v>40</v>
      </c>
      <c r="V300">
        <v>40</v>
      </c>
    </row>
    <row r="301" spans="1:22" x14ac:dyDescent="0.3">
      <c r="A301">
        <v>300</v>
      </c>
      <c r="B301" s="1">
        <v>40556</v>
      </c>
      <c r="C301">
        <v>1</v>
      </c>
      <c r="D301">
        <v>0</v>
      </c>
      <c r="E301" t="str">
        <f>TEXT(Append1[[#This Row],[dteday]],"MMMM")</f>
        <v>January</v>
      </c>
      <c r="F301">
        <v>1</v>
      </c>
      <c r="G301">
        <v>22</v>
      </c>
      <c r="H301" t="b">
        <v>0</v>
      </c>
      <c r="I301" t="str">
        <f>TEXT(Append1[[#This Row],[dteday]],"DDDD")</f>
        <v>Thursday</v>
      </c>
      <c r="J301" t="str" cm="1">
        <f t="array" ref="J301">_xlfn.IFS(Append1[[#This Row],[weekday cnt]]=0,"Weekend",Append1[[#This Row],[weekday cnt]]=6,"Weekend",Append1[[#This Row],[weekday cnt]]&gt;0,"Weekday")</f>
        <v>Weekday</v>
      </c>
      <c r="K301">
        <v>4</v>
      </c>
      <c r="L301" t="str" cm="1">
        <f t="array" ref="L3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1">
        <v>1</v>
      </c>
      <c r="N301">
        <v>0.14000000000000001</v>
      </c>
      <c r="O301">
        <v>299</v>
      </c>
      <c r="P301">
        <v>300</v>
      </c>
      <c r="Q301">
        <v>0.1212</v>
      </c>
      <c r="R301">
        <v>0.46</v>
      </c>
      <c r="S301">
        <v>0.32840000000000003</v>
      </c>
      <c r="T301">
        <v>0</v>
      </c>
      <c r="U301">
        <v>30</v>
      </c>
      <c r="V301">
        <v>30</v>
      </c>
    </row>
    <row r="302" spans="1:22" x14ac:dyDescent="0.3">
      <c r="A302">
        <v>301</v>
      </c>
      <c r="B302" s="1">
        <v>40556</v>
      </c>
      <c r="C302">
        <v>1</v>
      </c>
      <c r="D302">
        <v>0</v>
      </c>
      <c r="E302" t="str">
        <f>TEXT(Append1[[#This Row],[dteday]],"MMMM")</f>
        <v>January</v>
      </c>
      <c r="F302">
        <v>1</v>
      </c>
      <c r="G302">
        <v>23</v>
      </c>
      <c r="H302" t="b">
        <v>0</v>
      </c>
      <c r="I302" t="str">
        <f>TEXT(Append1[[#This Row],[dteday]],"DDDD")</f>
        <v>Thursday</v>
      </c>
      <c r="J302" t="str" cm="1">
        <f t="array" ref="J302">_xlfn.IFS(Append1[[#This Row],[weekday cnt]]=0,"Weekend",Append1[[#This Row],[weekday cnt]]=6,"Weekend",Append1[[#This Row],[weekday cnt]]&gt;0,"Weekday")</f>
        <v>Weekday</v>
      </c>
      <c r="K302">
        <v>4</v>
      </c>
      <c r="L302" t="str" cm="1">
        <f t="array" ref="L30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2">
        <v>1</v>
      </c>
      <c r="N302">
        <v>0.12</v>
      </c>
      <c r="O302">
        <v>300</v>
      </c>
      <c r="P302">
        <v>301</v>
      </c>
      <c r="Q302">
        <v>0.13639999999999999</v>
      </c>
      <c r="R302">
        <v>0.5</v>
      </c>
      <c r="S302">
        <v>0.19400000000000001</v>
      </c>
      <c r="T302">
        <v>1</v>
      </c>
      <c r="U302">
        <v>14</v>
      </c>
      <c r="V302">
        <v>15</v>
      </c>
    </row>
    <row r="303" spans="1:22" x14ac:dyDescent="0.3">
      <c r="A303">
        <v>302</v>
      </c>
      <c r="B303" s="1">
        <v>40557</v>
      </c>
      <c r="C303">
        <v>1</v>
      </c>
      <c r="D303">
        <v>0</v>
      </c>
      <c r="E303" t="str">
        <f>TEXT(Append1[[#This Row],[dteday]],"MMMM")</f>
        <v>January</v>
      </c>
      <c r="F303">
        <v>1</v>
      </c>
      <c r="G303">
        <v>0</v>
      </c>
      <c r="H303" t="b">
        <v>0</v>
      </c>
      <c r="I303" t="str">
        <f>TEXT(Append1[[#This Row],[dteday]],"DDDD")</f>
        <v>Friday</v>
      </c>
      <c r="J303" t="str" cm="1">
        <f t="array" ref="J303">_xlfn.IFS(Append1[[#This Row],[weekday cnt]]=0,"Weekend",Append1[[#This Row],[weekday cnt]]=6,"Weekend",Append1[[#This Row],[weekday cnt]]&gt;0,"Weekday")</f>
        <v>Weekday</v>
      </c>
      <c r="K303">
        <v>5</v>
      </c>
      <c r="L303" t="str" cm="1">
        <f t="array" ref="L30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3">
        <v>1</v>
      </c>
      <c r="N303">
        <v>0.12</v>
      </c>
      <c r="O303">
        <v>301</v>
      </c>
      <c r="P303">
        <v>302</v>
      </c>
      <c r="Q303">
        <v>0.13639999999999999</v>
      </c>
      <c r="R303">
        <v>0.5</v>
      </c>
      <c r="S303">
        <v>0.19400000000000001</v>
      </c>
      <c r="T303">
        <v>0</v>
      </c>
      <c r="U303">
        <v>14</v>
      </c>
      <c r="V303">
        <v>14</v>
      </c>
    </row>
    <row r="304" spans="1:22" x14ac:dyDescent="0.3">
      <c r="A304">
        <v>303</v>
      </c>
      <c r="B304" s="1">
        <v>40557</v>
      </c>
      <c r="C304">
        <v>1</v>
      </c>
      <c r="D304">
        <v>0</v>
      </c>
      <c r="E304" t="str">
        <f>TEXT(Append1[[#This Row],[dteday]],"MMMM")</f>
        <v>January</v>
      </c>
      <c r="F304">
        <v>1</v>
      </c>
      <c r="G304">
        <v>1</v>
      </c>
      <c r="H304" t="b">
        <v>0</v>
      </c>
      <c r="I304" t="str">
        <f>TEXT(Append1[[#This Row],[dteday]],"DDDD")</f>
        <v>Friday</v>
      </c>
      <c r="J304" t="str" cm="1">
        <f t="array" ref="J304">_xlfn.IFS(Append1[[#This Row],[weekday cnt]]=0,"Weekend",Append1[[#This Row],[weekday cnt]]=6,"Weekend",Append1[[#This Row],[weekday cnt]]&gt;0,"Weekday")</f>
        <v>Weekday</v>
      </c>
      <c r="K304">
        <v>5</v>
      </c>
      <c r="L304" t="str" cm="1">
        <f t="array" ref="L30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4">
        <v>1</v>
      </c>
      <c r="N304">
        <v>0.1</v>
      </c>
      <c r="O304">
        <v>302</v>
      </c>
      <c r="P304">
        <v>303</v>
      </c>
      <c r="Q304">
        <v>0.1212</v>
      </c>
      <c r="R304">
        <v>0.54</v>
      </c>
      <c r="S304">
        <v>0.16420000000000001</v>
      </c>
      <c r="T304">
        <v>0</v>
      </c>
      <c r="U304">
        <v>5</v>
      </c>
      <c r="V304">
        <v>5</v>
      </c>
    </row>
    <row r="305" spans="1:22" x14ac:dyDescent="0.3">
      <c r="A305">
        <v>304</v>
      </c>
      <c r="B305" s="1">
        <v>40557</v>
      </c>
      <c r="C305">
        <v>1</v>
      </c>
      <c r="D305">
        <v>0</v>
      </c>
      <c r="E305" t="str">
        <f>TEXT(Append1[[#This Row],[dteday]],"MMMM")</f>
        <v>January</v>
      </c>
      <c r="F305">
        <v>1</v>
      </c>
      <c r="G305">
        <v>2</v>
      </c>
      <c r="H305" t="b">
        <v>0</v>
      </c>
      <c r="I305" t="str">
        <f>TEXT(Append1[[#This Row],[dteday]],"DDDD")</f>
        <v>Friday</v>
      </c>
      <c r="J305" t="str" cm="1">
        <f t="array" ref="J305">_xlfn.IFS(Append1[[#This Row],[weekday cnt]]=0,"Weekend",Append1[[#This Row],[weekday cnt]]=6,"Weekend",Append1[[#This Row],[weekday cnt]]&gt;0,"Weekday")</f>
        <v>Weekday</v>
      </c>
      <c r="K305">
        <v>5</v>
      </c>
      <c r="L305" t="str" cm="1">
        <f t="array" ref="L30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5">
        <v>1</v>
      </c>
      <c r="N305">
        <v>0.1</v>
      </c>
      <c r="O305">
        <v>303</v>
      </c>
      <c r="P305">
        <v>304</v>
      </c>
      <c r="Q305">
        <v>0.1212</v>
      </c>
      <c r="R305">
        <v>0.54</v>
      </c>
      <c r="S305">
        <v>0.1343</v>
      </c>
      <c r="T305">
        <v>0</v>
      </c>
      <c r="U305">
        <v>1</v>
      </c>
      <c r="V305">
        <v>1</v>
      </c>
    </row>
    <row r="306" spans="1:22" x14ac:dyDescent="0.3">
      <c r="A306">
        <v>305</v>
      </c>
      <c r="B306" s="1">
        <v>40557</v>
      </c>
      <c r="C306">
        <v>1</v>
      </c>
      <c r="D306">
        <v>0</v>
      </c>
      <c r="E306" t="str">
        <f>TEXT(Append1[[#This Row],[dteday]],"MMMM")</f>
        <v>January</v>
      </c>
      <c r="F306">
        <v>1</v>
      </c>
      <c r="G306">
        <v>3</v>
      </c>
      <c r="H306" t="b">
        <v>0</v>
      </c>
      <c r="I306" t="str">
        <f>TEXT(Append1[[#This Row],[dteday]],"DDDD")</f>
        <v>Friday</v>
      </c>
      <c r="J306" t="str" cm="1">
        <f t="array" ref="J306">_xlfn.IFS(Append1[[#This Row],[weekday cnt]]=0,"Weekend",Append1[[#This Row],[weekday cnt]]=6,"Weekend",Append1[[#This Row],[weekday cnt]]&gt;0,"Weekday")</f>
        <v>Weekday</v>
      </c>
      <c r="K306">
        <v>5</v>
      </c>
      <c r="L306" t="str" cm="1">
        <f t="array" ref="L30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6">
        <v>1</v>
      </c>
      <c r="N306">
        <v>0.1</v>
      </c>
      <c r="O306">
        <v>304</v>
      </c>
      <c r="P306">
        <v>305</v>
      </c>
      <c r="Q306">
        <v>0.13639999999999999</v>
      </c>
      <c r="R306">
        <v>0.54</v>
      </c>
      <c r="S306">
        <v>0.1045</v>
      </c>
      <c r="T306">
        <v>0</v>
      </c>
      <c r="U306">
        <v>1</v>
      </c>
      <c r="V306">
        <v>1</v>
      </c>
    </row>
    <row r="307" spans="1:22" x14ac:dyDescent="0.3">
      <c r="A307">
        <v>306</v>
      </c>
      <c r="B307" s="1">
        <v>40557</v>
      </c>
      <c r="C307">
        <v>1</v>
      </c>
      <c r="D307">
        <v>0</v>
      </c>
      <c r="E307" t="str">
        <f>TEXT(Append1[[#This Row],[dteday]],"MMMM")</f>
        <v>January</v>
      </c>
      <c r="F307">
        <v>1</v>
      </c>
      <c r="G307">
        <v>5</v>
      </c>
      <c r="H307" t="b">
        <v>0</v>
      </c>
      <c r="I307" t="str">
        <f>TEXT(Append1[[#This Row],[dteday]],"DDDD")</f>
        <v>Friday</v>
      </c>
      <c r="J307" t="str" cm="1">
        <f t="array" ref="J307">_xlfn.IFS(Append1[[#This Row],[weekday cnt]]=0,"Weekend",Append1[[#This Row],[weekday cnt]]=6,"Weekend",Append1[[#This Row],[weekday cnt]]&gt;0,"Weekday")</f>
        <v>Weekday</v>
      </c>
      <c r="K307">
        <v>5</v>
      </c>
      <c r="L307" t="str" cm="1">
        <f t="array" ref="L30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7">
        <v>1</v>
      </c>
      <c r="N307">
        <v>0.1</v>
      </c>
      <c r="O307">
        <v>305</v>
      </c>
      <c r="P307">
        <v>306</v>
      </c>
      <c r="Q307">
        <v>0.13639999999999999</v>
      </c>
      <c r="R307">
        <v>0.54</v>
      </c>
      <c r="S307">
        <v>8.9599999999999999E-2</v>
      </c>
      <c r="T307">
        <v>0</v>
      </c>
      <c r="U307">
        <v>8</v>
      </c>
      <c r="V307">
        <v>8</v>
      </c>
    </row>
    <row r="308" spans="1:22" x14ac:dyDescent="0.3">
      <c r="A308">
        <v>307</v>
      </c>
      <c r="B308" s="1">
        <v>40557</v>
      </c>
      <c r="C308">
        <v>1</v>
      </c>
      <c r="D308">
        <v>0</v>
      </c>
      <c r="E308" t="str">
        <f>TEXT(Append1[[#This Row],[dteday]],"MMMM")</f>
        <v>January</v>
      </c>
      <c r="F308">
        <v>1</v>
      </c>
      <c r="G308">
        <v>6</v>
      </c>
      <c r="H308" t="b">
        <v>0</v>
      </c>
      <c r="I308" t="str">
        <f>TEXT(Append1[[#This Row],[dteday]],"DDDD")</f>
        <v>Friday</v>
      </c>
      <c r="J308" t="str" cm="1">
        <f t="array" ref="J308">_xlfn.IFS(Append1[[#This Row],[weekday cnt]]=0,"Weekend",Append1[[#This Row],[weekday cnt]]=6,"Weekend",Append1[[#This Row],[weekday cnt]]&gt;0,"Weekday")</f>
        <v>Weekday</v>
      </c>
      <c r="K308">
        <v>5</v>
      </c>
      <c r="L308" t="str" cm="1">
        <f t="array" ref="L30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8">
        <v>1</v>
      </c>
      <c r="N308">
        <v>0.1</v>
      </c>
      <c r="O308">
        <v>306</v>
      </c>
      <c r="P308">
        <v>307</v>
      </c>
      <c r="Q308">
        <v>0.18179999999999999</v>
      </c>
      <c r="R308">
        <v>0.54</v>
      </c>
      <c r="S308">
        <v>0</v>
      </c>
      <c r="T308">
        <v>0</v>
      </c>
      <c r="U308">
        <v>17</v>
      </c>
      <c r="V308">
        <v>17</v>
      </c>
    </row>
    <row r="309" spans="1:22" x14ac:dyDescent="0.3">
      <c r="A309">
        <v>308</v>
      </c>
      <c r="B309" s="1">
        <v>40557</v>
      </c>
      <c r="C309">
        <v>1</v>
      </c>
      <c r="D309">
        <v>0</v>
      </c>
      <c r="E309" t="str">
        <f>TEXT(Append1[[#This Row],[dteday]],"MMMM")</f>
        <v>January</v>
      </c>
      <c r="F309">
        <v>1</v>
      </c>
      <c r="G309">
        <v>7</v>
      </c>
      <c r="H309" t="b">
        <v>0</v>
      </c>
      <c r="I309" t="str">
        <f>TEXT(Append1[[#This Row],[dteday]],"DDDD")</f>
        <v>Friday</v>
      </c>
      <c r="J309" t="str" cm="1">
        <f t="array" ref="J309">_xlfn.IFS(Append1[[#This Row],[weekday cnt]]=0,"Weekend",Append1[[#This Row],[weekday cnt]]=6,"Weekend",Append1[[#This Row],[weekday cnt]]&gt;0,"Weekday")</f>
        <v>Weekday</v>
      </c>
      <c r="K309">
        <v>5</v>
      </c>
      <c r="L309" t="str" cm="1">
        <f t="array" ref="L30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09">
        <v>1</v>
      </c>
      <c r="N309">
        <v>0.1</v>
      </c>
      <c r="O309">
        <v>307</v>
      </c>
      <c r="P309">
        <v>308</v>
      </c>
      <c r="Q309">
        <v>0.1212</v>
      </c>
      <c r="R309">
        <v>0.74</v>
      </c>
      <c r="S309">
        <v>0.16420000000000001</v>
      </c>
      <c r="T309">
        <v>0</v>
      </c>
      <c r="U309">
        <v>70</v>
      </c>
      <c r="V309">
        <v>70</v>
      </c>
    </row>
    <row r="310" spans="1:22" x14ac:dyDescent="0.3">
      <c r="A310">
        <v>309</v>
      </c>
      <c r="B310" s="1">
        <v>40557</v>
      </c>
      <c r="C310">
        <v>1</v>
      </c>
      <c r="D310">
        <v>0</v>
      </c>
      <c r="E310" t="str">
        <f>TEXT(Append1[[#This Row],[dteday]],"MMMM")</f>
        <v>January</v>
      </c>
      <c r="F310">
        <v>1</v>
      </c>
      <c r="G310">
        <v>8</v>
      </c>
      <c r="H310" t="b">
        <v>0</v>
      </c>
      <c r="I310" t="str">
        <f>TEXT(Append1[[#This Row],[dteday]],"DDDD")</f>
        <v>Friday</v>
      </c>
      <c r="J310" t="str" cm="1">
        <f t="array" ref="J310">_xlfn.IFS(Append1[[#This Row],[weekday cnt]]=0,"Weekend",Append1[[#This Row],[weekday cnt]]=6,"Weekend",Append1[[#This Row],[weekday cnt]]&gt;0,"Weekday")</f>
        <v>Weekday</v>
      </c>
      <c r="K310">
        <v>5</v>
      </c>
      <c r="L310" t="str" cm="1">
        <f t="array" ref="L3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0">
        <v>1</v>
      </c>
      <c r="N310">
        <v>0.12</v>
      </c>
      <c r="O310">
        <v>308</v>
      </c>
      <c r="P310">
        <v>309</v>
      </c>
      <c r="Q310">
        <v>0.16669999999999999</v>
      </c>
      <c r="R310">
        <v>0.68</v>
      </c>
      <c r="S310">
        <v>0</v>
      </c>
      <c r="T310">
        <v>2</v>
      </c>
      <c r="U310">
        <v>156</v>
      </c>
      <c r="V310">
        <v>158</v>
      </c>
    </row>
    <row r="311" spans="1:22" x14ac:dyDescent="0.3">
      <c r="A311">
        <v>310</v>
      </c>
      <c r="B311" s="1">
        <v>40557</v>
      </c>
      <c r="C311">
        <v>1</v>
      </c>
      <c r="D311">
        <v>0</v>
      </c>
      <c r="E311" t="str">
        <f>TEXT(Append1[[#This Row],[dteday]],"MMMM")</f>
        <v>January</v>
      </c>
      <c r="F311">
        <v>1</v>
      </c>
      <c r="G311">
        <v>9</v>
      </c>
      <c r="H311" t="b">
        <v>0</v>
      </c>
      <c r="I311" t="str">
        <f>TEXT(Append1[[#This Row],[dteday]],"DDDD")</f>
        <v>Friday</v>
      </c>
      <c r="J311" t="str" cm="1">
        <f t="array" ref="J311">_xlfn.IFS(Append1[[#This Row],[weekday cnt]]=0,"Weekend",Append1[[#This Row],[weekday cnt]]=6,"Weekend",Append1[[#This Row],[weekday cnt]]&gt;0,"Weekday")</f>
        <v>Weekday</v>
      </c>
      <c r="K311">
        <v>5</v>
      </c>
      <c r="L311" t="str" cm="1">
        <f t="array" ref="L3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1">
        <v>1</v>
      </c>
      <c r="N311">
        <v>0.14000000000000001</v>
      </c>
      <c r="O311">
        <v>309</v>
      </c>
      <c r="P311">
        <v>310</v>
      </c>
      <c r="Q311">
        <v>0.1515</v>
      </c>
      <c r="R311">
        <v>0.69</v>
      </c>
      <c r="S311">
        <v>0.1343</v>
      </c>
      <c r="T311">
        <v>0</v>
      </c>
      <c r="U311">
        <v>117</v>
      </c>
      <c r="V311">
        <v>117</v>
      </c>
    </row>
    <row r="312" spans="1:22" x14ac:dyDescent="0.3">
      <c r="A312">
        <v>311</v>
      </c>
      <c r="B312" s="1">
        <v>40557</v>
      </c>
      <c r="C312">
        <v>1</v>
      </c>
      <c r="D312">
        <v>0</v>
      </c>
      <c r="E312" t="str">
        <f>TEXT(Append1[[#This Row],[dteday]],"MMMM")</f>
        <v>January</v>
      </c>
      <c r="F312">
        <v>1</v>
      </c>
      <c r="G312">
        <v>10</v>
      </c>
      <c r="H312" t="b">
        <v>0</v>
      </c>
      <c r="I312" t="str">
        <f>TEXT(Append1[[#This Row],[dteday]],"DDDD")</f>
        <v>Friday</v>
      </c>
      <c r="J312" t="str" cm="1">
        <f t="array" ref="J312">_xlfn.IFS(Append1[[#This Row],[weekday cnt]]=0,"Weekend",Append1[[#This Row],[weekday cnt]]=6,"Weekend",Append1[[#This Row],[weekday cnt]]&gt;0,"Weekday")</f>
        <v>Weekday</v>
      </c>
      <c r="K312">
        <v>5</v>
      </c>
      <c r="L312" t="str" cm="1">
        <f t="array" ref="L3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2">
        <v>1</v>
      </c>
      <c r="N312">
        <v>0.18</v>
      </c>
      <c r="O312">
        <v>310</v>
      </c>
      <c r="P312">
        <v>311</v>
      </c>
      <c r="Q312">
        <v>0.18179999999999999</v>
      </c>
      <c r="R312">
        <v>0.55000000000000004</v>
      </c>
      <c r="S312">
        <v>0.19400000000000001</v>
      </c>
      <c r="T312">
        <v>4</v>
      </c>
      <c r="U312">
        <v>40</v>
      </c>
      <c r="V312">
        <v>44</v>
      </c>
    </row>
    <row r="313" spans="1:22" x14ac:dyDescent="0.3">
      <c r="A313">
        <v>312</v>
      </c>
      <c r="B313" s="1">
        <v>40557</v>
      </c>
      <c r="C313">
        <v>1</v>
      </c>
      <c r="D313">
        <v>0</v>
      </c>
      <c r="E313" t="str">
        <f>TEXT(Append1[[#This Row],[dteday]],"MMMM")</f>
        <v>January</v>
      </c>
      <c r="F313">
        <v>1</v>
      </c>
      <c r="G313">
        <v>11</v>
      </c>
      <c r="H313" t="b">
        <v>0</v>
      </c>
      <c r="I313" t="str">
        <f>TEXT(Append1[[#This Row],[dteday]],"DDDD")</f>
        <v>Friday</v>
      </c>
      <c r="J313" t="str" cm="1">
        <f t="array" ref="J313">_xlfn.IFS(Append1[[#This Row],[weekday cnt]]=0,"Weekend",Append1[[#This Row],[weekday cnt]]=6,"Weekend",Append1[[#This Row],[weekday cnt]]&gt;0,"Weekday")</f>
        <v>Weekday</v>
      </c>
      <c r="K313">
        <v>5</v>
      </c>
      <c r="L313" t="str" cm="1">
        <f t="array" ref="L3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3">
        <v>1</v>
      </c>
      <c r="N313">
        <v>0.18</v>
      </c>
      <c r="O313">
        <v>311</v>
      </c>
      <c r="P313">
        <v>312</v>
      </c>
      <c r="Q313">
        <v>0.16669999999999999</v>
      </c>
      <c r="R313">
        <v>0.51</v>
      </c>
      <c r="S313">
        <v>0.28360000000000002</v>
      </c>
      <c r="T313">
        <v>6</v>
      </c>
      <c r="U313">
        <v>47</v>
      </c>
      <c r="V313">
        <v>53</v>
      </c>
    </row>
    <row r="314" spans="1:22" x14ac:dyDescent="0.3">
      <c r="A314">
        <v>313</v>
      </c>
      <c r="B314" s="1">
        <v>40557</v>
      </c>
      <c r="C314">
        <v>1</v>
      </c>
      <c r="D314">
        <v>0</v>
      </c>
      <c r="E314" t="str">
        <f>TEXT(Append1[[#This Row],[dteday]],"MMMM")</f>
        <v>January</v>
      </c>
      <c r="F314">
        <v>1</v>
      </c>
      <c r="G314">
        <v>12</v>
      </c>
      <c r="H314" t="b">
        <v>0</v>
      </c>
      <c r="I314" t="str">
        <f>TEXT(Append1[[#This Row],[dteday]],"DDDD")</f>
        <v>Friday</v>
      </c>
      <c r="J314" t="str" cm="1">
        <f t="array" ref="J314">_xlfn.IFS(Append1[[#This Row],[weekday cnt]]=0,"Weekend",Append1[[#This Row],[weekday cnt]]=6,"Weekend",Append1[[#This Row],[weekday cnt]]&gt;0,"Weekday")</f>
        <v>Weekday</v>
      </c>
      <c r="K314">
        <v>5</v>
      </c>
      <c r="L314" t="str" cm="1">
        <f t="array" ref="L3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4">
        <v>1</v>
      </c>
      <c r="N314">
        <v>0.2</v>
      </c>
      <c r="O314">
        <v>312</v>
      </c>
      <c r="P314">
        <v>313</v>
      </c>
      <c r="Q314">
        <v>0.19700000000000001</v>
      </c>
      <c r="R314">
        <v>0.44</v>
      </c>
      <c r="S314">
        <v>0.25369999999999998</v>
      </c>
      <c r="T314">
        <v>2</v>
      </c>
      <c r="U314">
        <v>59</v>
      </c>
      <c r="V314">
        <v>61</v>
      </c>
    </row>
    <row r="315" spans="1:22" x14ac:dyDescent="0.3">
      <c r="A315">
        <v>314</v>
      </c>
      <c r="B315" s="1">
        <v>40557</v>
      </c>
      <c r="C315">
        <v>1</v>
      </c>
      <c r="D315">
        <v>0</v>
      </c>
      <c r="E315" t="str">
        <f>TEXT(Append1[[#This Row],[dteday]],"MMMM")</f>
        <v>January</v>
      </c>
      <c r="F315">
        <v>1</v>
      </c>
      <c r="G315">
        <v>13</v>
      </c>
      <c r="H315" t="b">
        <v>0</v>
      </c>
      <c r="I315" t="str">
        <f>TEXT(Append1[[#This Row],[dteday]],"DDDD")</f>
        <v>Friday</v>
      </c>
      <c r="J315" t="str" cm="1">
        <f t="array" ref="J315">_xlfn.IFS(Append1[[#This Row],[weekday cnt]]=0,"Weekend",Append1[[#This Row],[weekday cnt]]=6,"Weekend",Append1[[#This Row],[weekday cnt]]&gt;0,"Weekday")</f>
        <v>Weekday</v>
      </c>
      <c r="K315">
        <v>5</v>
      </c>
      <c r="L315" t="str" cm="1">
        <f t="array" ref="L3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5">
        <v>1</v>
      </c>
      <c r="N315">
        <v>0.22</v>
      </c>
      <c r="O315">
        <v>313</v>
      </c>
      <c r="P315">
        <v>314</v>
      </c>
      <c r="Q315">
        <v>0.19700000000000001</v>
      </c>
      <c r="R315">
        <v>0.37</v>
      </c>
      <c r="S315">
        <v>0.3881</v>
      </c>
      <c r="T315">
        <v>4</v>
      </c>
      <c r="U315">
        <v>73</v>
      </c>
      <c r="V315">
        <v>77</v>
      </c>
    </row>
    <row r="316" spans="1:22" x14ac:dyDescent="0.3">
      <c r="A316">
        <v>315</v>
      </c>
      <c r="B316" s="1">
        <v>40557</v>
      </c>
      <c r="C316">
        <v>1</v>
      </c>
      <c r="D316">
        <v>0</v>
      </c>
      <c r="E316" t="str">
        <f>TEXT(Append1[[#This Row],[dteday]],"MMMM")</f>
        <v>January</v>
      </c>
      <c r="F316">
        <v>1</v>
      </c>
      <c r="G316">
        <v>14</v>
      </c>
      <c r="H316" t="b">
        <v>0</v>
      </c>
      <c r="I316" t="str">
        <f>TEXT(Append1[[#This Row],[dteday]],"DDDD")</f>
        <v>Friday</v>
      </c>
      <c r="J316" t="str" cm="1">
        <f t="array" ref="J316">_xlfn.IFS(Append1[[#This Row],[weekday cnt]]=0,"Weekend",Append1[[#This Row],[weekday cnt]]=6,"Weekend",Append1[[#This Row],[weekday cnt]]&gt;0,"Weekday")</f>
        <v>Weekday</v>
      </c>
      <c r="K316">
        <v>5</v>
      </c>
      <c r="L316" t="str" cm="1">
        <f t="array" ref="L3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6">
        <v>1</v>
      </c>
      <c r="N316">
        <v>0.22</v>
      </c>
      <c r="O316">
        <v>314</v>
      </c>
      <c r="P316">
        <v>315</v>
      </c>
      <c r="Q316">
        <v>0.21210000000000001</v>
      </c>
      <c r="R316">
        <v>0.41</v>
      </c>
      <c r="S316">
        <v>0.28360000000000002</v>
      </c>
      <c r="T316">
        <v>5</v>
      </c>
      <c r="U316">
        <v>59</v>
      </c>
      <c r="V316">
        <v>64</v>
      </c>
    </row>
    <row r="317" spans="1:22" x14ac:dyDescent="0.3">
      <c r="A317">
        <v>316</v>
      </c>
      <c r="B317" s="1">
        <v>40557</v>
      </c>
      <c r="C317">
        <v>1</v>
      </c>
      <c r="D317">
        <v>0</v>
      </c>
      <c r="E317" t="str">
        <f>TEXT(Append1[[#This Row],[dteday]],"MMMM")</f>
        <v>January</v>
      </c>
      <c r="F317">
        <v>1</v>
      </c>
      <c r="G317">
        <v>15</v>
      </c>
      <c r="H317" t="b">
        <v>0</v>
      </c>
      <c r="I317" t="str">
        <f>TEXT(Append1[[#This Row],[dteday]],"DDDD")</f>
        <v>Friday</v>
      </c>
      <c r="J317" t="str" cm="1">
        <f t="array" ref="J317">_xlfn.IFS(Append1[[#This Row],[weekday cnt]]=0,"Weekend",Append1[[#This Row],[weekday cnt]]=6,"Weekend",Append1[[#This Row],[weekday cnt]]&gt;0,"Weekday")</f>
        <v>Weekday</v>
      </c>
      <c r="K317">
        <v>5</v>
      </c>
      <c r="L317" t="str" cm="1">
        <f t="array" ref="L3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7">
        <v>1</v>
      </c>
      <c r="N317">
        <v>0.24</v>
      </c>
      <c r="O317">
        <v>315</v>
      </c>
      <c r="P317">
        <v>316</v>
      </c>
      <c r="Q317">
        <v>0.2424</v>
      </c>
      <c r="R317">
        <v>0.38</v>
      </c>
      <c r="S317">
        <v>0.16420000000000001</v>
      </c>
      <c r="T317">
        <v>9</v>
      </c>
      <c r="U317">
        <v>59</v>
      </c>
      <c r="V317">
        <v>68</v>
      </c>
    </row>
    <row r="318" spans="1:22" x14ac:dyDescent="0.3">
      <c r="A318">
        <v>317</v>
      </c>
      <c r="B318" s="1">
        <v>40557</v>
      </c>
      <c r="C318">
        <v>1</v>
      </c>
      <c r="D318">
        <v>0</v>
      </c>
      <c r="E318" t="str">
        <f>TEXT(Append1[[#This Row],[dteday]],"MMMM")</f>
        <v>January</v>
      </c>
      <c r="F318">
        <v>1</v>
      </c>
      <c r="G318">
        <v>16</v>
      </c>
      <c r="H318" t="b">
        <v>0</v>
      </c>
      <c r="I318" t="str">
        <f>TEXT(Append1[[#This Row],[dteday]],"DDDD")</f>
        <v>Friday</v>
      </c>
      <c r="J318" t="str" cm="1">
        <f t="array" ref="J318">_xlfn.IFS(Append1[[#This Row],[weekday cnt]]=0,"Weekend",Append1[[#This Row],[weekday cnt]]=6,"Weekend",Append1[[#This Row],[weekday cnt]]&gt;0,"Weekday")</f>
        <v>Weekday</v>
      </c>
      <c r="K318">
        <v>5</v>
      </c>
      <c r="L318" t="str" cm="1">
        <f t="array" ref="L3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8">
        <v>1</v>
      </c>
      <c r="N318">
        <v>0.22</v>
      </c>
      <c r="O318">
        <v>316</v>
      </c>
      <c r="P318">
        <v>317</v>
      </c>
      <c r="Q318">
        <v>0.2424</v>
      </c>
      <c r="R318">
        <v>0.41</v>
      </c>
      <c r="S318">
        <v>0.1045</v>
      </c>
      <c r="T318">
        <v>3</v>
      </c>
      <c r="U318">
        <v>87</v>
      </c>
      <c r="V318">
        <v>90</v>
      </c>
    </row>
    <row r="319" spans="1:22" x14ac:dyDescent="0.3">
      <c r="A319">
        <v>318</v>
      </c>
      <c r="B319" s="1">
        <v>40557</v>
      </c>
      <c r="C319">
        <v>1</v>
      </c>
      <c r="D319">
        <v>0</v>
      </c>
      <c r="E319" t="str">
        <f>TEXT(Append1[[#This Row],[dteday]],"MMMM")</f>
        <v>January</v>
      </c>
      <c r="F319">
        <v>1</v>
      </c>
      <c r="G319">
        <v>17</v>
      </c>
      <c r="H319" t="b">
        <v>0</v>
      </c>
      <c r="I319" t="str">
        <f>TEXT(Append1[[#This Row],[dteday]],"DDDD")</f>
        <v>Friday</v>
      </c>
      <c r="J319" t="str" cm="1">
        <f t="array" ref="J319">_xlfn.IFS(Append1[[#This Row],[weekday cnt]]=0,"Weekend",Append1[[#This Row],[weekday cnt]]=6,"Weekend",Append1[[#This Row],[weekday cnt]]&gt;0,"Weekday")</f>
        <v>Weekday</v>
      </c>
      <c r="K319">
        <v>5</v>
      </c>
      <c r="L319" t="str" cm="1">
        <f t="array" ref="L3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19">
        <v>1</v>
      </c>
      <c r="N319">
        <v>0.22</v>
      </c>
      <c r="O319">
        <v>317</v>
      </c>
      <c r="P319">
        <v>318</v>
      </c>
      <c r="Q319">
        <v>0.2273</v>
      </c>
      <c r="R319">
        <v>0.41</v>
      </c>
      <c r="S319">
        <v>0.16420000000000001</v>
      </c>
      <c r="T319">
        <v>4</v>
      </c>
      <c r="U319">
        <v>155</v>
      </c>
      <c r="V319">
        <v>159</v>
      </c>
    </row>
    <row r="320" spans="1:22" x14ac:dyDescent="0.3">
      <c r="A320">
        <v>319</v>
      </c>
      <c r="B320" s="1">
        <v>40557</v>
      </c>
      <c r="C320">
        <v>1</v>
      </c>
      <c r="D320">
        <v>0</v>
      </c>
      <c r="E320" t="str">
        <f>TEXT(Append1[[#This Row],[dteday]],"MMMM")</f>
        <v>January</v>
      </c>
      <c r="F320">
        <v>1</v>
      </c>
      <c r="G320">
        <v>18</v>
      </c>
      <c r="H320" t="b">
        <v>0</v>
      </c>
      <c r="I320" t="str">
        <f>TEXT(Append1[[#This Row],[dteday]],"DDDD")</f>
        <v>Friday</v>
      </c>
      <c r="J320" t="str" cm="1">
        <f t="array" ref="J320">_xlfn.IFS(Append1[[#This Row],[weekday cnt]]=0,"Weekend",Append1[[#This Row],[weekday cnt]]=6,"Weekend",Append1[[#This Row],[weekday cnt]]&gt;0,"Weekday")</f>
        <v>Weekday</v>
      </c>
      <c r="K320">
        <v>5</v>
      </c>
      <c r="L320" t="str" cm="1">
        <f t="array" ref="L3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20">
        <v>1</v>
      </c>
      <c r="N320">
        <v>0.2</v>
      </c>
      <c r="O320">
        <v>318</v>
      </c>
      <c r="P320">
        <v>319</v>
      </c>
      <c r="Q320">
        <v>0.2576</v>
      </c>
      <c r="R320">
        <v>0.47</v>
      </c>
      <c r="S320">
        <v>0</v>
      </c>
      <c r="T320">
        <v>5</v>
      </c>
      <c r="U320">
        <v>134</v>
      </c>
      <c r="V320">
        <v>139</v>
      </c>
    </row>
    <row r="321" spans="1:22" x14ac:dyDescent="0.3">
      <c r="A321">
        <v>320</v>
      </c>
      <c r="B321" s="1">
        <v>40557</v>
      </c>
      <c r="C321">
        <v>1</v>
      </c>
      <c r="D321">
        <v>0</v>
      </c>
      <c r="E321" t="str">
        <f>TEXT(Append1[[#This Row],[dteday]],"MMMM")</f>
        <v>January</v>
      </c>
      <c r="F321">
        <v>1</v>
      </c>
      <c r="G321">
        <v>19</v>
      </c>
      <c r="H321" t="b">
        <v>0</v>
      </c>
      <c r="I321" t="str">
        <f>TEXT(Append1[[#This Row],[dteday]],"DDDD")</f>
        <v>Friday</v>
      </c>
      <c r="J321" t="str" cm="1">
        <f t="array" ref="J321">_xlfn.IFS(Append1[[#This Row],[weekday cnt]]=0,"Weekend",Append1[[#This Row],[weekday cnt]]=6,"Weekend",Append1[[#This Row],[weekday cnt]]&gt;0,"Weekday")</f>
        <v>Weekday</v>
      </c>
      <c r="K321">
        <v>5</v>
      </c>
      <c r="L321" t="str" cm="1">
        <f t="array" ref="L3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21">
        <v>1</v>
      </c>
      <c r="N321">
        <v>0.16</v>
      </c>
      <c r="O321">
        <v>319</v>
      </c>
      <c r="P321">
        <v>320</v>
      </c>
      <c r="Q321">
        <v>0.19700000000000001</v>
      </c>
      <c r="R321">
        <v>0.59</v>
      </c>
      <c r="S321">
        <v>8.9599999999999999E-2</v>
      </c>
      <c r="T321">
        <v>3</v>
      </c>
      <c r="U321">
        <v>89</v>
      </c>
      <c r="V321">
        <v>92</v>
      </c>
    </row>
    <row r="322" spans="1:22" x14ac:dyDescent="0.3">
      <c r="A322">
        <v>321</v>
      </c>
      <c r="B322" s="1">
        <v>40557</v>
      </c>
      <c r="C322">
        <v>1</v>
      </c>
      <c r="D322">
        <v>0</v>
      </c>
      <c r="E322" t="str">
        <f>TEXT(Append1[[#This Row],[dteday]],"MMMM")</f>
        <v>January</v>
      </c>
      <c r="F322">
        <v>1</v>
      </c>
      <c r="G322">
        <v>20</v>
      </c>
      <c r="H322" t="b">
        <v>0</v>
      </c>
      <c r="I322" t="str">
        <f>TEXT(Append1[[#This Row],[dteday]],"DDDD")</f>
        <v>Friday</v>
      </c>
      <c r="J322" t="str" cm="1">
        <f t="array" ref="J322">_xlfn.IFS(Append1[[#This Row],[weekday cnt]]=0,"Weekend",Append1[[#This Row],[weekday cnt]]=6,"Weekend",Append1[[#This Row],[weekday cnt]]&gt;0,"Weekday")</f>
        <v>Weekday</v>
      </c>
      <c r="K322">
        <v>5</v>
      </c>
      <c r="L322" t="str" cm="1">
        <f t="array" ref="L3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22">
        <v>1</v>
      </c>
      <c r="N322">
        <v>0.18</v>
      </c>
      <c r="O322">
        <v>320</v>
      </c>
      <c r="P322">
        <v>321</v>
      </c>
      <c r="Q322">
        <v>0.2424</v>
      </c>
      <c r="R322">
        <v>0.59</v>
      </c>
      <c r="S322">
        <v>0</v>
      </c>
      <c r="T322">
        <v>0</v>
      </c>
      <c r="U322">
        <v>68</v>
      </c>
      <c r="V322">
        <v>68</v>
      </c>
    </row>
    <row r="323" spans="1:22" x14ac:dyDescent="0.3">
      <c r="A323">
        <v>322</v>
      </c>
      <c r="B323" s="1">
        <v>40557</v>
      </c>
      <c r="C323">
        <v>1</v>
      </c>
      <c r="D323">
        <v>0</v>
      </c>
      <c r="E323" t="str">
        <f>TEXT(Append1[[#This Row],[dteday]],"MMMM")</f>
        <v>January</v>
      </c>
      <c r="F323">
        <v>1</v>
      </c>
      <c r="G323">
        <v>21</v>
      </c>
      <c r="H323" t="b">
        <v>0</v>
      </c>
      <c r="I323" t="str">
        <f>TEXT(Append1[[#This Row],[dteday]],"DDDD")</f>
        <v>Friday</v>
      </c>
      <c r="J323" t="str" cm="1">
        <f t="array" ref="J323">_xlfn.IFS(Append1[[#This Row],[weekday cnt]]=0,"Weekend",Append1[[#This Row],[weekday cnt]]=6,"Weekend",Append1[[#This Row],[weekday cnt]]&gt;0,"Weekday")</f>
        <v>Weekday</v>
      </c>
      <c r="K323">
        <v>5</v>
      </c>
      <c r="L323" t="str" cm="1">
        <f t="array" ref="L3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23">
        <v>1</v>
      </c>
      <c r="N323">
        <v>0.16</v>
      </c>
      <c r="O323">
        <v>321</v>
      </c>
      <c r="P323">
        <v>322</v>
      </c>
      <c r="Q323">
        <v>0.2273</v>
      </c>
      <c r="R323">
        <v>0.69</v>
      </c>
      <c r="S323">
        <v>0</v>
      </c>
      <c r="T323">
        <v>4</v>
      </c>
      <c r="U323">
        <v>48</v>
      </c>
      <c r="V323">
        <v>52</v>
      </c>
    </row>
    <row r="324" spans="1:22" x14ac:dyDescent="0.3">
      <c r="A324">
        <v>323</v>
      </c>
      <c r="B324" s="1">
        <v>40557</v>
      </c>
      <c r="C324">
        <v>1</v>
      </c>
      <c r="D324">
        <v>0</v>
      </c>
      <c r="E324" t="str">
        <f>TEXT(Append1[[#This Row],[dteday]],"MMMM")</f>
        <v>January</v>
      </c>
      <c r="F324">
        <v>1</v>
      </c>
      <c r="G324">
        <v>22</v>
      </c>
      <c r="H324" t="b">
        <v>0</v>
      </c>
      <c r="I324" t="str">
        <f>TEXT(Append1[[#This Row],[dteday]],"DDDD")</f>
        <v>Friday</v>
      </c>
      <c r="J324" t="str" cm="1">
        <f t="array" ref="J324">_xlfn.IFS(Append1[[#This Row],[weekday cnt]]=0,"Weekend",Append1[[#This Row],[weekday cnt]]=6,"Weekend",Append1[[#This Row],[weekday cnt]]&gt;0,"Weekday")</f>
        <v>Weekday</v>
      </c>
      <c r="K324">
        <v>5</v>
      </c>
      <c r="L324" t="str" cm="1">
        <f t="array" ref="L3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24">
        <v>2</v>
      </c>
      <c r="N324">
        <v>0.16</v>
      </c>
      <c r="O324">
        <v>322</v>
      </c>
      <c r="P324">
        <v>323</v>
      </c>
      <c r="Q324">
        <v>0.2273</v>
      </c>
      <c r="R324">
        <v>0.69</v>
      </c>
      <c r="S324">
        <v>0</v>
      </c>
      <c r="T324">
        <v>2</v>
      </c>
      <c r="U324">
        <v>34</v>
      </c>
      <c r="V324">
        <v>36</v>
      </c>
    </row>
    <row r="325" spans="1:22" x14ac:dyDescent="0.3">
      <c r="A325">
        <v>324</v>
      </c>
      <c r="B325" s="1">
        <v>40557</v>
      </c>
      <c r="C325">
        <v>1</v>
      </c>
      <c r="D325">
        <v>0</v>
      </c>
      <c r="E325" t="str">
        <f>TEXT(Append1[[#This Row],[dteday]],"MMMM")</f>
        <v>January</v>
      </c>
      <c r="F325">
        <v>1</v>
      </c>
      <c r="G325">
        <v>23</v>
      </c>
      <c r="H325" t="b">
        <v>0</v>
      </c>
      <c r="I325" t="str">
        <f>TEXT(Append1[[#This Row],[dteday]],"DDDD")</f>
        <v>Friday</v>
      </c>
      <c r="J325" t="str" cm="1">
        <f t="array" ref="J325">_xlfn.IFS(Append1[[#This Row],[weekday cnt]]=0,"Weekend",Append1[[#This Row],[weekday cnt]]=6,"Weekend",Append1[[#This Row],[weekday cnt]]&gt;0,"Weekday")</f>
        <v>Weekday</v>
      </c>
      <c r="K325">
        <v>5</v>
      </c>
      <c r="L325" t="str" cm="1">
        <f t="array" ref="L3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25">
        <v>2</v>
      </c>
      <c r="N325">
        <v>0.18</v>
      </c>
      <c r="O325">
        <v>323</v>
      </c>
      <c r="P325">
        <v>324</v>
      </c>
      <c r="Q325">
        <v>0.2424</v>
      </c>
      <c r="R325">
        <v>0.55000000000000004</v>
      </c>
      <c r="S325">
        <v>0</v>
      </c>
      <c r="T325">
        <v>1</v>
      </c>
      <c r="U325">
        <v>26</v>
      </c>
      <c r="V325">
        <v>27</v>
      </c>
    </row>
    <row r="326" spans="1:22" x14ac:dyDescent="0.3">
      <c r="A326">
        <v>325</v>
      </c>
      <c r="B326" s="1">
        <v>40558</v>
      </c>
      <c r="C326">
        <v>1</v>
      </c>
      <c r="D326">
        <v>0</v>
      </c>
      <c r="E326" t="str">
        <f>TEXT(Append1[[#This Row],[dteday]],"MMMM")</f>
        <v>January</v>
      </c>
      <c r="F326">
        <v>1</v>
      </c>
      <c r="G326">
        <v>0</v>
      </c>
      <c r="H326" t="b">
        <v>0</v>
      </c>
      <c r="I326" t="str">
        <f>TEXT(Append1[[#This Row],[dteday]],"DDDD")</f>
        <v>Saturday</v>
      </c>
      <c r="J326" t="str" cm="1">
        <f t="array" ref="J326">_xlfn.IFS(Append1[[#This Row],[weekday cnt]]=0,"Weekend",Append1[[#This Row],[weekday cnt]]=6,"Weekend",Append1[[#This Row],[weekday cnt]]&gt;0,"Weekday")</f>
        <v>Weekend</v>
      </c>
      <c r="K326">
        <v>6</v>
      </c>
      <c r="L326" t="str" cm="1">
        <f t="array" ref="L3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26">
        <v>1</v>
      </c>
      <c r="N326">
        <v>0.18</v>
      </c>
      <c r="O326">
        <v>324</v>
      </c>
      <c r="P326">
        <v>325</v>
      </c>
      <c r="Q326">
        <v>0.2424</v>
      </c>
      <c r="R326">
        <v>0.55000000000000004</v>
      </c>
      <c r="S326">
        <v>0</v>
      </c>
      <c r="T326">
        <v>3</v>
      </c>
      <c r="U326">
        <v>25</v>
      </c>
      <c r="V326">
        <v>28</v>
      </c>
    </row>
    <row r="327" spans="1:22" x14ac:dyDescent="0.3">
      <c r="A327">
        <v>326</v>
      </c>
      <c r="B327" s="1">
        <v>40558</v>
      </c>
      <c r="C327">
        <v>1</v>
      </c>
      <c r="D327">
        <v>0</v>
      </c>
      <c r="E327" t="str">
        <f>TEXT(Append1[[#This Row],[dteday]],"MMMM")</f>
        <v>January</v>
      </c>
      <c r="F327">
        <v>1</v>
      </c>
      <c r="G327">
        <v>1</v>
      </c>
      <c r="H327" t="b">
        <v>0</v>
      </c>
      <c r="I327" t="str">
        <f>TEXT(Append1[[#This Row],[dteday]],"DDDD")</f>
        <v>Saturday</v>
      </c>
      <c r="J327" t="str" cm="1">
        <f t="array" ref="J327">_xlfn.IFS(Append1[[#This Row],[weekday cnt]]=0,"Weekend",Append1[[#This Row],[weekday cnt]]=6,"Weekend",Append1[[#This Row],[weekday cnt]]&gt;0,"Weekday")</f>
        <v>Weekend</v>
      </c>
      <c r="K327">
        <v>6</v>
      </c>
      <c r="L327" t="str" cm="1">
        <f t="array" ref="L3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27">
        <v>2</v>
      </c>
      <c r="N327">
        <v>0.16</v>
      </c>
      <c r="O327">
        <v>325</v>
      </c>
      <c r="P327">
        <v>326</v>
      </c>
      <c r="Q327">
        <v>0.19700000000000001</v>
      </c>
      <c r="R327">
        <v>0.59</v>
      </c>
      <c r="S327">
        <v>8.9599999999999999E-2</v>
      </c>
      <c r="T327">
        <v>2</v>
      </c>
      <c r="U327">
        <v>18</v>
      </c>
      <c r="V327">
        <v>20</v>
      </c>
    </row>
    <row r="328" spans="1:22" x14ac:dyDescent="0.3">
      <c r="A328">
        <v>327</v>
      </c>
      <c r="B328" s="1">
        <v>40558</v>
      </c>
      <c r="C328">
        <v>1</v>
      </c>
      <c r="D328">
        <v>0</v>
      </c>
      <c r="E328" t="str">
        <f>TEXT(Append1[[#This Row],[dteday]],"MMMM")</f>
        <v>January</v>
      </c>
      <c r="F328">
        <v>1</v>
      </c>
      <c r="G328">
        <v>2</v>
      </c>
      <c r="H328" t="b">
        <v>0</v>
      </c>
      <c r="I328" t="str">
        <f>TEXT(Append1[[#This Row],[dteday]],"DDDD")</f>
        <v>Saturday</v>
      </c>
      <c r="J328" t="str" cm="1">
        <f t="array" ref="J328">_xlfn.IFS(Append1[[#This Row],[weekday cnt]]=0,"Weekend",Append1[[#This Row],[weekday cnt]]=6,"Weekend",Append1[[#This Row],[weekday cnt]]&gt;0,"Weekday")</f>
        <v>Weekend</v>
      </c>
      <c r="K328">
        <v>6</v>
      </c>
      <c r="L328" t="str" cm="1">
        <f t="array" ref="L3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28">
        <v>2</v>
      </c>
      <c r="N328">
        <v>0.16</v>
      </c>
      <c r="O328">
        <v>326</v>
      </c>
      <c r="P328">
        <v>327</v>
      </c>
      <c r="Q328">
        <v>0.19700000000000001</v>
      </c>
      <c r="R328">
        <v>0.59</v>
      </c>
      <c r="S328">
        <v>8.9599999999999999E-2</v>
      </c>
      <c r="T328">
        <v>0</v>
      </c>
      <c r="U328">
        <v>12</v>
      </c>
      <c r="V328">
        <v>12</v>
      </c>
    </row>
    <row r="329" spans="1:22" x14ac:dyDescent="0.3">
      <c r="A329">
        <v>328</v>
      </c>
      <c r="B329" s="1">
        <v>40558</v>
      </c>
      <c r="C329">
        <v>1</v>
      </c>
      <c r="D329">
        <v>0</v>
      </c>
      <c r="E329" t="str">
        <f>TEXT(Append1[[#This Row],[dteday]],"MMMM")</f>
        <v>January</v>
      </c>
      <c r="F329">
        <v>1</v>
      </c>
      <c r="G329">
        <v>3</v>
      </c>
      <c r="H329" t="b">
        <v>0</v>
      </c>
      <c r="I329" t="str">
        <f>TEXT(Append1[[#This Row],[dteday]],"DDDD")</f>
        <v>Saturday</v>
      </c>
      <c r="J329" t="str" cm="1">
        <f t="array" ref="J329">_xlfn.IFS(Append1[[#This Row],[weekday cnt]]=0,"Weekend",Append1[[#This Row],[weekday cnt]]=6,"Weekend",Append1[[#This Row],[weekday cnt]]&gt;0,"Weekday")</f>
        <v>Weekend</v>
      </c>
      <c r="K329">
        <v>6</v>
      </c>
      <c r="L329" t="str" cm="1">
        <f t="array" ref="L3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29">
        <v>2</v>
      </c>
      <c r="N329">
        <v>0.16</v>
      </c>
      <c r="O329">
        <v>327</v>
      </c>
      <c r="P329">
        <v>328</v>
      </c>
      <c r="Q329">
        <v>0.2273</v>
      </c>
      <c r="R329">
        <v>0.59</v>
      </c>
      <c r="S329">
        <v>0</v>
      </c>
      <c r="T329">
        <v>1</v>
      </c>
      <c r="U329">
        <v>7</v>
      </c>
      <c r="V329">
        <v>8</v>
      </c>
    </row>
    <row r="330" spans="1:22" x14ac:dyDescent="0.3">
      <c r="A330">
        <v>329</v>
      </c>
      <c r="B330" s="1">
        <v>40558</v>
      </c>
      <c r="C330">
        <v>1</v>
      </c>
      <c r="D330">
        <v>0</v>
      </c>
      <c r="E330" t="str">
        <f>TEXT(Append1[[#This Row],[dteday]],"MMMM")</f>
        <v>January</v>
      </c>
      <c r="F330">
        <v>1</v>
      </c>
      <c r="G330">
        <v>4</v>
      </c>
      <c r="H330" t="b">
        <v>0</v>
      </c>
      <c r="I330" t="str">
        <f>TEXT(Append1[[#This Row],[dteday]],"DDDD")</f>
        <v>Saturday</v>
      </c>
      <c r="J330" t="str" cm="1">
        <f t="array" ref="J330">_xlfn.IFS(Append1[[#This Row],[weekday cnt]]=0,"Weekend",Append1[[#This Row],[weekday cnt]]=6,"Weekend",Append1[[#This Row],[weekday cnt]]&gt;0,"Weekday")</f>
        <v>Weekend</v>
      </c>
      <c r="K330">
        <v>6</v>
      </c>
      <c r="L330" t="str" cm="1">
        <f t="array" ref="L3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30">
        <v>2</v>
      </c>
      <c r="N330">
        <v>0.16</v>
      </c>
      <c r="O330">
        <v>328</v>
      </c>
      <c r="P330">
        <v>329</v>
      </c>
      <c r="Q330">
        <v>0.2273</v>
      </c>
      <c r="R330">
        <v>0.59</v>
      </c>
      <c r="S330">
        <v>0</v>
      </c>
      <c r="T330">
        <v>0</v>
      </c>
      <c r="U330">
        <v>5</v>
      </c>
      <c r="V330">
        <v>5</v>
      </c>
    </row>
    <row r="331" spans="1:22" x14ac:dyDescent="0.3">
      <c r="A331">
        <v>330</v>
      </c>
      <c r="B331" s="1">
        <v>40558</v>
      </c>
      <c r="C331">
        <v>1</v>
      </c>
      <c r="D331">
        <v>0</v>
      </c>
      <c r="E331" t="str">
        <f>TEXT(Append1[[#This Row],[dteday]],"MMMM")</f>
        <v>January</v>
      </c>
      <c r="F331">
        <v>1</v>
      </c>
      <c r="G331">
        <v>5</v>
      </c>
      <c r="H331" t="b">
        <v>0</v>
      </c>
      <c r="I331" t="str">
        <f>TEXT(Append1[[#This Row],[dteday]],"DDDD")</f>
        <v>Saturday</v>
      </c>
      <c r="J331" t="str" cm="1">
        <f t="array" ref="J331">_xlfn.IFS(Append1[[#This Row],[weekday cnt]]=0,"Weekend",Append1[[#This Row],[weekday cnt]]=6,"Weekend",Append1[[#This Row],[weekday cnt]]&gt;0,"Weekday")</f>
        <v>Weekend</v>
      </c>
      <c r="K331">
        <v>6</v>
      </c>
      <c r="L331" t="str" cm="1">
        <f t="array" ref="L3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31">
        <v>1</v>
      </c>
      <c r="N331">
        <v>0.16</v>
      </c>
      <c r="O331">
        <v>329</v>
      </c>
      <c r="P331">
        <v>330</v>
      </c>
      <c r="Q331">
        <v>0.2273</v>
      </c>
      <c r="R331">
        <v>0.59</v>
      </c>
      <c r="S331">
        <v>0</v>
      </c>
      <c r="T331">
        <v>0</v>
      </c>
      <c r="U331">
        <v>1</v>
      </c>
      <c r="V331">
        <v>1</v>
      </c>
    </row>
    <row r="332" spans="1:22" x14ac:dyDescent="0.3">
      <c r="A332">
        <v>331</v>
      </c>
      <c r="B332" s="1">
        <v>40558</v>
      </c>
      <c r="C332">
        <v>1</v>
      </c>
      <c r="D332">
        <v>0</v>
      </c>
      <c r="E332" t="str">
        <f>TEXT(Append1[[#This Row],[dteday]],"MMMM")</f>
        <v>January</v>
      </c>
      <c r="F332">
        <v>1</v>
      </c>
      <c r="G332">
        <v>6</v>
      </c>
      <c r="H332" t="b">
        <v>0</v>
      </c>
      <c r="I332" t="str">
        <f>TEXT(Append1[[#This Row],[dteday]],"DDDD")</f>
        <v>Saturday</v>
      </c>
      <c r="J332" t="str" cm="1">
        <f t="array" ref="J332">_xlfn.IFS(Append1[[#This Row],[weekday cnt]]=0,"Weekend",Append1[[#This Row],[weekday cnt]]=6,"Weekend",Append1[[#This Row],[weekday cnt]]&gt;0,"Weekday")</f>
        <v>Weekend</v>
      </c>
      <c r="K332">
        <v>6</v>
      </c>
      <c r="L332" t="str" cm="1">
        <f t="array" ref="L3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32">
        <v>1</v>
      </c>
      <c r="N332">
        <v>0.14000000000000001</v>
      </c>
      <c r="O332">
        <v>330</v>
      </c>
      <c r="P332">
        <v>331</v>
      </c>
      <c r="Q332">
        <v>0.16669999999999999</v>
      </c>
      <c r="R332">
        <v>0.63</v>
      </c>
      <c r="S332">
        <v>0.1045</v>
      </c>
      <c r="T332">
        <v>1</v>
      </c>
      <c r="U332">
        <v>2</v>
      </c>
      <c r="V332">
        <v>3</v>
      </c>
    </row>
    <row r="333" spans="1:22" x14ac:dyDescent="0.3">
      <c r="A333">
        <v>332</v>
      </c>
      <c r="B333" s="1">
        <v>40558</v>
      </c>
      <c r="C333">
        <v>1</v>
      </c>
      <c r="D333">
        <v>0</v>
      </c>
      <c r="E333" t="str">
        <f>TEXT(Append1[[#This Row],[dteday]],"MMMM")</f>
        <v>January</v>
      </c>
      <c r="F333">
        <v>1</v>
      </c>
      <c r="G333">
        <v>7</v>
      </c>
      <c r="H333" t="b">
        <v>0</v>
      </c>
      <c r="I333" t="str">
        <f>TEXT(Append1[[#This Row],[dteday]],"DDDD")</f>
        <v>Saturday</v>
      </c>
      <c r="J333" t="str" cm="1">
        <f t="array" ref="J333">_xlfn.IFS(Append1[[#This Row],[weekday cnt]]=0,"Weekend",Append1[[#This Row],[weekday cnt]]=6,"Weekend",Append1[[#This Row],[weekday cnt]]&gt;0,"Weekday")</f>
        <v>Weekend</v>
      </c>
      <c r="K333">
        <v>6</v>
      </c>
      <c r="L333" t="str" cm="1">
        <f t="array" ref="L3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33">
        <v>1</v>
      </c>
      <c r="N333">
        <v>0.14000000000000001</v>
      </c>
      <c r="O333">
        <v>331</v>
      </c>
      <c r="P333">
        <v>332</v>
      </c>
      <c r="Q333">
        <v>0.21210000000000001</v>
      </c>
      <c r="R333">
        <v>0.63</v>
      </c>
      <c r="S333">
        <v>0</v>
      </c>
      <c r="T333">
        <v>1</v>
      </c>
      <c r="U333">
        <v>9</v>
      </c>
      <c r="V333">
        <v>10</v>
      </c>
    </row>
    <row r="334" spans="1:22" x14ac:dyDescent="0.3">
      <c r="A334">
        <v>333</v>
      </c>
      <c r="B334" s="1">
        <v>40558</v>
      </c>
      <c r="C334">
        <v>1</v>
      </c>
      <c r="D334">
        <v>0</v>
      </c>
      <c r="E334" t="str">
        <f>TEXT(Append1[[#This Row],[dteday]],"MMMM")</f>
        <v>January</v>
      </c>
      <c r="F334">
        <v>1</v>
      </c>
      <c r="G334">
        <v>8</v>
      </c>
      <c r="H334" t="b">
        <v>0</v>
      </c>
      <c r="I334" t="str">
        <f>TEXT(Append1[[#This Row],[dteday]],"DDDD")</f>
        <v>Saturday</v>
      </c>
      <c r="J334" t="str" cm="1">
        <f t="array" ref="J334">_xlfn.IFS(Append1[[#This Row],[weekday cnt]]=0,"Weekend",Append1[[#This Row],[weekday cnt]]=6,"Weekend",Append1[[#This Row],[weekday cnt]]&gt;0,"Weekday")</f>
        <v>Weekend</v>
      </c>
      <c r="K334">
        <v>6</v>
      </c>
      <c r="L334" t="str" cm="1">
        <f t="array" ref="L3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34">
        <v>1</v>
      </c>
      <c r="N334">
        <v>0.14000000000000001</v>
      </c>
      <c r="O334">
        <v>332</v>
      </c>
      <c r="P334">
        <v>333</v>
      </c>
      <c r="Q334">
        <v>0.1515</v>
      </c>
      <c r="R334">
        <v>0.63</v>
      </c>
      <c r="S334">
        <v>0.1343</v>
      </c>
      <c r="T334">
        <v>1</v>
      </c>
      <c r="U334">
        <v>22</v>
      </c>
      <c r="V334">
        <v>23</v>
      </c>
    </row>
    <row r="335" spans="1:22" x14ac:dyDescent="0.3">
      <c r="A335">
        <v>334</v>
      </c>
      <c r="B335" s="1">
        <v>40558</v>
      </c>
      <c r="C335">
        <v>1</v>
      </c>
      <c r="D335">
        <v>0</v>
      </c>
      <c r="E335" t="str">
        <f>TEXT(Append1[[#This Row],[dteday]],"MMMM")</f>
        <v>January</v>
      </c>
      <c r="F335">
        <v>1</v>
      </c>
      <c r="G335">
        <v>9</v>
      </c>
      <c r="H335" t="b">
        <v>0</v>
      </c>
      <c r="I335" t="str">
        <f>TEXT(Append1[[#This Row],[dteday]],"DDDD")</f>
        <v>Saturday</v>
      </c>
      <c r="J335" t="str" cm="1">
        <f t="array" ref="J335">_xlfn.IFS(Append1[[#This Row],[weekday cnt]]=0,"Weekend",Append1[[#This Row],[weekday cnt]]=6,"Weekend",Append1[[#This Row],[weekday cnt]]&gt;0,"Weekday")</f>
        <v>Weekend</v>
      </c>
      <c r="K335">
        <v>6</v>
      </c>
      <c r="L335" t="str" cm="1">
        <f t="array" ref="L3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35">
        <v>1</v>
      </c>
      <c r="N335">
        <v>0.16</v>
      </c>
      <c r="O335">
        <v>333</v>
      </c>
      <c r="P335">
        <v>334</v>
      </c>
      <c r="Q335">
        <v>0.18179999999999999</v>
      </c>
      <c r="R335">
        <v>0.64</v>
      </c>
      <c r="S335">
        <v>0.1343</v>
      </c>
      <c r="T335">
        <v>2</v>
      </c>
      <c r="U335">
        <v>31</v>
      </c>
      <c r="V335">
        <v>33</v>
      </c>
    </row>
    <row r="336" spans="1:22" x14ac:dyDescent="0.3">
      <c r="A336">
        <v>335</v>
      </c>
      <c r="B336" s="1">
        <v>40558</v>
      </c>
      <c r="C336">
        <v>1</v>
      </c>
      <c r="D336">
        <v>0</v>
      </c>
      <c r="E336" t="str">
        <f>TEXT(Append1[[#This Row],[dteday]],"MMMM")</f>
        <v>January</v>
      </c>
      <c r="F336">
        <v>1</v>
      </c>
      <c r="G336">
        <v>10</v>
      </c>
      <c r="H336" t="b">
        <v>0</v>
      </c>
      <c r="I336" t="str">
        <f>TEXT(Append1[[#This Row],[dteday]],"DDDD")</f>
        <v>Saturday</v>
      </c>
      <c r="J336" t="str" cm="1">
        <f t="array" ref="J336">_xlfn.IFS(Append1[[#This Row],[weekday cnt]]=0,"Weekend",Append1[[#This Row],[weekday cnt]]=6,"Weekend",Append1[[#This Row],[weekday cnt]]&gt;0,"Weekday")</f>
        <v>Weekend</v>
      </c>
      <c r="K336">
        <v>6</v>
      </c>
      <c r="L336" t="str" cm="1">
        <f t="array" ref="L3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36">
        <v>1</v>
      </c>
      <c r="N336">
        <v>0.18</v>
      </c>
      <c r="O336">
        <v>334</v>
      </c>
      <c r="P336">
        <v>335</v>
      </c>
      <c r="Q336">
        <v>0.19700000000000001</v>
      </c>
      <c r="R336">
        <v>0.59</v>
      </c>
      <c r="S336">
        <v>0.16420000000000001</v>
      </c>
      <c r="T336">
        <v>2</v>
      </c>
      <c r="U336">
        <v>57</v>
      </c>
      <c r="V336">
        <v>59</v>
      </c>
    </row>
    <row r="337" spans="1:22" x14ac:dyDescent="0.3">
      <c r="A337">
        <v>336</v>
      </c>
      <c r="B337" s="1">
        <v>40558</v>
      </c>
      <c r="C337">
        <v>1</v>
      </c>
      <c r="D337">
        <v>0</v>
      </c>
      <c r="E337" t="str">
        <f>TEXT(Append1[[#This Row],[dteday]],"MMMM")</f>
        <v>January</v>
      </c>
      <c r="F337">
        <v>1</v>
      </c>
      <c r="G337">
        <v>11</v>
      </c>
      <c r="H337" t="b">
        <v>0</v>
      </c>
      <c r="I337" t="str">
        <f>TEXT(Append1[[#This Row],[dteday]],"DDDD")</f>
        <v>Saturday</v>
      </c>
      <c r="J337" t="str" cm="1">
        <f t="array" ref="J337">_xlfn.IFS(Append1[[#This Row],[weekday cnt]]=0,"Weekend",Append1[[#This Row],[weekday cnt]]=6,"Weekend",Append1[[#This Row],[weekday cnt]]&gt;0,"Weekday")</f>
        <v>Weekend</v>
      </c>
      <c r="K337">
        <v>6</v>
      </c>
      <c r="L337" t="str" cm="1">
        <f t="array" ref="L3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37">
        <v>1</v>
      </c>
      <c r="N337">
        <v>0.2</v>
      </c>
      <c r="O337">
        <v>335</v>
      </c>
      <c r="P337">
        <v>336</v>
      </c>
      <c r="Q337">
        <v>0.19700000000000001</v>
      </c>
      <c r="R337">
        <v>0.55000000000000004</v>
      </c>
      <c r="S337">
        <v>0.22389999999999999</v>
      </c>
      <c r="T337">
        <v>18</v>
      </c>
      <c r="U337">
        <v>54</v>
      </c>
      <c r="V337">
        <v>72</v>
      </c>
    </row>
    <row r="338" spans="1:22" x14ac:dyDescent="0.3">
      <c r="A338">
        <v>337</v>
      </c>
      <c r="B338" s="1">
        <v>40558</v>
      </c>
      <c r="C338">
        <v>1</v>
      </c>
      <c r="D338">
        <v>0</v>
      </c>
      <c r="E338" t="str">
        <f>TEXT(Append1[[#This Row],[dteday]],"MMMM")</f>
        <v>January</v>
      </c>
      <c r="F338">
        <v>1</v>
      </c>
      <c r="G338">
        <v>12</v>
      </c>
      <c r="H338" t="b">
        <v>0</v>
      </c>
      <c r="I338" t="str">
        <f>TEXT(Append1[[#This Row],[dteday]],"DDDD")</f>
        <v>Saturday</v>
      </c>
      <c r="J338" t="str" cm="1">
        <f t="array" ref="J338">_xlfn.IFS(Append1[[#This Row],[weekday cnt]]=0,"Weekend",Append1[[#This Row],[weekday cnt]]=6,"Weekend",Append1[[#This Row],[weekday cnt]]&gt;0,"Weekday")</f>
        <v>Weekend</v>
      </c>
      <c r="K338">
        <v>6</v>
      </c>
      <c r="L338" t="str" cm="1">
        <f t="array" ref="L3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38">
        <v>1</v>
      </c>
      <c r="N338">
        <v>0.24</v>
      </c>
      <c r="O338">
        <v>336</v>
      </c>
      <c r="P338">
        <v>337</v>
      </c>
      <c r="Q338">
        <v>0.2273</v>
      </c>
      <c r="R338">
        <v>0.48</v>
      </c>
      <c r="S338">
        <v>0.22389999999999999</v>
      </c>
      <c r="T338">
        <v>15</v>
      </c>
      <c r="U338">
        <v>74</v>
      </c>
      <c r="V338">
        <v>89</v>
      </c>
    </row>
    <row r="339" spans="1:22" x14ac:dyDescent="0.3">
      <c r="A339">
        <v>338</v>
      </c>
      <c r="B339" s="1">
        <v>40558</v>
      </c>
      <c r="C339">
        <v>1</v>
      </c>
      <c r="D339">
        <v>0</v>
      </c>
      <c r="E339" t="str">
        <f>TEXT(Append1[[#This Row],[dteday]],"MMMM")</f>
        <v>January</v>
      </c>
      <c r="F339">
        <v>1</v>
      </c>
      <c r="G339">
        <v>13</v>
      </c>
      <c r="H339" t="b">
        <v>0</v>
      </c>
      <c r="I339" t="str">
        <f>TEXT(Append1[[#This Row],[dteday]],"DDDD")</f>
        <v>Saturday</v>
      </c>
      <c r="J339" t="str" cm="1">
        <f t="array" ref="J339">_xlfn.IFS(Append1[[#This Row],[weekday cnt]]=0,"Weekend",Append1[[#This Row],[weekday cnt]]=6,"Weekend",Append1[[#This Row],[weekday cnt]]&gt;0,"Weekday")</f>
        <v>Weekend</v>
      </c>
      <c r="K339">
        <v>6</v>
      </c>
      <c r="L339" t="str" cm="1">
        <f t="array" ref="L3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39">
        <v>1</v>
      </c>
      <c r="N339">
        <v>0.28000000000000003</v>
      </c>
      <c r="O339">
        <v>337</v>
      </c>
      <c r="P339">
        <v>338</v>
      </c>
      <c r="Q339">
        <v>0.2576</v>
      </c>
      <c r="R339">
        <v>0.38</v>
      </c>
      <c r="S339">
        <v>0.29849999999999999</v>
      </c>
      <c r="T339">
        <v>21</v>
      </c>
      <c r="U339">
        <v>80</v>
      </c>
      <c r="V339">
        <v>101</v>
      </c>
    </row>
    <row r="340" spans="1:22" x14ac:dyDescent="0.3">
      <c r="A340">
        <v>339</v>
      </c>
      <c r="B340" s="1">
        <v>40558</v>
      </c>
      <c r="C340">
        <v>1</v>
      </c>
      <c r="D340">
        <v>0</v>
      </c>
      <c r="E340" t="str">
        <f>TEXT(Append1[[#This Row],[dteday]],"MMMM")</f>
        <v>January</v>
      </c>
      <c r="F340">
        <v>1</v>
      </c>
      <c r="G340">
        <v>14</v>
      </c>
      <c r="H340" t="b">
        <v>0</v>
      </c>
      <c r="I340" t="str">
        <f>TEXT(Append1[[#This Row],[dteday]],"DDDD")</f>
        <v>Saturday</v>
      </c>
      <c r="J340" t="str" cm="1">
        <f t="array" ref="J340">_xlfn.IFS(Append1[[#This Row],[weekday cnt]]=0,"Weekend",Append1[[#This Row],[weekday cnt]]=6,"Weekend",Append1[[#This Row],[weekday cnt]]&gt;0,"Weekday")</f>
        <v>Weekend</v>
      </c>
      <c r="K340">
        <v>6</v>
      </c>
      <c r="L340" t="str" cm="1">
        <f t="array" ref="L3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40">
        <v>1</v>
      </c>
      <c r="N340">
        <v>0.3</v>
      </c>
      <c r="O340">
        <v>338</v>
      </c>
      <c r="P340">
        <v>339</v>
      </c>
      <c r="Q340">
        <v>0.28789999999999999</v>
      </c>
      <c r="R340">
        <v>0.39</v>
      </c>
      <c r="S340">
        <v>0.28360000000000002</v>
      </c>
      <c r="T340">
        <v>26</v>
      </c>
      <c r="U340">
        <v>92</v>
      </c>
      <c r="V340">
        <v>118</v>
      </c>
    </row>
    <row r="341" spans="1:22" x14ac:dyDescent="0.3">
      <c r="A341">
        <v>340</v>
      </c>
      <c r="B341" s="1">
        <v>40558</v>
      </c>
      <c r="C341">
        <v>1</v>
      </c>
      <c r="D341">
        <v>0</v>
      </c>
      <c r="E341" t="str">
        <f>TEXT(Append1[[#This Row],[dteday]],"MMMM")</f>
        <v>January</v>
      </c>
      <c r="F341">
        <v>1</v>
      </c>
      <c r="G341">
        <v>15</v>
      </c>
      <c r="H341" t="b">
        <v>0</v>
      </c>
      <c r="I341" t="str">
        <f>TEXT(Append1[[#This Row],[dteday]],"DDDD")</f>
        <v>Saturday</v>
      </c>
      <c r="J341" t="str" cm="1">
        <f t="array" ref="J341">_xlfn.IFS(Append1[[#This Row],[weekday cnt]]=0,"Weekend",Append1[[#This Row],[weekday cnt]]=6,"Weekend",Append1[[#This Row],[weekday cnt]]&gt;0,"Weekday")</f>
        <v>Weekend</v>
      </c>
      <c r="K341">
        <v>6</v>
      </c>
      <c r="L341" t="str" cm="1">
        <f t="array" ref="L3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41">
        <v>2</v>
      </c>
      <c r="N341">
        <v>0.32</v>
      </c>
      <c r="O341">
        <v>339</v>
      </c>
      <c r="P341">
        <v>340</v>
      </c>
      <c r="Q341">
        <v>0.31819999999999998</v>
      </c>
      <c r="R341">
        <v>0.36</v>
      </c>
      <c r="S341">
        <v>0.19400000000000001</v>
      </c>
      <c r="T341">
        <v>21</v>
      </c>
      <c r="U341">
        <v>108</v>
      </c>
      <c r="V341">
        <v>129</v>
      </c>
    </row>
    <row r="342" spans="1:22" x14ac:dyDescent="0.3">
      <c r="A342">
        <v>341</v>
      </c>
      <c r="B342" s="1">
        <v>40558</v>
      </c>
      <c r="C342">
        <v>1</v>
      </c>
      <c r="D342">
        <v>0</v>
      </c>
      <c r="E342" t="str">
        <f>TEXT(Append1[[#This Row],[dteday]],"MMMM")</f>
        <v>January</v>
      </c>
      <c r="F342">
        <v>1</v>
      </c>
      <c r="G342">
        <v>16</v>
      </c>
      <c r="H342" t="b">
        <v>0</v>
      </c>
      <c r="I342" t="str">
        <f>TEXT(Append1[[#This Row],[dteday]],"DDDD")</f>
        <v>Saturday</v>
      </c>
      <c r="J342" t="str" cm="1">
        <f t="array" ref="J342">_xlfn.IFS(Append1[[#This Row],[weekday cnt]]=0,"Weekend",Append1[[#This Row],[weekday cnt]]=6,"Weekend",Append1[[#This Row],[weekday cnt]]&gt;0,"Weekday")</f>
        <v>Weekend</v>
      </c>
      <c r="K342">
        <v>6</v>
      </c>
      <c r="L342" t="str" cm="1">
        <f t="array" ref="L3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42">
        <v>2</v>
      </c>
      <c r="N342">
        <v>0.34</v>
      </c>
      <c r="O342">
        <v>340</v>
      </c>
      <c r="P342">
        <v>341</v>
      </c>
      <c r="Q342">
        <v>0.33329999999999999</v>
      </c>
      <c r="R342">
        <v>0.34</v>
      </c>
      <c r="S342">
        <v>0.19400000000000001</v>
      </c>
      <c r="T342">
        <v>33</v>
      </c>
      <c r="U342">
        <v>95</v>
      </c>
      <c r="V342">
        <v>128</v>
      </c>
    </row>
    <row r="343" spans="1:22" x14ac:dyDescent="0.3">
      <c r="A343">
        <v>342</v>
      </c>
      <c r="B343" s="1">
        <v>40558</v>
      </c>
      <c r="C343">
        <v>1</v>
      </c>
      <c r="D343">
        <v>0</v>
      </c>
      <c r="E343" t="str">
        <f>TEXT(Append1[[#This Row],[dteday]],"MMMM")</f>
        <v>January</v>
      </c>
      <c r="F343">
        <v>1</v>
      </c>
      <c r="G343">
        <v>17</v>
      </c>
      <c r="H343" t="b">
        <v>0</v>
      </c>
      <c r="I343" t="str">
        <f>TEXT(Append1[[#This Row],[dteday]],"DDDD")</f>
        <v>Saturday</v>
      </c>
      <c r="J343" t="str" cm="1">
        <f t="array" ref="J343">_xlfn.IFS(Append1[[#This Row],[weekday cnt]]=0,"Weekend",Append1[[#This Row],[weekday cnt]]=6,"Weekend",Append1[[#This Row],[weekday cnt]]&gt;0,"Weekday")</f>
        <v>Weekend</v>
      </c>
      <c r="K343">
        <v>6</v>
      </c>
      <c r="L343" t="str" cm="1">
        <f t="array" ref="L3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43">
        <v>2</v>
      </c>
      <c r="N343">
        <v>0.32</v>
      </c>
      <c r="O343">
        <v>341</v>
      </c>
      <c r="P343">
        <v>342</v>
      </c>
      <c r="Q343">
        <v>0.30299999999999999</v>
      </c>
      <c r="R343">
        <v>0.36</v>
      </c>
      <c r="S343">
        <v>0.28360000000000002</v>
      </c>
      <c r="T343">
        <v>29</v>
      </c>
      <c r="U343">
        <v>54</v>
      </c>
      <c r="V343">
        <v>83</v>
      </c>
    </row>
    <row r="344" spans="1:22" x14ac:dyDescent="0.3">
      <c r="A344">
        <v>343</v>
      </c>
      <c r="B344" s="1">
        <v>40558</v>
      </c>
      <c r="C344">
        <v>1</v>
      </c>
      <c r="D344">
        <v>0</v>
      </c>
      <c r="E344" t="str">
        <f>TEXT(Append1[[#This Row],[dteday]],"MMMM")</f>
        <v>January</v>
      </c>
      <c r="F344">
        <v>1</v>
      </c>
      <c r="G344">
        <v>18</v>
      </c>
      <c r="H344" t="b">
        <v>0</v>
      </c>
      <c r="I344" t="str">
        <f>TEXT(Append1[[#This Row],[dteday]],"DDDD")</f>
        <v>Saturday</v>
      </c>
      <c r="J344" t="str" cm="1">
        <f t="array" ref="J344">_xlfn.IFS(Append1[[#This Row],[weekday cnt]]=0,"Weekend",Append1[[#This Row],[weekday cnt]]=6,"Weekend",Append1[[#This Row],[weekday cnt]]&gt;0,"Weekday")</f>
        <v>Weekend</v>
      </c>
      <c r="K344">
        <v>6</v>
      </c>
      <c r="L344" t="str" cm="1">
        <f t="array" ref="L3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44">
        <v>2</v>
      </c>
      <c r="N344">
        <v>0.3</v>
      </c>
      <c r="O344">
        <v>342</v>
      </c>
      <c r="P344">
        <v>343</v>
      </c>
      <c r="Q344">
        <v>0.28789999999999999</v>
      </c>
      <c r="R344">
        <v>0.45</v>
      </c>
      <c r="S344">
        <v>0.25369999999999998</v>
      </c>
      <c r="T344">
        <v>15</v>
      </c>
      <c r="U344">
        <v>69</v>
      </c>
      <c r="V344">
        <v>84</v>
      </c>
    </row>
    <row r="345" spans="1:22" x14ac:dyDescent="0.3">
      <c r="A345">
        <v>344</v>
      </c>
      <c r="B345" s="1">
        <v>40558</v>
      </c>
      <c r="C345">
        <v>1</v>
      </c>
      <c r="D345">
        <v>0</v>
      </c>
      <c r="E345" t="str">
        <f>TEXT(Append1[[#This Row],[dteday]],"MMMM")</f>
        <v>January</v>
      </c>
      <c r="F345">
        <v>1</v>
      </c>
      <c r="G345">
        <v>19</v>
      </c>
      <c r="H345" t="b">
        <v>0</v>
      </c>
      <c r="I345" t="str">
        <f>TEXT(Append1[[#This Row],[dteday]],"DDDD")</f>
        <v>Saturday</v>
      </c>
      <c r="J345" t="str" cm="1">
        <f t="array" ref="J345">_xlfn.IFS(Append1[[#This Row],[weekday cnt]]=0,"Weekend",Append1[[#This Row],[weekday cnt]]=6,"Weekend",Append1[[#This Row],[weekday cnt]]&gt;0,"Weekday")</f>
        <v>Weekend</v>
      </c>
      <c r="K345">
        <v>6</v>
      </c>
      <c r="L345" t="str" cm="1">
        <f t="array" ref="L3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45">
        <v>2</v>
      </c>
      <c r="N345">
        <v>0.32</v>
      </c>
      <c r="O345">
        <v>343</v>
      </c>
      <c r="P345">
        <v>344</v>
      </c>
      <c r="Q345">
        <v>0.30299999999999999</v>
      </c>
      <c r="R345">
        <v>0.39</v>
      </c>
      <c r="S345">
        <v>0.25369999999999998</v>
      </c>
      <c r="T345">
        <v>14</v>
      </c>
      <c r="U345">
        <v>60</v>
      </c>
      <c r="V345">
        <v>74</v>
      </c>
    </row>
    <row r="346" spans="1:22" x14ac:dyDescent="0.3">
      <c r="A346">
        <v>345</v>
      </c>
      <c r="B346" s="1">
        <v>40558</v>
      </c>
      <c r="C346">
        <v>1</v>
      </c>
      <c r="D346">
        <v>0</v>
      </c>
      <c r="E346" t="str">
        <f>TEXT(Append1[[#This Row],[dteday]],"MMMM")</f>
        <v>January</v>
      </c>
      <c r="F346">
        <v>1</v>
      </c>
      <c r="G346">
        <v>20</v>
      </c>
      <c r="H346" t="b">
        <v>0</v>
      </c>
      <c r="I346" t="str">
        <f>TEXT(Append1[[#This Row],[dteday]],"DDDD")</f>
        <v>Saturday</v>
      </c>
      <c r="J346" t="str" cm="1">
        <f t="array" ref="J346">_xlfn.IFS(Append1[[#This Row],[weekday cnt]]=0,"Weekend",Append1[[#This Row],[weekday cnt]]=6,"Weekend",Append1[[#This Row],[weekday cnt]]&gt;0,"Weekday")</f>
        <v>Weekend</v>
      </c>
      <c r="K346">
        <v>6</v>
      </c>
      <c r="L346" t="str" cm="1">
        <f t="array" ref="L3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46">
        <v>2</v>
      </c>
      <c r="N346">
        <v>0.32</v>
      </c>
      <c r="O346">
        <v>344</v>
      </c>
      <c r="P346">
        <v>345</v>
      </c>
      <c r="Q346">
        <v>0.30299999999999999</v>
      </c>
      <c r="R346">
        <v>0.39</v>
      </c>
      <c r="S346">
        <v>0.25369999999999998</v>
      </c>
      <c r="T346">
        <v>6</v>
      </c>
      <c r="U346">
        <v>35</v>
      </c>
      <c r="V346">
        <v>41</v>
      </c>
    </row>
    <row r="347" spans="1:22" x14ac:dyDescent="0.3">
      <c r="A347">
        <v>346</v>
      </c>
      <c r="B347" s="1">
        <v>40558</v>
      </c>
      <c r="C347">
        <v>1</v>
      </c>
      <c r="D347">
        <v>0</v>
      </c>
      <c r="E347" t="str">
        <f>TEXT(Append1[[#This Row],[dteday]],"MMMM")</f>
        <v>January</v>
      </c>
      <c r="F347">
        <v>1</v>
      </c>
      <c r="G347">
        <v>21</v>
      </c>
      <c r="H347" t="b">
        <v>0</v>
      </c>
      <c r="I347" t="str">
        <f>TEXT(Append1[[#This Row],[dteday]],"DDDD")</f>
        <v>Saturday</v>
      </c>
      <c r="J347" t="str" cm="1">
        <f t="array" ref="J347">_xlfn.IFS(Append1[[#This Row],[weekday cnt]]=0,"Weekend",Append1[[#This Row],[weekday cnt]]=6,"Weekend",Append1[[#This Row],[weekday cnt]]&gt;0,"Weekday")</f>
        <v>Weekend</v>
      </c>
      <c r="K347">
        <v>6</v>
      </c>
      <c r="L347" t="str" cm="1">
        <f t="array" ref="L3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47">
        <v>2</v>
      </c>
      <c r="N347">
        <v>0.32</v>
      </c>
      <c r="O347">
        <v>345</v>
      </c>
      <c r="P347">
        <v>346</v>
      </c>
      <c r="Q347">
        <v>0.30299999999999999</v>
      </c>
      <c r="R347">
        <v>0.39</v>
      </c>
      <c r="S347">
        <v>0.22389999999999999</v>
      </c>
      <c r="T347">
        <v>6</v>
      </c>
      <c r="U347">
        <v>51</v>
      </c>
      <c r="V347">
        <v>57</v>
      </c>
    </row>
    <row r="348" spans="1:22" x14ac:dyDescent="0.3">
      <c r="A348">
        <v>347</v>
      </c>
      <c r="B348" s="1">
        <v>40558</v>
      </c>
      <c r="C348">
        <v>1</v>
      </c>
      <c r="D348">
        <v>0</v>
      </c>
      <c r="E348" t="str">
        <f>TEXT(Append1[[#This Row],[dteday]],"MMMM")</f>
        <v>January</v>
      </c>
      <c r="F348">
        <v>1</v>
      </c>
      <c r="G348">
        <v>22</v>
      </c>
      <c r="H348" t="b">
        <v>0</v>
      </c>
      <c r="I348" t="str">
        <f>TEXT(Append1[[#This Row],[dteday]],"DDDD")</f>
        <v>Saturday</v>
      </c>
      <c r="J348" t="str" cm="1">
        <f t="array" ref="J348">_xlfn.IFS(Append1[[#This Row],[weekday cnt]]=0,"Weekend",Append1[[#This Row],[weekday cnt]]=6,"Weekend",Append1[[#This Row],[weekday cnt]]&gt;0,"Weekday")</f>
        <v>Weekend</v>
      </c>
      <c r="K348">
        <v>6</v>
      </c>
      <c r="L348" t="str" cm="1">
        <f t="array" ref="L3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48">
        <v>2</v>
      </c>
      <c r="N348">
        <v>0.3</v>
      </c>
      <c r="O348">
        <v>346</v>
      </c>
      <c r="P348">
        <v>347</v>
      </c>
      <c r="Q348">
        <v>0.31819999999999998</v>
      </c>
      <c r="R348">
        <v>0.42</v>
      </c>
      <c r="S348">
        <v>0.1045</v>
      </c>
      <c r="T348">
        <v>0</v>
      </c>
      <c r="U348">
        <v>26</v>
      </c>
      <c r="V348">
        <v>26</v>
      </c>
    </row>
    <row r="349" spans="1:22" x14ac:dyDescent="0.3">
      <c r="A349">
        <v>348</v>
      </c>
      <c r="B349" s="1">
        <v>40558</v>
      </c>
      <c r="C349">
        <v>1</v>
      </c>
      <c r="D349">
        <v>0</v>
      </c>
      <c r="E349" t="str">
        <f>TEXT(Append1[[#This Row],[dteday]],"MMMM")</f>
        <v>January</v>
      </c>
      <c r="F349">
        <v>1</v>
      </c>
      <c r="G349">
        <v>23</v>
      </c>
      <c r="H349" t="b">
        <v>0</v>
      </c>
      <c r="I349" t="str">
        <f>TEXT(Append1[[#This Row],[dteday]],"DDDD")</f>
        <v>Saturday</v>
      </c>
      <c r="J349" t="str" cm="1">
        <f t="array" ref="J349">_xlfn.IFS(Append1[[#This Row],[weekday cnt]]=0,"Weekend",Append1[[#This Row],[weekday cnt]]=6,"Weekend",Append1[[#This Row],[weekday cnt]]&gt;0,"Weekday")</f>
        <v>Weekend</v>
      </c>
      <c r="K349">
        <v>6</v>
      </c>
      <c r="L349" t="str" cm="1">
        <f t="array" ref="L3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49">
        <v>1</v>
      </c>
      <c r="N349">
        <v>0.3</v>
      </c>
      <c r="O349">
        <v>347</v>
      </c>
      <c r="P349">
        <v>348</v>
      </c>
      <c r="Q349">
        <v>0.28789999999999999</v>
      </c>
      <c r="R349">
        <v>0.45</v>
      </c>
      <c r="S349">
        <v>0.28360000000000002</v>
      </c>
      <c r="T349">
        <v>5</v>
      </c>
      <c r="U349">
        <v>39</v>
      </c>
      <c r="V349">
        <v>44</v>
      </c>
    </row>
    <row r="350" spans="1:22" x14ac:dyDescent="0.3">
      <c r="A350">
        <v>349</v>
      </c>
      <c r="B350" s="1">
        <v>40559</v>
      </c>
      <c r="C350">
        <v>1</v>
      </c>
      <c r="D350">
        <v>0</v>
      </c>
      <c r="E350" t="str">
        <f>TEXT(Append1[[#This Row],[dteday]],"MMMM")</f>
        <v>January</v>
      </c>
      <c r="F350">
        <v>1</v>
      </c>
      <c r="G350">
        <v>0</v>
      </c>
      <c r="H350" t="b">
        <v>0</v>
      </c>
      <c r="I350" t="str">
        <f>TEXT(Append1[[#This Row],[dteday]],"DDDD")</f>
        <v>Sunday</v>
      </c>
      <c r="J350" t="str" cm="1">
        <f t="array" ref="J350">_xlfn.IFS(Append1[[#This Row],[weekday cnt]]=0,"Weekend",Append1[[#This Row],[weekday cnt]]=6,"Weekend",Append1[[#This Row],[weekday cnt]]&gt;0,"Weekday")</f>
        <v>Weekend</v>
      </c>
      <c r="K350">
        <v>0</v>
      </c>
      <c r="L350" t="str" cm="1">
        <f t="array" ref="L3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50">
        <v>1</v>
      </c>
      <c r="N350">
        <v>0.26</v>
      </c>
      <c r="O350">
        <v>348</v>
      </c>
      <c r="P350">
        <v>349</v>
      </c>
      <c r="Q350">
        <v>0.30299999999999999</v>
      </c>
      <c r="R350">
        <v>0.56000000000000005</v>
      </c>
      <c r="S350">
        <v>0</v>
      </c>
      <c r="T350">
        <v>6</v>
      </c>
      <c r="U350">
        <v>33</v>
      </c>
      <c r="V350">
        <v>39</v>
      </c>
    </row>
    <row r="351" spans="1:22" x14ac:dyDescent="0.3">
      <c r="A351">
        <v>350</v>
      </c>
      <c r="B351" s="1">
        <v>40559</v>
      </c>
      <c r="C351">
        <v>1</v>
      </c>
      <c r="D351">
        <v>0</v>
      </c>
      <c r="E351" t="str">
        <f>TEXT(Append1[[#This Row],[dteday]],"MMMM")</f>
        <v>January</v>
      </c>
      <c r="F351">
        <v>1</v>
      </c>
      <c r="G351">
        <v>1</v>
      </c>
      <c r="H351" t="b">
        <v>0</v>
      </c>
      <c r="I351" t="str">
        <f>TEXT(Append1[[#This Row],[dteday]],"DDDD")</f>
        <v>Sunday</v>
      </c>
      <c r="J351" t="str" cm="1">
        <f t="array" ref="J351">_xlfn.IFS(Append1[[#This Row],[weekday cnt]]=0,"Weekend",Append1[[#This Row],[weekday cnt]]=6,"Weekend",Append1[[#This Row],[weekday cnt]]&gt;0,"Weekday")</f>
        <v>Weekend</v>
      </c>
      <c r="K351">
        <v>0</v>
      </c>
      <c r="L351" t="str" cm="1">
        <f t="array" ref="L3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51">
        <v>1</v>
      </c>
      <c r="N351">
        <v>0.26</v>
      </c>
      <c r="O351">
        <v>349</v>
      </c>
      <c r="P351">
        <v>350</v>
      </c>
      <c r="Q351">
        <v>0.2727</v>
      </c>
      <c r="R351">
        <v>0.56000000000000005</v>
      </c>
      <c r="S351">
        <v>0.1343</v>
      </c>
      <c r="T351">
        <v>4</v>
      </c>
      <c r="U351">
        <v>19</v>
      </c>
      <c r="V351">
        <v>23</v>
      </c>
    </row>
    <row r="352" spans="1:22" x14ac:dyDescent="0.3">
      <c r="A352">
        <v>351</v>
      </c>
      <c r="B352" s="1">
        <v>40559</v>
      </c>
      <c r="C352">
        <v>1</v>
      </c>
      <c r="D352">
        <v>0</v>
      </c>
      <c r="E352" t="str">
        <f>TEXT(Append1[[#This Row],[dteday]],"MMMM")</f>
        <v>January</v>
      </c>
      <c r="F352">
        <v>1</v>
      </c>
      <c r="G352">
        <v>2</v>
      </c>
      <c r="H352" t="b">
        <v>0</v>
      </c>
      <c r="I352" t="str">
        <f>TEXT(Append1[[#This Row],[dteday]],"DDDD")</f>
        <v>Sunday</v>
      </c>
      <c r="J352" t="str" cm="1">
        <f t="array" ref="J352">_xlfn.IFS(Append1[[#This Row],[weekday cnt]]=0,"Weekend",Append1[[#This Row],[weekday cnt]]=6,"Weekend",Append1[[#This Row],[weekday cnt]]&gt;0,"Weekday")</f>
        <v>Weekend</v>
      </c>
      <c r="K352">
        <v>0</v>
      </c>
      <c r="L352" t="str" cm="1">
        <f t="array" ref="L3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52">
        <v>1</v>
      </c>
      <c r="N352">
        <v>0.26</v>
      </c>
      <c r="O352">
        <v>350</v>
      </c>
      <c r="P352">
        <v>351</v>
      </c>
      <c r="Q352">
        <v>0.28789999999999999</v>
      </c>
      <c r="R352">
        <v>0.56000000000000005</v>
      </c>
      <c r="S352">
        <v>8.9599999999999999E-2</v>
      </c>
      <c r="T352">
        <v>3</v>
      </c>
      <c r="U352">
        <v>13</v>
      </c>
      <c r="V352">
        <v>16</v>
      </c>
    </row>
    <row r="353" spans="1:22" x14ac:dyDescent="0.3">
      <c r="A353">
        <v>352</v>
      </c>
      <c r="B353" s="1">
        <v>40559</v>
      </c>
      <c r="C353">
        <v>1</v>
      </c>
      <c r="D353">
        <v>0</v>
      </c>
      <c r="E353" t="str">
        <f>TEXT(Append1[[#This Row],[dteday]],"MMMM")</f>
        <v>January</v>
      </c>
      <c r="F353">
        <v>1</v>
      </c>
      <c r="G353">
        <v>3</v>
      </c>
      <c r="H353" t="b">
        <v>0</v>
      </c>
      <c r="I353" t="str">
        <f>TEXT(Append1[[#This Row],[dteday]],"DDDD")</f>
        <v>Sunday</v>
      </c>
      <c r="J353" t="str" cm="1">
        <f t="array" ref="J353">_xlfn.IFS(Append1[[#This Row],[weekday cnt]]=0,"Weekend",Append1[[#This Row],[weekday cnt]]=6,"Weekend",Append1[[#This Row],[weekday cnt]]&gt;0,"Weekday")</f>
        <v>Weekend</v>
      </c>
      <c r="K353">
        <v>0</v>
      </c>
      <c r="L353" t="str" cm="1">
        <f t="array" ref="L3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53">
        <v>1</v>
      </c>
      <c r="N353">
        <v>0.22</v>
      </c>
      <c r="O353">
        <v>351</v>
      </c>
      <c r="P353">
        <v>352</v>
      </c>
      <c r="Q353">
        <v>0.2727</v>
      </c>
      <c r="R353">
        <v>0.69</v>
      </c>
      <c r="S353">
        <v>0</v>
      </c>
      <c r="T353">
        <v>9</v>
      </c>
      <c r="U353">
        <v>6</v>
      </c>
      <c r="V353">
        <v>15</v>
      </c>
    </row>
    <row r="354" spans="1:22" x14ac:dyDescent="0.3">
      <c r="A354">
        <v>353</v>
      </c>
      <c r="B354" s="1">
        <v>40559</v>
      </c>
      <c r="C354">
        <v>1</v>
      </c>
      <c r="D354">
        <v>0</v>
      </c>
      <c r="E354" t="str">
        <f>TEXT(Append1[[#This Row],[dteday]],"MMMM")</f>
        <v>January</v>
      </c>
      <c r="F354">
        <v>1</v>
      </c>
      <c r="G354">
        <v>4</v>
      </c>
      <c r="H354" t="b">
        <v>0</v>
      </c>
      <c r="I354" t="str">
        <f>TEXT(Append1[[#This Row],[dteday]],"DDDD")</f>
        <v>Sunday</v>
      </c>
      <c r="J354" t="str" cm="1">
        <f t="array" ref="J354">_xlfn.IFS(Append1[[#This Row],[weekday cnt]]=0,"Weekend",Append1[[#This Row],[weekday cnt]]=6,"Weekend",Append1[[#This Row],[weekday cnt]]&gt;0,"Weekday")</f>
        <v>Weekend</v>
      </c>
      <c r="K354">
        <v>0</v>
      </c>
      <c r="L354" t="str" cm="1">
        <f t="array" ref="L3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54">
        <v>1</v>
      </c>
      <c r="N354">
        <v>0.26</v>
      </c>
      <c r="O354">
        <v>352</v>
      </c>
      <c r="P354">
        <v>353</v>
      </c>
      <c r="Q354">
        <v>0.2576</v>
      </c>
      <c r="R354">
        <v>0.56000000000000005</v>
      </c>
      <c r="S354">
        <v>0.16420000000000001</v>
      </c>
      <c r="T354">
        <v>0</v>
      </c>
      <c r="U354">
        <v>1</v>
      </c>
      <c r="V354">
        <v>1</v>
      </c>
    </row>
    <row r="355" spans="1:22" x14ac:dyDescent="0.3">
      <c r="A355">
        <v>354</v>
      </c>
      <c r="B355" s="1">
        <v>40559</v>
      </c>
      <c r="C355">
        <v>1</v>
      </c>
      <c r="D355">
        <v>0</v>
      </c>
      <c r="E355" t="str">
        <f>TEXT(Append1[[#This Row],[dteday]],"MMMM")</f>
        <v>January</v>
      </c>
      <c r="F355">
        <v>1</v>
      </c>
      <c r="G355">
        <v>5</v>
      </c>
      <c r="H355" t="b">
        <v>0</v>
      </c>
      <c r="I355" t="str">
        <f>TEXT(Append1[[#This Row],[dteday]],"DDDD")</f>
        <v>Sunday</v>
      </c>
      <c r="J355" t="str" cm="1">
        <f t="array" ref="J355">_xlfn.IFS(Append1[[#This Row],[weekday cnt]]=0,"Weekend",Append1[[#This Row],[weekday cnt]]=6,"Weekend",Append1[[#This Row],[weekday cnt]]&gt;0,"Weekday")</f>
        <v>Weekend</v>
      </c>
      <c r="K355">
        <v>0</v>
      </c>
      <c r="L355" t="str" cm="1">
        <f t="array" ref="L3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55">
        <v>2</v>
      </c>
      <c r="N355">
        <v>0.26</v>
      </c>
      <c r="O355">
        <v>353</v>
      </c>
      <c r="P355">
        <v>354</v>
      </c>
      <c r="Q355">
        <v>0.2576</v>
      </c>
      <c r="R355">
        <v>0.56000000000000005</v>
      </c>
      <c r="S355">
        <v>0.16420000000000001</v>
      </c>
      <c r="T355">
        <v>1</v>
      </c>
      <c r="U355">
        <v>1</v>
      </c>
      <c r="V355">
        <v>2</v>
      </c>
    </row>
    <row r="356" spans="1:22" x14ac:dyDescent="0.3">
      <c r="A356">
        <v>355</v>
      </c>
      <c r="B356" s="1">
        <v>40559</v>
      </c>
      <c r="C356">
        <v>1</v>
      </c>
      <c r="D356">
        <v>0</v>
      </c>
      <c r="E356" t="str">
        <f>TEXT(Append1[[#This Row],[dteday]],"MMMM")</f>
        <v>January</v>
      </c>
      <c r="F356">
        <v>1</v>
      </c>
      <c r="G356">
        <v>6</v>
      </c>
      <c r="H356" t="b">
        <v>0</v>
      </c>
      <c r="I356" t="str">
        <f>TEXT(Append1[[#This Row],[dteday]],"DDDD")</f>
        <v>Sunday</v>
      </c>
      <c r="J356" t="str" cm="1">
        <f t="array" ref="J356">_xlfn.IFS(Append1[[#This Row],[weekday cnt]]=0,"Weekend",Append1[[#This Row],[weekday cnt]]=6,"Weekend",Append1[[#This Row],[weekday cnt]]&gt;0,"Weekday")</f>
        <v>Weekend</v>
      </c>
      <c r="K356">
        <v>0</v>
      </c>
      <c r="L356" t="str" cm="1">
        <f t="array" ref="L3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56">
        <v>2</v>
      </c>
      <c r="N356">
        <v>0.26</v>
      </c>
      <c r="O356">
        <v>354</v>
      </c>
      <c r="P356">
        <v>355</v>
      </c>
      <c r="Q356">
        <v>0.2576</v>
      </c>
      <c r="R356">
        <v>0.56000000000000005</v>
      </c>
      <c r="S356">
        <v>0.16420000000000001</v>
      </c>
      <c r="T356">
        <v>0</v>
      </c>
      <c r="U356">
        <v>1</v>
      </c>
      <c r="V356">
        <v>1</v>
      </c>
    </row>
    <row r="357" spans="1:22" x14ac:dyDescent="0.3">
      <c r="A357">
        <v>356</v>
      </c>
      <c r="B357" s="1">
        <v>40559</v>
      </c>
      <c r="C357">
        <v>1</v>
      </c>
      <c r="D357">
        <v>0</v>
      </c>
      <c r="E357" t="str">
        <f>TEXT(Append1[[#This Row],[dteday]],"MMMM")</f>
        <v>January</v>
      </c>
      <c r="F357">
        <v>1</v>
      </c>
      <c r="G357">
        <v>7</v>
      </c>
      <c r="H357" t="b">
        <v>0</v>
      </c>
      <c r="I357" t="str">
        <f>TEXT(Append1[[#This Row],[dteday]],"DDDD")</f>
        <v>Sunday</v>
      </c>
      <c r="J357" t="str" cm="1">
        <f t="array" ref="J357">_xlfn.IFS(Append1[[#This Row],[weekday cnt]]=0,"Weekend",Append1[[#This Row],[weekday cnt]]=6,"Weekend",Append1[[#This Row],[weekday cnt]]&gt;0,"Weekday")</f>
        <v>Weekend</v>
      </c>
      <c r="K357">
        <v>0</v>
      </c>
      <c r="L357" t="str" cm="1">
        <f t="array" ref="L3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57">
        <v>2</v>
      </c>
      <c r="N357">
        <v>0.24</v>
      </c>
      <c r="O357">
        <v>355</v>
      </c>
      <c r="P357">
        <v>356</v>
      </c>
      <c r="Q357">
        <v>0.21210000000000001</v>
      </c>
      <c r="R357">
        <v>0.56000000000000005</v>
      </c>
      <c r="S357">
        <v>0.29849999999999999</v>
      </c>
      <c r="T357">
        <v>0</v>
      </c>
      <c r="U357">
        <v>3</v>
      </c>
      <c r="V357">
        <v>3</v>
      </c>
    </row>
    <row r="358" spans="1:22" x14ac:dyDescent="0.3">
      <c r="A358">
        <v>357</v>
      </c>
      <c r="B358" s="1">
        <v>40559</v>
      </c>
      <c r="C358">
        <v>1</v>
      </c>
      <c r="D358">
        <v>0</v>
      </c>
      <c r="E358" t="str">
        <f>TEXT(Append1[[#This Row],[dteday]],"MMMM")</f>
        <v>January</v>
      </c>
      <c r="F358">
        <v>1</v>
      </c>
      <c r="G358">
        <v>8</v>
      </c>
      <c r="H358" t="b">
        <v>0</v>
      </c>
      <c r="I358" t="str">
        <f>TEXT(Append1[[#This Row],[dteday]],"DDDD")</f>
        <v>Sunday</v>
      </c>
      <c r="J358" t="str" cm="1">
        <f t="array" ref="J358">_xlfn.IFS(Append1[[#This Row],[weekday cnt]]=0,"Weekend",Append1[[#This Row],[weekday cnt]]=6,"Weekend",Append1[[#This Row],[weekday cnt]]&gt;0,"Weekday")</f>
        <v>Weekend</v>
      </c>
      <c r="K358">
        <v>0</v>
      </c>
      <c r="L358" t="str" cm="1">
        <f t="array" ref="L3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58">
        <v>1</v>
      </c>
      <c r="N358">
        <v>0.22</v>
      </c>
      <c r="O358">
        <v>356</v>
      </c>
      <c r="P358">
        <v>357</v>
      </c>
      <c r="Q358">
        <v>0.21210000000000001</v>
      </c>
      <c r="R358">
        <v>0.55000000000000004</v>
      </c>
      <c r="S358">
        <v>0.28360000000000002</v>
      </c>
      <c r="T358">
        <v>0</v>
      </c>
      <c r="U358">
        <v>18</v>
      </c>
      <c r="V358">
        <v>18</v>
      </c>
    </row>
    <row r="359" spans="1:22" x14ac:dyDescent="0.3">
      <c r="A359">
        <v>358</v>
      </c>
      <c r="B359" s="1">
        <v>40559</v>
      </c>
      <c r="C359">
        <v>1</v>
      </c>
      <c r="D359">
        <v>0</v>
      </c>
      <c r="E359" t="str">
        <f>TEXT(Append1[[#This Row],[dteday]],"MMMM")</f>
        <v>January</v>
      </c>
      <c r="F359">
        <v>1</v>
      </c>
      <c r="G359">
        <v>9</v>
      </c>
      <c r="H359" t="b">
        <v>0</v>
      </c>
      <c r="I359" t="str">
        <f>TEXT(Append1[[#This Row],[dteday]],"DDDD")</f>
        <v>Sunday</v>
      </c>
      <c r="J359" t="str" cm="1">
        <f t="array" ref="J359">_xlfn.IFS(Append1[[#This Row],[weekday cnt]]=0,"Weekend",Append1[[#This Row],[weekday cnt]]=6,"Weekend",Append1[[#This Row],[weekday cnt]]&gt;0,"Weekday")</f>
        <v>Weekend</v>
      </c>
      <c r="K359">
        <v>0</v>
      </c>
      <c r="L359" t="str" cm="1">
        <f t="array" ref="L3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59">
        <v>1</v>
      </c>
      <c r="N359">
        <v>0.22</v>
      </c>
      <c r="O359">
        <v>357</v>
      </c>
      <c r="P359">
        <v>358</v>
      </c>
      <c r="Q359">
        <v>0.21210000000000001</v>
      </c>
      <c r="R359">
        <v>0.51</v>
      </c>
      <c r="S359">
        <v>0.25369999999999998</v>
      </c>
      <c r="T359">
        <v>3</v>
      </c>
      <c r="U359">
        <v>29</v>
      </c>
      <c r="V359">
        <v>32</v>
      </c>
    </row>
    <row r="360" spans="1:22" x14ac:dyDescent="0.3">
      <c r="A360">
        <v>359</v>
      </c>
      <c r="B360" s="1">
        <v>40559</v>
      </c>
      <c r="C360">
        <v>1</v>
      </c>
      <c r="D360">
        <v>0</v>
      </c>
      <c r="E360" t="str">
        <f>TEXT(Append1[[#This Row],[dteday]],"MMMM")</f>
        <v>January</v>
      </c>
      <c r="F360">
        <v>1</v>
      </c>
      <c r="G360">
        <v>10</v>
      </c>
      <c r="H360" t="b">
        <v>0</v>
      </c>
      <c r="I360" t="str">
        <f>TEXT(Append1[[#This Row],[dteday]],"DDDD")</f>
        <v>Sunday</v>
      </c>
      <c r="J360" t="str" cm="1">
        <f t="array" ref="J360">_xlfn.IFS(Append1[[#This Row],[weekday cnt]]=0,"Weekend",Append1[[#This Row],[weekday cnt]]=6,"Weekend",Append1[[#This Row],[weekday cnt]]&gt;0,"Weekday")</f>
        <v>Weekend</v>
      </c>
      <c r="K360">
        <v>0</v>
      </c>
      <c r="L360" t="str" cm="1">
        <f t="array" ref="L3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0">
        <v>1</v>
      </c>
      <c r="N360">
        <v>0.22</v>
      </c>
      <c r="O360">
        <v>358</v>
      </c>
      <c r="P360">
        <v>359</v>
      </c>
      <c r="Q360">
        <v>0.21210000000000001</v>
      </c>
      <c r="R360">
        <v>0.51</v>
      </c>
      <c r="S360">
        <v>0.28360000000000002</v>
      </c>
      <c r="T360">
        <v>8</v>
      </c>
      <c r="U360">
        <v>71</v>
      </c>
      <c r="V360">
        <v>79</v>
      </c>
    </row>
    <row r="361" spans="1:22" x14ac:dyDescent="0.3">
      <c r="A361">
        <v>360</v>
      </c>
      <c r="B361" s="1">
        <v>40559</v>
      </c>
      <c r="C361">
        <v>1</v>
      </c>
      <c r="D361">
        <v>0</v>
      </c>
      <c r="E361" t="str">
        <f>TEXT(Append1[[#This Row],[dteday]],"MMMM")</f>
        <v>January</v>
      </c>
      <c r="F361">
        <v>1</v>
      </c>
      <c r="G361">
        <v>11</v>
      </c>
      <c r="H361" t="b">
        <v>0</v>
      </c>
      <c r="I361" t="str">
        <f>TEXT(Append1[[#This Row],[dteday]],"DDDD")</f>
        <v>Sunday</v>
      </c>
      <c r="J361" t="str" cm="1">
        <f t="array" ref="J361">_xlfn.IFS(Append1[[#This Row],[weekday cnt]]=0,"Weekend",Append1[[#This Row],[weekday cnt]]=6,"Weekend",Append1[[#This Row],[weekday cnt]]&gt;0,"Weekday")</f>
        <v>Weekend</v>
      </c>
      <c r="K361">
        <v>0</v>
      </c>
      <c r="L361" t="str" cm="1">
        <f t="array" ref="L3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1">
        <v>1</v>
      </c>
      <c r="N361">
        <v>0.24</v>
      </c>
      <c r="O361">
        <v>359</v>
      </c>
      <c r="P361">
        <v>360</v>
      </c>
      <c r="Q361">
        <v>0.2273</v>
      </c>
      <c r="R361">
        <v>0.44</v>
      </c>
      <c r="S361">
        <v>0.25369999999999998</v>
      </c>
      <c r="T361">
        <v>23</v>
      </c>
      <c r="U361">
        <v>70</v>
      </c>
      <c r="V361">
        <v>93</v>
      </c>
    </row>
    <row r="362" spans="1:22" x14ac:dyDescent="0.3">
      <c r="A362">
        <v>361</v>
      </c>
      <c r="B362" s="1">
        <v>40559</v>
      </c>
      <c r="C362">
        <v>1</v>
      </c>
      <c r="D362">
        <v>0</v>
      </c>
      <c r="E362" t="str">
        <f>TEXT(Append1[[#This Row],[dteday]],"MMMM")</f>
        <v>January</v>
      </c>
      <c r="F362">
        <v>1</v>
      </c>
      <c r="G362">
        <v>12</v>
      </c>
      <c r="H362" t="b">
        <v>0</v>
      </c>
      <c r="I362" t="str">
        <f>TEXT(Append1[[#This Row],[dteday]],"DDDD")</f>
        <v>Sunday</v>
      </c>
      <c r="J362" t="str" cm="1">
        <f t="array" ref="J362">_xlfn.IFS(Append1[[#This Row],[weekday cnt]]=0,"Weekend",Append1[[#This Row],[weekday cnt]]=6,"Weekend",Append1[[#This Row],[weekday cnt]]&gt;0,"Weekday")</f>
        <v>Weekend</v>
      </c>
      <c r="K362">
        <v>0</v>
      </c>
      <c r="L362" t="str" cm="1">
        <f t="array" ref="L3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2">
        <v>1</v>
      </c>
      <c r="N362">
        <v>0.24</v>
      </c>
      <c r="O362">
        <v>360</v>
      </c>
      <c r="P362">
        <v>361</v>
      </c>
      <c r="Q362">
        <v>0.21210000000000001</v>
      </c>
      <c r="R362">
        <v>0.41</v>
      </c>
      <c r="S362">
        <v>0.28360000000000002</v>
      </c>
      <c r="T362">
        <v>29</v>
      </c>
      <c r="U362">
        <v>75</v>
      </c>
      <c r="V362">
        <v>104</v>
      </c>
    </row>
    <row r="363" spans="1:22" x14ac:dyDescent="0.3">
      <c r="A363">
        <v>362</v>
      </c>
      <c r="B363" s="1">
        <v>40559</v>
      </c>
      <c r="C363">
        <v>1</v>
      </c>
      <c r="D363">
        <v>0</v>
      </c>
      <c r="E363" t="str">
        <f>TEXT(Append1[[#This Row],[dteday]],"MMMM")</f>
        <v>January</v>
      </c>
      <c r="F363">
        <v>1</v>
      </c>
      <c r="G363">
        <v>13</v>
      </c>
      <c r="H363" t="b">
        <v>0</v>
      </c>
      <c r="I363" t="str">
        <f>TEXT(Append1[[#This Row],[dteday]],"DDDD")</f>
        <v>Sunday</v>
      </c>
      <c r="J363" t="str" cm="1">
        <f t="array" ref="J363">_xlfn.IFS(Append1[[#This Row],[weekday cnt]]=0,"Weekend",Append1[[#This Row],[weekday cnt]]=6,"Weekend",Append1[[#This Row],[weekday cnt]]&gt;0,"Weekday")</f>
        <v>Weekend</v>
      </c>
      <c r="K363">
        <v>0</v>
      </c>
      <c r="L363" t="str" cm="1">
        <f t="array" ref="L3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3">
        <v>1</v>
      </c>
      <c r="N363">
        <v>0.26</v>
      </c>
      <c r="O363">
        <v>361</v>
      </c>
      <c r="P363">
        <v>362</v>
      </c>
      <c r="Q363">
        <v>0.2273</v>
      </c>
      <c r="R363">
        <v>0.35</v>
      </c>
      <c r="S363">
        <v>0.29849999999999999</v>
      </c>
      <c r="T363">
        <v>23</v>
      </c>
      <c r="U363">
        <v>95</v>
      </c>
      <c r="V363">
        <v>118</v>
      </c>
    </row>
    <row r="364" spans="1:22" x14ac:dyDescent="0.3">
      <c r="A364">
        <v>363</v>
      </c>
      <c r="B364" s="1">
        <v>40559</v>
      </c>
      <c r="C364">
        <v>1</v>
      </c>
      <c r="D364">
        <v>0</v>
      </c>
      <c r="E364" t="str">
        <f>TEXT(Append1[[#This Row],[dteday]],"MMMM")</f>
        <v>January</v>
      </c>
      <c r="F364">
        <v>1</v>
      </c>
      <c r="G364">
        <v>14</v>
      </c>
      <c r="H364" t="b">
        <v>0</v>
      </c>
      <c r="I364" t="str">
        <f>TEXT(Append1[[#This Row],[dteday]],"DDDD")</f>
        <v>Sunday</v>
      </c>
      <c r="J364" t="str" cm="1">
        <f t="array" ref="J364">_xlfn.IFS(Append1[[#This Row],[weekday cnt]]=0,"Weekend",Append1[[#This Row],[weekday cnt]]=6,"Weekend",Append1[[#This Row],[weekday cnt]]&gt;0,"Weekday")</f>
        <v>Weekend</v>
      </c>
      <c r="K364">
        <v>0</v>
      </c>
      <c r="L364" t="str" cm="1">
        <f t="array" ref="L3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4">
        <v>1</v>
      </c>
      <c r="N364">
        <v>0.28000000000000003</v>
      </c>
      <c r="O364">
        <v>362</v>
      </c>
      <c r="P364">
        <v>363</v>
      </c>
      <c r="Q364">
        <v>0.2727</v>
      </c>
      <c r="R364">
        <v>0.36</v>
      </c>
      <c r="S364">
        <v>0.25369999999999998</v>
      </c>
      <c r="T364">
        <v>22</v>
      </c>
      <c r="U364">
        <v>69</v>
      </c>
      <c r="V364">
        <v>91</v>
      </c>
    </row>
    <row r="365" spans="1:22" x14ac:dyDescent="0.3">
      <c r="A365">
        <v>364</v>
      </c>
      <c r="B365" s="1">
        <v>40559</v>
      </c>
      <c r="C365">
        <v>1</v>
      </c>
      <c r="D365">
        <v>0</v>
      </c>
      <c r="E365" t="str">
        <f>TEXT(Append1[[#This Row],[dteday]],"MMMM")</f>
        <v>January</v>
      </c>
      <c r="F365">
        <v>1</v>
      </c>
      <c r="G365">
        <v>15</v>
      </c>
      <c r="H365" t="b">
        <v>0</v>
      </c>
      <c r="I365" t="str">
        <f>TEXT(Append1[[#This Row],[dteday]],"DDDD")</f>
        <v>Sunday</v>
      </c>
      <c r="J365" t="str" cm="1">
        <f t="array" ref="J365">_xlfn.IFS(Append1[[#This Row],[weekday cnt]]=0,"Weekend",Append1[[#This Row],[weekday cnt]]=6,"Weekend",Append1[[#This Row],[weekday cnt]]&gt;0,"Weekday")</f>
        <v>Weekend</v>
      </c>
      <c r="K365">
        <v>0</v>
      </c>
      <c r="L365" t="str" cm="1">
        <f t="array" ref="L3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5">
        <v>1</v>
      </c>
      <c r="N365">
        <v>0.26</v>
      </c>
      <c r="O365">
        <v>363</v>
      </c>
      <c r="P365">
        <v>364</v>
      </c>
      <c r="Q365">
        <v>0.2424</v>
      </c>
      <c r="R365">
        <v>0.38</v>
      </c>
      <c r="S365">
        <v>0.25369999999999998</v>
      </c>
      <c r="T365">
        <v>35</v>
      </c>
      <c r="U365">
        <v>78</v>
      </c>
      <c r="V365">
        <v>113</v>
      </c>
    </row>
    <row r="366" spans="1:22" x14ac:dyDescent="0.3">
      <c r="A366">
        <v>365</v>
      </c>
      <c r="B366" s="1">
        <v>40559</v>
      </c>
      <c r="C366">
        <v>1</v>
      </c>
      <c r="D366">
        <v>0</v>
      </c>
      <c r="E366" t="str">
        <f>TEXT(Append1[[#This Row],[dteday]],"MMMM")</f>
        <v>January</v>
      </c>
      <c r="F366">
        <v>1</v>
      </c>
      <c r="G366">
        <v>16</v>
      </c>
      <c r="H366" t="b">
        <v>0</v>
      </c>
      <c r="I366" t="str">
        <f>TEXT(Append1[[#This Row],[dteday]],"DDDD")</f>
        <v>Sunday</v>
      </c>
      <c r="J366" t="str" cm="1">
        <f t="array" ref="J366">_xlfn.IFS(Append1[[#This Row],[weekday cnt]]=0,"Weekend",Append1[[#This Row],[weekday cnt]]=6,"Weekend",Append1[[#This Row],[weekday cnt]]&gt;0,"Weekday")</f>
        <v>Weekend</v>
      </c>
      <c r="K366">
        <v>0</v>
      </c>
      <c r="L366" t="str" cm="1">
        <f t="array" ref="L3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6">
        <v>1</v>
      </c>
      <c r="N366">
        <v>0.24</v>
      </c>
      <c r="O366">
        <v>364</v>
      </c>
      <c r="P366">
        <v>365</v>
      </c>
      <c r="Q366">
        <v>0.2273</v>
      </c>
      <c r="R366">
        <v>0.38</v>
      </c>
      <c r="S366">
        <v>0.22389999999999999</v>
      </c>
      <c r="T366">
        <v>22</v>
      </c>
      <c r="U366">
        <v>77</v>
      </c>
      <c r="V366">
        <v>99</v>
      </c>
    </row>
    <row r="367" spans="1:22" x14ac:dyDescent="0.3">
      <c r="A367">
        <v>366</v>
      </c>
      <c r="B367" s="1">
        <v>40559</v>
      </c>
      <c r="C367">
        <v>1</v>
      </c>
      <c r="D367">
        <v>0</v>
      </c>
      <c r="E367" t="str">
        <f>TEXT(Append1[[#This Row],[dteday]],"MMMM")</f>
        <v>January</v>
      </c>
      <c r="F367">
        <v>1</v>
      </c>
      <c r="G367">
        <v>17</v>
      </c>
      <c r="H367" t="b">
        <v>0</v>
      </c>
      <c r="I367" t="str">
        <f>TEXT(Append1[[#This Row],[dteday]],"DDDD")</f>
        <v>Sunday</v>
      </c>
      <c r="J367" t="str" cm="1">
        <f t="array" ref="J367">_xlfn.IFS(Append1[[#This Row],[weekday cnt]]=0,"Weekend",Append1[[#This Row],[weekday cnt]]=6,"Weekend",Append1[[#This Row],[weekday cnt]]&gt;0,"Weekday")</f>
        <v>Weekend</v>
      </c>
      <c r="K367">
        <v>0</v>
      </c>
      <c r="L367" t="str" cm="1">
        <f t="array" ref="L3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7">
        <v>1</v>
      </c>
      <c r="N367">
        <v>0.22</v>
      </c>
      <c r="O367">
        <v>365</v>
      </c>
      <c r="P367">
        <v>366</v>
      </c>
      <c r="Q367">
        <v>0.21210000000000001</v>
      </c>
      <c r="R367">
        <v>0.37</v>
      </c>
      <c r="S367">
        <v>0.25369999999999998</v>
      </c>
      <c r="T367">
        <v>23</v>
      </c>
      <c r="U367">
        <v>82</v>
      </c>
      <c r="V367">
        <v>105</v>
      </c>
    </row>
    <row r="368" spans="1:22" x14ac:dyDescent="0.3">
      <c r="A368">
        <v>367</v>
      </c>
      <c r="B368" s="1">
        <v>40559</v>
      </c>
      <c r="C368">
        <v>1</v>
      </c>
      <c r="D368">
        <v>0</v>
      </c>
      <c r="E368" t="str">
        <f>TEXT(Append1[[#This Row],[dteday]],"MMMM")</f>
        <v>January</v>
      </c>
      <c r="F368">
        <v>1</v>
      </c>
      <c r="G368">
        <v>18</v>
      </c>
      <c r="H368" t="b">
        <v>0</v>
      </c>
      <c r="I368" t="str">
        <f>TEXT(Append1[[#This Row],[dteday]],"DDDD")</f>
        <v>Sunday</v>
      </c>
      <c r="J368" t="str" cm="1">
        <f t="array" ref="J368">_xlfn.IFS(Append1[[#This Row],[weekday cnt]]=0,"Weekend",Append1[[#This Row],[weekday cnt]]=6,"Weekend",Append1[[#This Row],[weekday cnt]]&gt;0,"Weekday")</f>
        <v>Weekend</v>
      </c>
      <c r="K368">
        <v>0</v>
      </c>
      <c r="L368" t="str" cm="1">
        <f t="array" ref="L3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8">
        <v>1</v>
      </c>
      <c r="N368">
        <v>0.2</v>
      </c>
      <c r="O368">
        <v>366</v>
      </c>
      <c r="P368">
        <v>367</v>
      </c>
      <c r="Q368">
        <v>0.21210000000000001</v>
      </c>
      <c r="R368">
        <v>0.4</v>
      </c>
      <c r="S368">
        <v>0.16420000000000001</v>
      </c>
      <c r="T368">
        <v>11</v>
      </c>
      <c r="U368">
        <v>56</v>
      </c>
      <c r="V368">
        <v>67</v>
      </c>
    </row>
    <row r="369" spans="1:22" x14ac:dyDescent="0.3">
      <c r="A369">
        <v>368</v>
      </c>
      <c r="B369" s="1">
        <v>40559</v>
      </c>
      <c r="C369">
        <v>1</v>
      </c>
      <c r="D369">
        <v>0</v>
      </c>
      <c r="E369" t="str">
        <f>TEXT(Append1[[#This Row],[dteday]],"MMMM")</f>
        <v>January</v>
      </c>
      <c r="F369">
        <v>1</v>
      </c>
      <c r="G369">
        <v>19</v>
      </c>
      <c r="H369" t="b">
        <v>0</v>
      </c>
      <c r="I369" t="str">
        <f>TEXT(Append1[[#This Row],[dteday]],"DDDD")</f>
        <v>Sunday</v>
      </c>
      <c r="J369" t="str" cm="1">
        <f t="array" ref="J369">_xlfn.IFS(Append1[[#This Row],[weekday cnt]]=0,"Weekend",Append1[[#This Row],[weekday cnt]]=6,"Weekend",Append1[[#This Row],[weekday cnt]]&gt;0,"Weekday")</f>
        <v>Weekend</v>
      </c>
      <c r="K369">
        <v>0</v>
      </c>
      <c r="L369" t="str" cm="1">
        <f t="array" ref="L3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69">
        <v>1</v>
      </c>
      <c r="N369">
        <v>0.18</v>
      </c>
      <c r="O369">
        <v>367</v>
      </c>
      <c r="P369">
        <v>368</v>
      </c>
      <c r="Q369">
        <v>0.19700000000000001</v>
      </c>
      <c r="R369">
        <v>0.47</v>
      </c>
      <c r="S369">
        <v>0.1343</v>
      </c>
      <c r="T369">
        <v>14</v>
      </c>
      <c r="U369">
        <v>47</v>
      </c>
      <c r="V369">
        <v>61</v>
      </c>
    </row>
    <row r="370" spans="1:22" x14ac:dyDescent="0.3">
      <c r="A370">
        <v>369</v>
      </c>
      <c r="B370" s="1">
        <v>40559</v>
      </c>
      <c r="C370">
        <v>1</v>
      </c>
      <c r="D370">
        <v>0</v>
      </c>
      <c r="E370" t="str">
        <f>TEXT(Append1[[#This Row],[dteday]],"MMMM")</f>
        <v>January</v>
      </c>
      <c r="F370">
        <v>1</v>
      </c>
      <c r="G370">
        <v>20</v>
      </c>
      <c r="H370" t="b">
        <v>0</v>
      </c>
      <c r="I370" t="str">
        <f>TEXT(Append1[[#This Row],[dteday]],"DDDD")</f>
        <v>Sunday</v>
      </c>
      <c r="J370" t="str" cm="1">
        <f t="array" ref="J370">_xlfn.IFS(Append1[[#This Row],[weekday cnt]]=0,"Weekend",Append1[[#This Row],[weekday cnt]]=6,"Weekend",Append1[[#This Row],[weekday cnt]]&gt;0,"Weekday")</f>
        <v>Weekend</v>
      </c>
      <c r="K370">
        <v>0</v>
      </c>
      <c r="L370" t="str" cm="1">
        <f t="array" ref="L3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70">
        <v>1</v>
      </c>
      <c r="N370">
        <v>0.18</v>
      </c>
      <c r="O370">
        <v>368</v>
      </c>
      <c r="P370">
        <v>369</v>
      </c>
      <c r="Q370">
        <v>0.19700000000000001</v>
      </c>
      <c r="R370">
        <v>0.47</v>
      </c>
      <c r="S370">
        <v>0.16420000000000001</v>
      </c>
      <c r="T370">
        <v>7</v>
      </c>
      <c r="U370">
        <v>50</v>
      </c>
      <c r="V370">
        <v>57</v>
      </c>
    </row>
    <row r="371" spans="1:22" x14ac:dyDescent="0.3">
      <c r="A371">
        <v>370</v>
      </c>
      <c r="B371" s="1">
        <v>40559</v>
      </c>
      <c r="C371">
        <v>1</v>
      </c>
      <c r="D371">
        <v>0</v>
      </c>
      <c r="E371" t="str">
        <f>TEXT(Append1[[#This Row],[dteday]],"MMMM")</f>
        <v>January</v>
      </c>
      <c r="F371">
        <v>1</v>
      </c>
      <c r="G371">
        <v>21</v>
      </c>
      <c r="H371" t="b">
        <v>0</v>
      </c>
      <c r="I371" t="str">
        <f>TEXT(Append1[[#This Row],[dteday]],"DDDD")</f>
        <v>Sunday</v>
      </c>
      <c r="J371" t="str" cm="1">
        <f t="array" ref="J371">_xlfn.IFS(Append1[[#This Row],[weekday cnt]]=0,"Weekend",Append1[[#This Row],[weekday cnt]]=6,"Weekend",Append1[[#This Row],[weekday cnt]]&gt;0,"Weekday")</f>
        <v>Weekend</v>
      </c>
      <c r="K371">
        <v>0</v>
      </c>
      <c r="L371" t="str" cm="1">
        <f t="array" ref="L3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71">
        <v>1</v>
      </c>
      <c r="N371">
        <v>0.18</v>
      </c>
      <c r="O371">
        <v>369</v>
      </c>
      <c r="P371">
        <v>370</v>
      </c>
      <c r="Q371">
        <v>0.19700000000000001</v>
      </c>
      <c r="R371">
        <v>0.51</v>
      </c>
      <c r="S371">
        <v>0.16420000000000001</v>
      </c>
      <c r="T371">
        <v>6</v>
      </c>
      <c r="U371">
        <v>22</v>
      </c>
      <c r="V371">
        <v>28</v>
      </c>
    </row>
    <row r="372" spans="1:22" x14ac:dyDescent="0.3">
      <c r="A372">
        <v>371</v>
      </c>
      <c r="B372" s="1">
        <v>40559</v>
      </c>
      <c r="C372">
        <v>1</v>
      </c>
      <c r="D372">
        <v>0</v>
      </c>
      <c r="E372" t="str">
        <f>TEXT(Append1[[#This Row],[dteday]],"MMMM")</f>
        <v>January</v>
      </c>
      <c r="F372">
        <v>1</v>
      </c>
      <c r="G372">
        <v>22</v>
      </c>
      <c r="H372" t="b">
        <v>0</v>
      </c>
      <c r="I372" t="str">
        <f>TEXT(Append1[[#This Row],[dteday]],"DDDD")</f>
        <v>Sunday</v>
      </c>
      <c r="J372" t="str" cm="1">
        <f t="array" ref="J372">_xlfn.IFS(Append1[[#This Row],[weekday cnt]]=0,"Weekend",Append1[[#This Row],[weekday cnt]]=6,"Weekend",Append1[[#This Row],[weekday cnt]]&gt;0,"Weekday")</f>
        <v>Weekend</v>
      </c>
      <c r="K372">
        <v>0</v>
      </c>
      <c r="L372" t="str" cm="1">
        <f t="array" ref="L3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72">
        <v>2</v>
      </c>
      <c r="N372">
        <v>0.2</v>
      </c>
      <c r="O372">
        <v>370</v>
      </c>
      <c r="P372">
        <v>371</v>
      </c>
      <c r="Q372">
        <v>0.21210000000000001</v>
      </c>
      <c r="R372">
        <v>0.49</v>
      </c>
      <c r="S372">
        <v>0.1343</v>
      </c>
      <c r="T372">
        <v>2</v>
      </c>
      <c r="U372">
        <v>19</v>
      </c>
      <c r="V372">
        <v>21</v>
      </c>
    </row>
    <row r="373" spans="1:22" x14ac:dyDescent="0.3">
      <c r="A373">
        <v>372</v>
      </c>
      <c r="B373" s="1">
        <v>40559</v>
      </c>
      <c r="C373">
        <v>1</v>
      </c>
      <c r="D373">
        <v>0</v>
      </c>
      <c r="E373" t="str">
        <f>TEXT(Append1[[#This Row],[dteday]],"MMMM")</f>
        <v>January</v>
      </c>
      <c r="F373">
        <v>1</v>
      </c>
      <c r="G373">
        <v>23</v>
      </c>
      <c r="H373" t="b">
        <v>0</v>
      </c>
      <c r="I373" t="str">
        <f>TEXT(Append1[[#This Row],[dteday]],"DDDD")</f>
        <v>Sunday</v>
      </c>
      <c r="J373" t="str" cm="1">
        <f t="array" ref="J373">_xlfn.IFS(Append1[[#This Row],[weekday cnt]]=0,"Weekend",Append1[[#This Row],[weekday cnt]]=6,"Weekend",Append1[[#This Row],[weekday cnt]]&gt;0,"Weekday")</f>
        <v>Weekend</v>
      </c>
      <c r="K373">
        <v>0</v>
      </c>
      <c r="L373" t="str" cm="1">
        <f t="array" ref="L3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73">
        <v>2</v>
      </c>
      <c r="N373">
        <v>0.2</v>
      </c>
      <c r="O373">
        <v>371</v>
      </c>
      <c r="P373">
        <v>372</v>
      </c>
      <c r="Q373">
        <v>0.2273</v>
      </c>
      <c r="R373">
        <v>0.4</v>
      </c>
      <c r="S373">
        <v>0.1045</v>
      </c>
      <c r="T373">
        <v>0</v>
      </c>
      <c r="U373">
        <v>18</v>
      </c>
      <c r="V373">
        <v>18</v>
      </c>
    </row>
    <row r="374" spans="1:22" x14ac:dyDescent="0.3">
      <c r="A374">
        <v>373</v>
      </c>
      <c r="B374" s="1">
        <v>40560</v>
      </c>
      <c r="C374">
        <v>1</v>
      </c>
      <c r="D374">
        <v>0</v>
      </c>
      <c r="E374" t="str">
        <f>TEXT(Append1[[#This Row],[dteday]],"MMMM")</f>
        <v>January</v>
      </c>
      <c r="F374">
        <v>1</v>
      </c>
      <c r="G374">
        <v>0</v>
      </c>
      <c r="H374" t="b">
        <v>1</v>
      </c>
      <c r="I374" t="str">
        <f>TEXT(Append1[[#This Row],[dteday]],"DDDD")</f>
        <v>Monday</v>
      </c>
      <c r="J374" t="str" cm="1">
        <f t="array" ref="J374">_xlfn.IFS(Append1[[#This Row],[weekday cnt]]=0,"Weekend",Append1[[#This Row],[weekday cnt]]=6,"Weekend",Append1[[#This Row],[weekday cnt]]&gt;0,"Weekday")</f>
        <v>Weekday</v>
      </c>
      <c r="K374">
        <v>1</v>
      </c>
      <c r="L374" t="str" cm="1">
        <f t="array" ref="L3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74">
        <v>2</v>
      </c>
      <c r="N374">
        <v>0.2</v>
      </c>
      <c r="O374">
        <v>372</v>
      </c>
      <c r="P374">
        <v>373</v>
      </c>
      <c r="Q374">
        <v>0.19700000000000001</v>
      </c>
      <c r="R374">
        <v>0.47</v>
      </c>
      <c r="S374">
        <v>0.22389999999999999</v>
      </c>
      <c r="T374">
        <v>1</v>
      </c>
      <c r="U374">
        <v>16</v>
      </c>
      <c r="V374">
        <v>17</v>
      </c>
    </row>
    <row r="375" spans="1:22" x14ac:dyDescent="0.3">
      <c r="A375">
        <v>374</v>
      </c>
      <c r="B375" s="1">
        <v>40560</v>
      </c>
      <c r="C375">
        <v>1</v>
      </c>
      <c r="D375">
        <v>0</v>
      </c>
      <c r="E375" t="str">
        <f>TEXT(Append1[[#This Row],[dteday]],"MMMM")</f>
        <v>January</v>
      </c>
      <c r="F375">
        <v>1</v>
      </c>
      <c r="G375">
        <v>1</v>
      </c>
      <c r="H375" t="b">
        <v>1</v>
      </c>
      <c r="I375" t="str">
        <f>TEXT(Append1[[#This Row],[dteday]],"DDDD")</f>
        <v>Monday</v>
      </c>
      <c r="J375" t="str" cm="1">
        <f t="array" ref="J375">_xlfn.IFS(Append1[[#This Row],[weekday cnt]]=0,"Weekend",Append1[[#This Row],[weekday cnt]]=6,"Weekend",Append1[[#This Row],[weekday cnt]]&gt;0,"Weekday")</f>
        <v>Weekday</v>
      </c>
      <c r="K375">
        <v>1</v>
      </c>
      <c r="L375" t="str" cm="1">
        <f t="array" ref="L3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75">
        <v>2</v>
      </c>
      <c r="N375">
        <v>0.2</v>
      </c>
      <c r="O375">
        <v>373</v>
      </c>
      <c r="P375">
        <v>374</v>
      </c>
      <c r="Q375">
        <v>0.19700000000000001</v>
      </c>
      <c r="R375">
        <v>0.44</v>
      </c>
      <c r="S375">
        <v>0.19400000000000001</v>
      </c>
      <c r="T375">
        <v>1</v>
      </c>
      <c r="U375">
        <v>15</v>
      </c>
      <c r="V375">
        <v>16</v>
      </c>
    </row>
    <row r="376" spans="1:22" x14ac:dyDescent="0.3">
      <c r="A376">
        <v>375</v>
      </c>
      <c r="B376" s="1">
        <v>40560</v>
      </c>
      <c r="C376">
        <v>1</v>
      </c>
      <c r="D376">
        <v>0</v>
      </c>
      <c r="E376" t="str">
        <f>TEXT(Append1[[#This Row],[dteday]],"MMMM")</f>
        <v>January</v>
      </c>
      <c r="F376">
        <v>1</v>
      </c>
      <c r="G376">
        <v>2</v>
      </c>
      <c r="H376" t="b">
        <v>1</v>
      </c>
      <c r="I376" t="str">
        <f>TEXT(Append1[[#This Row],[dteday]],"DDDD")</f>
        <v>Monday</v>
      </c>
      <c r="J376" t="str" cm="1">
        <f t="array" ref="J376">_xlfn.IFS(Append1[[#This Row],[weekday cnt]]=0,"Weekend",Append1[[#This Row],[weekday cnt]]=6,"Weekend",Append1[[#This Row],[weekday cnt]]&gt;0,"Weekday")</f>
        <v>Weekday</v>
      </c>
      <c r="K376">
        <v>1</v>
      </c>
      <c r="L376" t="str" cm="1">
        <f t="array" ref="L3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76">
        <v>2</v>
      </c>
      <c r="N376">
        <v>0.18</v>
      </c>
      <c r="O376">
        <v>374</v>
      </c>
      <c r="P376">
        <v>375</v>
      </c>
      <c r="Q376">
        <v>0.16669999999999999</v>
      </c>
      <c r="R376">
        <v>0.43</v>
      </c>
      <c r="S376">
        <v>0.25369999999999998</v>
      </c>
      <c r="T376">
        <v>0</v>
      </c>
      <c r="U376">
        <v>8</v>
      </c>
      <c r="V376">
        <v>8</v>
      </c>
    </row>
    <row r="377" spans="1:22" x14ac:dyDescent="0.3">
      <c r="A377">
        <v>376</v>
      </c>
      <c r="B377" s="1">
        <v>40560</v>
      </c>
      <c r="C377">
        <v>1</v>
      </c>
      <c r="D377">
        <v>0</v>
      </c>
      <c r="E377" t="str">
        <f>TEXT(Append1[[#This Row],[dteday]],"MMMM")</f>
        <v>January</v>
      </c>
      <c r="F377">
        <v>1</v>
      </c>
      <c r="G377">
        <v>3</v>
      </c>
      <c r="H377" t="b">
        <v>1</v>
      </c>
      <c r="I377" t="str">
        <f>TEXT(Append1[[#This Row],[dteday]],"DDDD")</f>
        <v>Monday</v>
      </c>
      <c r="J377" t="str" cm="1">
        <f t="array" ref="J377">_xlfn.IFS(Append1[[#This Row],[weekday cnt]]=0,"Weekend",Append1[[#This Row],[weekday cnt]]=6,"Weekend",Append1[[#This Row],[weekday cnt]]&gt;0,"Weekday")</f>
        <v>Weekday</v>
      </c>
      <c r="K377">
        <v>1</v>
      </c>
      <c r="L377" t="str" cm="1">
        <f t="array" ref="L3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77">
        <v>2</v>
      </c>
      <c r="N377">
        <v>0.18</v>
      </c>
      <c r="O377">
        <v>375</v>
      </c>
      <c r="P377">
        <v>376</v>
      </c>
      <c r="Q377">
        <v>0.18179999999999999</v>
      </c>
      <c r="R377">
        <v>0.43</v>
      </c>
      <c r="S377">
        <v>0.19400000000000001</v>
      </c>
      <c r="T377">
        <v>0</v>
      </c>
      <c r="U377">
        <v>2</v>
      </c>
      <c r="V377">
        <v>2</v>
      </c>
    </row>
    <row r="378" spans="1:22" x14ac:dyDescent="0.3">
      <c r="A378">
        <v>377</v>
      </c>
      <c r="B378" s="1">
        <v>40560</v>
      </c>
      <c r="C378">
        <v>1</v>
      </c>
      <c r="D378">
        <v>0</v>
      </c>
      <c r="E378" t="str">
        <f>TEXT(Append1[[#This Row],[dteday]],"MMMM")</f>
        <v>January</v>
      </c>
      <c r="F378">
        <v>1</v>
      </c>
      <c r="G378">
        <v>4</v>
      </c>
      <c r="H378" t="b">
        <v>1</v>
      </c>
      <c r="I378" t="str">
        <f>TEXT(Append1[[#This Row],[dteday]],"DDDD")</f>
        <v>Monday</v>
      </c>
      <c r="J378" t="str" cm="1">
        <f t="array" ref="J378">_xlfn.IFS(Append1[[#This Row],[weekday cnt]]=0,"Weekend",Append1[[#This Row],[weekday cnt]]=6,"Weekend",Append1[[#This Row],[weekday cnt]]&gt;0,"Weekday")</f>
        <v>Weekday</v>
      </c>
      <c r="K378">
        <v>1</v>
      </c>
      <c r="L378" t="str" cm="1">
        <f t="array" ref="L3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78">
        <v>2</v>
      </c>
      <c r="N378">
        <v>0.18</v>
      </c>
      <c r="O378">
        <v>376</v>
      </c>
      <c r="P378">
        <v>377</v>
      </c>
      <c r="Q378">
        <v>0.19700000000000001</v>
      </c>
      <c r="R378">
        <v>0.43</v>
      </c>
      <c r="S378">
        <v>0.1343</v>
      </c>
      <c r="T378">
        <v>1</v>
      </c>
      <c r="U378">
        <v>2</v>
      </c>
      <c r="V378">
        <v>3</v>
      </c>
    </row>
    <row r="379" spans="1:22" x14ac:dyDescent="0.3">
      <c r="A379">
        <v>378</v>
      </c>
      <c r="B379" s="1">
        <v>40560</v>
      </c>
      <c r="C379">
        <v>1</v>
      </c>
      <c r="D379">
        <v>0</v>
      </c>
      <c r="E379" t="str">
        <f>TEXT(Append1[[#This Row],[dteday]],"MMMM")</f>
        <v>January</v>
      </c>
      <c r="F379">
        <v>1</v>
      </c>
      <c r="G379">
        <v>5</v>
      </c>
      <c r="H379" t="b">
        <v>1</v>
      </c>
      <c r="I379" t="str">
        <f>TEXT(Append1[[#This Row],[dteday]],"DDDD")</f>
        <v>Monday</v>
      </c>
      <c r="J379" t="str" cm="1">
        <f t="array" ref="J379">_xlfn.IFS(Append1[[#This Row],[weekday cnt]]=0,"Weekend",Append1[[#This Row],[weekday cnt]]=6,"Weekend",Append1[[#This Row],[weekday cnt]]&gt;0,"Weekday")</f>
        <v>Weekday</v>
      </c>
      <c r="K379">
        <v>1</v>
      </c>
      <c r="L379" t="str" cm="1">
        <f t="array" ref="L3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79">
        <v>2</v>
      </c>
      <c r="N379">
        <v>0.18</v>
      </c>
      <c r="O379">
        <v>377</v>
      </c>
      <c r="P379">
        <v>378</v>
      </c>
      <c r="Q379">
        <v>0.19700000000000001</v>
      </c>
      <c r="R379">
        <v>0.43</v>
      </c>
      <c r="S379">
        <v>0.16420000000000001</v>
      </c>
      <c r="T379">
        <v>0</v>
      </c>
      <c r="U379">
        <v>1</v>
      </c>
      <c r="V379">
        <v>1</v>
      </c>
    </row>
    <row r="380" spans="1:22" x14ac:dyDescent="0.3">
      <c r="A380">
        <v>379</v>
      </c>
      <c r="B380" s="1">
        <v>40560</v>
      </c>
      <c r="C380">
        <v>1</v>
      </c>
      <c r="D380">
        <v>0</v>
      </c>
      <c r="E380" t="str">
        <f>TEXT(Append1[[#This Row],[dteday]],"MMMM")</f>
        <v>January</v>
      </c>
      <c r="F380">
        <v>1</v>
      </c>
      <c r="G380">
        <v>6</v>
      </c>
      <c r="H380" t="b">
        <v>1</v>
      </c>
      <c r="I380" t="str">
        <f>TEXT(Append1[[#This Row],[dteday]],"DDDD")</f>
        <v>Monday</v>
      </c>
      <c r="J380" t="str" cm="1">
        <f t="array" ref="J380">_xlfn.IFS(Append1[[#This Row],[weekday cnt]]=0,"Weekend",Append1[[#This Row],[weekday cnt]]=6,"Weekend",Append1[[#This Row],[weekday cnt]]&gt;0,"Weekday")</f>
        <v>Weekday</v>
      </c>
      <c r="K380">
        <v>1</v>
      </c>
      <c r="L380" t="str" cm="1">
        <f t="array" ref="L3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0">
        <v>2</v>
      </c>
      <c r="N380">
        <v>0.18</v>
      </c>
      <c r="O380">
        <v>378</v>
      </c>
      <c r="P380">
        <v>379</v>
      </c>
      <c r="Q380">
        <v>0.18179999999999999</v>
      </c>
      <c r="R380">
        <v>0.43</v>
      </c>
      <c r="S380">
        <v>0.19400000000000001</v>
      </c>
      <c r="T380">
        <v>0</v>
      </c>
      <c r="U380">
        <v>5</v>
      </c>
      <c r="V380">
        <v>5</v>
      </c>
    </row>
    <row r="381" spans="1:22" x14ac:dyDescent="0.3">
      <c r="A381">
        <v>380</v>
      </c>
      <c r="B381" s="1">
        <v>40560</v>
      </c>
      <c r="C381">
        <v>1</v>
      </c>
      <c r="D381">
        <v>0</v>
      </c>
      <c r="E381" t="str">
        <f>TEXT(Append1[[#This Row],[dteday]],"MMMM")</f>
        <v>January</v>
      </c>
      <c r="F381">
        <v>1</v>
      </c>
      <c r="G381">
        <v>7</v>
      </c>
      <c r="H381" t="b">
        <v>1</v>
      </c>
      <c r="I381" t="str">
        <f>TEXT(Append1[[#This Row],[dteday]],"DDDD")</f>
        <v>Monday</v>
      </c>
      <c r="J381" t="str" cm="1">
        <f t="array" ref="J381">_xlfn.IFS(Append1[[#This Row],[weekday cnt]]=0,"Weekend",Append1[[#This Row],[weekday cnt]]=6,"Weekend",Append1[[#This Row],[weekday cnt]]&gt;0,"Weekday")</f>
        <v>Weekday</v>
      </c>
      <c r="K381">
        <v>1</v>
      </c>
      <c r="L381" t="str" cm="1">
        <f t="array" ref="L3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1">
        <v>2</v>
      </c>
      <c r="N381">
        <v>0.16</v>
      </c>
      <c r="O381">
        <v>379</v>
      </c>
      <c r="P381">
        <v>380</v>
      </c>
      <c r="Q381">
        <v>0.18179999999999999</v>
      </c>
      <c r="R381">
        <v>0.5</v>
      </c>
      <c r="S381">
        <v>0.1343</v>
      </c>
      <c r="T381">
        <v>4</v>
      </c>
      <c r="U381">
        <v>9</v>
      </c>
      <c r="V381">
        <v>13</v>
      </c>
    </row>
    <row r="382" spans="1:22" x14ac:dyDescent="0.3">
      <c r="A382">
        <v>381</v>
      </c>
      <c r="B382" s="1">
        <v>40560</v>
      </c>
      <c r="C382">
        <v>1</v>
      </c>
      <c r="D382">
        <v>0</v>
      </c>
      <c r="E382" t="str">
        <f>TEXT(Append1[[#This Row],[dteday]],"MMMM")</f>
        <v>January</v>
      </c>
      <c r="F382">
        <v>1</v>
      </c>
      <c r="G382">
        <v>8</v>
      </c>
      <c r="H382" t="b">
        <v>1</v>
      </c>
      <c r="I382" t="str">
        <f>TEXT(Append1[[#This Row],[dteday]],"DDDD")</f>
        <v>Monday</v>
      </c>
      <c r="J382" t="str" cm="1">
        <f t="array" ref="J382">_xlfn.IFS(Append1[[#This Row],[weekday cnt]]=0,"Weekend",Append1[[#This Row],[weekday cnt]]=6,"Weekend",Append1[[#This Row],[weekday cnt]]&gt;0,"Weekday")</f>
        <v>Weekday</v>
      </c>
      <c r="K382">
        <v>1</v>
      </c>
      <c r="L382" t="str" cm="1">
        <f t="array" ref="L3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2">
        <v>2</v>
      </c>
      <c r="N382">
        <v>0.16</v>
      </c>
      <c r="O382">
        <v>380</v>
      </c>
      <c r="P382">
        <v>381</v>
      </c>
      <c r="Q382">
        <v>0.1515</v>
      </c>
      <c r="R382">
        <v>0.47</v>
      </c>
      <c r="S382">
        <v>0.22389999999999999</v>
      </c>
      <c r="T382">
        <v>3</v>
      </c>
      <c r="U382">
        <v>30</v>
      </c>
      <c r="V382">
        <v>33</v>
      </c>
    </row>
    <row r="383" spans="1:22" x14ac:dyDescent="0.3">
      <c r="A383">
        <v>382</v>
      </c>
      <c r="B383" s="1">
        <v>40560</v>
      </c>
      <c r="C383">
        <v>1</v>
      </c>
      <c r="D383">
        <v>0</v>
      </c>
      <c r="E383" t="str">
        <f>TEXT(Append1[[#This Row],[dteday]],"MMMM")</f>
        <v>January</v>
      </c>
      <c r="F383">
        <v>1</v>
      </c>
      <c r="G383">
        <v>9</v>
      </c>
      <c r="H383" t="b">
        <v>1</v>
      </c>
      <c r="I383" t="str">
        <f>TEXT(Append1[[#This Row],[dteday]],"DDDD")</f>
        <v>Monday</v>
      </c>
      <c r="J383" t="str" cm="1">
        <f t="array" ref="J383">_xlfn.IFS(Append1[[#This Row],[weekday cnt]]=0,"Weekend",Append1[[#This Row],[weekday cnt]]=6,"Weekend",Append1[[#This Row],[weekday cnt]]&gt;0,"Weekday")</f>
        <v>Weekday</v>
      </c>
      <c r="K383">
        <v>1</v>
      </c>
      <c r="L383" t="str" cm="1">
        <f t="array" ref="L3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3">
        <v>2</v>
      </c>
      <c r="N383">
        <v>0.16</v>
      </c>
      <c r="O383">
        <v>381</v>
      </c>
      <c r="P383">
        <v>382</v>
      </c>
      <c r="Q383">
        <v>0.1515</v>
      </c>
      <c r="R383">
        <v>0.47</v>
      </c>
      <c r="S383">
        <v>0.22389999999999999</v>
      </c>
      <c r="T383">
        <v>8</v>
      </c>
      <c r="U383">
        <v>39</v>
      </c>
      <c r="V383">
        <v>47</v>
      </c>
    </row>
    <row r="384" spans="1:22" x14ac:dyDescent="0.3">
      <c r="A384">
        <v>383</v>
      </c>
      <c r="B384" s="1">
        <v>40560</v>
      </c>
      <c r="C384">
        <v>1</v>
      </c>
      <c r="D384">
        <v>0</v>
      </c>
      <c r="E384" t="str">
        <f>TEXT(Append1[[#This Row],[dteday]],"MMMM")</f>
        <v>January</v>
      </c>
      <c r="F384">
        <v>1</v>
      </c>
      <c r="G384">
        <v>10</v>
      </c>
      <c r="H384" t="b">
        <v>1</v>
      </c>
      <c r="I384" t="str">
        <f>TEXT(Append1[[#This Row],[dteday]],"DDDD")</f>
        <v>Monday</v>
      </c>
      <c r="J384" t="str" cm="1">
        <f t="array" ref="J384">_xlfn.IFS(Append1[[#This Row],[weekday cnt]]=0,"Weekend",Append1[[#This Row],[weekday cnt]]=6,"Weekend",Append1[[#This Row],[weekday cnt]]&gt;0,"Weekday")</f>
        <v>Weekday</v>
      </c>
      <c r="K384">
        <v>1</v>
      </c>
      <c r="L384" t="str" cm="1">
        <f t="array" ref="L3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4">
        <v>2</v>
      </c>
      <c r="N384">
        <v>0.16</v>
      </c>
      <c r="O384">
        <v>382</v>
      </c>
      <c r="P384">
        <v>383</v>
      </c>
      <c r="Q384">
        <v>0.1515</v>
      </c>
      <c r="R384">
        <v>0.5</v>
      </c>
      <c r="S384">
        <v>0.25369999999999998</v>
      </c>
      <c r="T384">
        <v>7</v>
      </c>
      <c r="U384">
        <v>50</v>
      </c>
      <c r="V384">
        <v>57</v>
      </c>
    </row>
    <row r="385" spans="1:22" x14ac:dyDescent="0.3">
      <c r="A385">
        <v>384</v>
      </c>
      <c r="B385" s="1">
        <v>40560</v>
      </c>
      <c r="C385">
        <v>1</v>
      </c>
      <c r="D385">
        <v>0</v>
      </c>
      <c r="E385" t="str">
        <f>TEXT(Append1[[#This Row],[dteday]],"MMMM")</f>
        <v>January</v>
      </c>
      <c r="F385">
        <v>1</v>
      </c>
      <c r="G385">
        <v>11</v>
      </c>
      <c r="H385" t="b">
        <v>1</v>
      </c>
      <c r="I385" t="str">
        <f>TEXT(Append1[[#This Row],[dteday]],"DDDD")</f>
        <v>Monday</v>
      </c>
      <c r="J385" t="str" cm="1">
        <f t="array" ref="J385">_xlfn.IFS(Append1[[#This Row],[weekday cnt]]=0,"Weekend",Append1[[#This Row],[weekday cnt]]=6,"Weekend",Append1[[#This Row],[weekday cnt]]&gt;0,"Weekday")</f>
        <v>Weekday</v>
      </c>
      <c r="K385">
        <v>1</v>
      </c>
      <c r="L385" t="str" cm="1">
        <f t="array" ref="L3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5">
        <v>2</v>
      </c>
      <c r="N385">
        <v>0.16</v>
      </c>
      <c r="O385">
        <v>383</v>
      </c>
      <c r="P385">
        <v>384</v>
      </c>
      <c r="Q385">
        <v>0.1515</v>
      </c>
      <c r="R385">
        <v>0.55000000000000004</v>
      </c>
      <c r="S385">
        <v>0.19400000000000001</v>
      </c>
      <c r="T385">
        <v>9</v>
      </c>
      <c r="U385">
        <v>55</v>
      </c>
      <c r="V385">
        <v>64</v>
      </c>
    </row>
    <row r="386" spans="1:22" x14ac:dyDescent="0.3">
      <c r="A386">
        <v>385</v>
      </c>
      <c r="B386" s="1">
        <v>40560</v>
      </c>
      <c r="C386">
        <v>1</v>
      </c>
      <c r="D386">
        <v>0</v>
      </c>
      <c r="E386" t="str">
        <f>TEXT(Append1[[#This Row],[dteday]],"MMMM")</f>
        <v>January</v>
      </c>
      <c r="F386">
        <v>1</v>
      </c>
      <c r="G386">
        <v>12</v>
      </c>
      <c r="H386" t="b">
        <v>1</v>
      </c>
      <c r="I386" t="str">
        <f>TEXT(Append1[[#This Row],[dteday]],"DDDD")</f>
        <v>Monday</v>
      </c>
      <c r="J386" t="str" cm="1">
        <f t="array" ref="J386">_xlfn.IFS(Append1[[#This Row],[weekday cnt]]=0,"Weekend",Append1[[#This Row],[weekday cnt]]=6,"Weekend",Append1[[#This Row],[weekday cnt]]&gt;0,"Weekday")</f>
        <v>Weekday</v>
      </c>
      <c r="K386">
        <v>1</v>
      </c>
      <c r="L386" t="str" cm="1">
        <f t="array" ref="L3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6">
        <v>2</v>
      </c>
      <c r="N386">
        <v>0.18</v>
      </c>
      <c r="O386">
        <v>384</v>
      </c>
      <c r="P386">
        <v>385</v>
      </c>
      <c r="Q386">
        <v>0.19700000000000001</v>
      </c>
      <c r="R386">
        <v>0.47</v>
      </c>
      <c r="S386">
        <v>0.1343</v>
      </c>
      <c r="T386">
        <v>10</v>
      </c>
      <c r="U386">
        <v>70</v>
      </c>
      <c r="V386">
        <v>80</v>
      </c>
    </row>
    <row r="387" spans="1:22" x14ac:dyDescent="0.3">
      <c r="A387">
        <v>386</v>
      </c>
      <c r="B387" s="1">
        <v>40560</v>
      </c>
      <c r="C387">
        <v>1</v>
      </c>
      <c r="D387">
        <v>0</v>
      </c>
      <c r="E387" t="str">
        <f>TEXT(Append1[[#This Row],[dteday]],"MMMM")</f>
        <v>January</v>
      </c>
      <c r="F387">
        <v>1</v>
      </c>
      <c r="G387">
        <v>13</v>
      </c>
      <c r="H387" t="b">
        <v>1</v>
      </c>
      <c r="I387" t="str">
        <f>TEXT(Append1[[#This Row],[dteday]],"DDDD")</f>
        <v>Monday</v>
      </c>
      <c r="J387" t="str" cm="1">
        <f t="array" ref="J387">_xlfn.IFS(Append1[[#This Row],[weekday cnt]]=0,"Weekend",Append1[[#This Row],[weekday cnt]]=6,"Weekend",Append1[[#This Row],[weekday cnt]]&gt;0,"Weekday")</f>
        <v>Weekday</v>
      </c>
      <c r="K387">
        <v>1</v>
      </c>
      <c r="L387" t="str" cm="1">
        <f t="array" ref="L3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7">
        <v>2</v>
      </c>
      <c r="N387">
        <v>0.18</v>
      </c>
      <c r="O387">
        <v>385</v>
      </c>
      <c r="P387">
        <v>386</v>
      </c>
      <c r="Q387">
        <v>0.19700000000000001</v>
      </c>
      <c r="R387">
        <v>0.47</v>
      </c>
      <c r="S387">
        <v>0.1343</v>
      </c>
      <c r="T387">
        <v>13</v>
      </c>
      <c r="U387">
        <v>80</v>
      </c>
      <c r="V387">
        <v>93</v>
      </c>
    </row>
    <row r="388" spans="1:22" x14ac:dyDescent="0.3">
      <c r="A388">
        <v>387</v>
      </c>
      <c r="B388" s="1">
        <v>40560</v>
      </c>
      <c r="C388">
        <v>1</v>
      </c>
      <c r="D388">
        <v>0</v>
      </c>
      <c r="E388" t="str">
        <f>TEXT(Append1[[#This Row],[dteday]],"MMMM")</f>
        <v>January</v>
      </c>
      <c r="F388">
        <v>1</v>
      </c>
      <c r="G388">
        <v>14</v>
      </c>
      <c r="H388" t="b">
        <v>1</v>
      </c>
      <c r="I388" t="str">
        <f>TEXT(Append1[[#This Row],[dteday]],"DDDD")</f>
        <v>Monday</v>
      </c>
      <c r="J388" t="str" cm="1">
        <f t="array" ref="J388">_xlfn.IFS(Append1[[#This Row],[weekday cnt]]=0,"Weekend",Append1[[#This Row],[weekday cnt]]=6,"Weekend",Append1[[#This Row],[weekday cnt]]&gt;0,"Weekday")</f>
        <v>Weekday</v>
      </c>
      <c r="K388">
        <v>1</v>
      </c>
      <c r="L388" t="str" cm="1">
        <f t="array" ref="L3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8">
        <v>2</v>
      </c>
      <c r="N388">
        <v>0.18</v>
      </c>
      <c r="O388">
        <v>386</v>
      </c>
      <c r="P388">
        <v>387</v>
      </c>
      <c r="Q388">
        <v>0.21210000000000001</v>
      </c>
      <c r="R388">
        <v>0.43</v>
      </c>
      <c r="S388">
        <v>0.1045</v>
      </c>
      <c r="T388">
        <v>12</v>
      </c>
      <c r="U388">
        <v>74</v>
      </c>
      <c r="V388">
        <v>86</v>
      </c>
    </row>
    <row r="389" spans="1:22" x14ac:dyDescent="0.3">
      <c r="A389">
        <v>388</v>
      </c>
      <c r="B389" s="1">
        <v>40560</v>
      </c>
      <c r="C389">
        <v>1</v>
      </c>
      <c r="D389">
        <v>0</v>
      </c>
      <c r="E389" t="str">
        <f>TEXT(Append1[[#This Row],[dteday]],"MMMM")</f>
        <v>January</v>
      </c>
      <c r="F389">
        <v>1</v>
      </c>
      <c r="G389">
        <v>15</v>
      </c>
      <c r="H389" t="b">
        <v>1</v>
      </c>
      <c r="I389" t="str">
        <f>TEXT(Append1[[#This Row],[dteday]],"DDDD")</f>
        <v>Monday</v>
      </c>
      <c r="J389" t="str" cm="1">
        <f t="array" ref="J389">_xlfn.IFS(Append1[[#This Row],[weekday cnt]]=0,"Weekend",Append1[[#This Row],[weekday cnt]]=6,"Weekend",Append1[[#This Row],[weekday cnt]]&gt;0,"Weekday")</f>
        <v>Weekday</v>
      </c>
      <c r="K389">
        <v>1</v>
      </c>
      <c r="L389" t="str" cm="1">
        <f t="array" ref="L3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89">
        <v>2</v>
      </c>
      <c r="N389">
        <v>0.2</v>
      </c>
      <c r="O389">
        <v>387</v>
      </c>
      <c r="P389">
        <v>388</v>
      </c>
      <c r="Q389">
        <v>0.21210000000000001</v>
      </c>
      <c r="R389">
        <v>0.47</v>
      </c>
      <c r="S389">
        <v>0.16420000000000001</v>
      </c>
      <c r="T389">
        <v>21</v>
      </c>
      <c r="U389">
        <v>72</v>
      </c>
      <c r="V389">
        <v>93</v>
      </c>
    </row>
    <row r="390" spans="1:22" x14ac:dyDescent="0.3">
      <c r="A390">
        <v>389</v>
      </c>
      <c r="B390" s="1">
        <v>40560</v>
      </c>
      <c r="C390">
        <v>1</v>
      </c>
      <c r="D390">
        <v>0</v>
      </c>
      <c r="E390" t="str">
        <f>TEXT(Append1[[#This Row],[dteday]],"MMMM")</f>
        <v>January</v>
      </c>
      <c r="F390">
        <v>1</v>
      </c>
      <c r="G390">
        <v>16</v>
      </c>
      <c r="H390" t="b">
        <v>1</v>
      </c>
      <c r="I390" t="str">
        <f>TEXT(Append1[[#This Row],[dteday]],"DDDD")</f>
        <v>Monday</v>
      </c>
      <c r="J390" t="str" cm="1">
        <f t="array" ref="J390">_xlfn.IFS(Append1[[#This Row],[weekday cnt]]=0,"Weekend",Append1[[#This Row],[weekday cnt]]=6,"Weekend",Append1[[#This Row],[weekday cnt]]&gt;0,"Weekday")</f>
        <v>Weekday</v>
      </c>
      <c r="K390">
        <v>1</v>
      </c>
      <c r="L390" t="str" cm="1">
        <f t="array" ref="L3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90">
        <v>2</v>
      </c>
      <c r="N390">
        <v>0.2</v>
      </c>
      <c r="O390">
        <v>388</v>
      </c>
      <c r="P390">
        <v>389</v>
      </c>
      <c r="Q390">
        <v>0.21210000000000001</v>
      </c>
      <c r="R390">
        <v>0.47</v>
      </c>
      <c r="S390">
        <v>0.16420000000000001</v>
      </c>
      <c r="T390">
        <v>6</v>
      </c>
      <c r="U390">
        <v>76</v>
      </c>
      <c r="V390">
        <v>82</v>
      </c>
    </row>
    <row r="391" spans="1:22" x14ac:dyDescent="0.3">
      <c r="A391">
        <v>390</v>
      </c>
      <c r="B391" s="1">
        <v>40560</v>
      </c>
      <c r="C391">
        <v>1</v>
      </c>
      <c r="D391">
        <v>0</v>
      </c>
      <c r="E391" t="str">
        <f>TEXT(Append1[[#This Row],[dteday]],"MMMM")</f>
        <v>January</v>
      </c>
      <c r="F391">
        <v>1</v>
      </c>
      <c r="G391">
        <v>17</v>
      </c>
      <c r="H391" t="b">
        <v>1</v>
      </c>
      <c r="I391" t="str">
        <f>TEXT(Append1[[#This Row],[dteday]],"DDDD")</f>
        <v>Monday</v>
      </c>
      <c r="J391" t="str" cm="1">
        <f t="array" ref="J391">_xlfn.IFS(Append1[[#This Row],[weekday cnt]]=0,"Weekend",Append1[[#This Row],[weekday cnt]]=6,"Weekend",Append1[[#This Row],[weekday cnt]]&gt;0,"Weekday")</f>
        <v>Weekday</v>
      </c>
      <c r="K391">
        <v>1</v>
      </c>
      <c r="L391" t="str" cm="1">
        <f t="array" ref="L3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391">
        <v>1</v>
      </c>
      <c r="N391">
        <v>0.2</v>
      </c>
      <c r="O391">
        <v>389</v>
      </c>
      <c r="P391">
        <v>390</v>
      </c>
      <c r="Q391">
        <v>0.19700000000000001</v>
      </c>
      <c r="R391">
        <v>0.51</v>
      </c>
      <c r="S391">
        <v>0.19400000000000001</v>
      </c>
      <c r="T391">
        <v>4</v>
      </c>
      <c r="U391">
        <v>67</v>
      </c>
      <c r="V391">
        <v>71</v>
      </c>
    </row>
    <row r="392" spans="1:22" x14ac:dyDescent="0.3">
      <c r="A392">
        <v>391</v>
      </c>
      <c r="B392" s="1">
        <v>40560</v>
      </c>
      <c r="C392">
        <v>1</v>
      </c>
      <c r="D392">
        <v>0</v>
      </c>
      <c r="E392" t="str">
        <f>TEXT(Append1[[#This Row],[dteday]],"MMMM")</f>
        <v>January</v>
      </c>
      <c r="F392">
        <v>1</v>
      </c>
      <c r="G392">
        <v>18</v>
      </c>
      <c r="H392" t="b">
        <v>1</v>
      </c>
      <c r="I392" t="str">
        <f>TEXT(Append1[[#This Row],[dteday]],"DDDD")</f>
        <v>Monday</v>
      </c>
      <c r="J392" t="str" cm="1">
        <f t="array" ref="J392">_xlfn.IFS(Append1[[#This Row],[weekday cnt]]=0,"Weekend",Append1[[#This Row],[weekday cnt]]=6,"Weekend",Append1[[#This Row],[weekday cnt]]&gt;0,"Weekday")</f>
        <v>Weekday</v>
      </c>
      <c r="K392">
        <v>1</v>
      </c>
      <c r="L392" t="str" cm="1">
        <f t="array" ref="L3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92">
        <v>2</v>
      </c>
      <c r="N392">
        <v>0.18</v>
      </c>
      <c r="O392">
        <v>390</v>
      </c>
      <c r="P392">
        <v>391</v>
      </c>
      <c r="Q392">
        <v>0.16669999999999999</v>
      </c>
      <c r="R392">
        <v>0.55000000000000004</v>
      </c>
      <c r="S392">
        <v>0.25369999999999998</v>
      </c>
      <c r="T392">
        <v>7</v>
      </c>
      <c r="U392">
        <v>85</v>
      </c>
      <c r="V392">
        <v>92</v>
      </c>
    </row>
    <row r="393" spans="1:22" x14ac:dyDescent="0.3">
      <c r="A393">
        <v>392</v>
      </c>
      <c r="B393" s="1">
        <v>40560</v>
      </c>
      <c r="C393">
        <v>1</v>
      </c>
      <c r="D393">
        <v>0</v>
      </c>
      <c r="E393" t="str">
        <f>TEXT(Append1[[#This Row],[dteday]],"MMMM")</f>
        <v>January</v>
      </c>
      <c r="F393">
        <v>1</v>
      </c>
      <c r="G393">
        <v>19</v>
      </c>
      <c r="H393" t="b">
        <v>1</v>
      </c>
      <c r="I393" t="str">
        <f>TEXT(Append1[[#This Row],[dteday]],"DDDD")</f>
        <v>Monday</v>
      </c>
      <c r="J393" t="str" cm="1">
        <f t="array" ref="J393">_xlfn.IFS(Append1[[#This Row],[weekday cnt]]=0,"Weekend",Append1[[#This Row],[weekday cnt]]=6,"Weekend",Append1[[#This Row],[weekday cnt]]&gt;0,"Weekday")</f>
        <v>Weekday</v>
      </c>
      <c r="K393">
        <v>1</v>
      </c>
      <c r="L393" t="str" cm="1">
        <f t="array" ref="L3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393">
        <v>3</v>
      </c>
      <c r="N393">
        <v>0.18</v>
      </c>
      <c r="O393">
        <v>391</v>
      </c>
      <c r="P393">
        <v>392</v>
      </c>
      <c r="Q393">
        <v>0.18179999999999999</v>
      </c>
      <c r="R393">
        <v>0.59</v>
      </c>
      <c r="S393">
        <v>0.19400000000000001</v>
      </c>
      <c r="T393">
        <v>2</v>
      </c>
      <c r="U393">
        <v>58</v>
      </c>
      <c r="V393">
        <v>60</v>
      </c>
    </row>
    <row r="394" spans="1:22" x14ac:dyDescent="0.3">
      <c r="A394">
        <v>393</v>
      </c>
      <c r="B394" s="1">
        <v>40560</v>
      </c>
      <c r="C394">
        <v>1</v>
      </c>
      <c r="D394">
        <v>0</v>
      </c>
      <c r="E394" t="str">
        <f>TEXT(Append1[[#This Row],[dteday]],"MMMM")</f>
        <v>January</v>
      </c>
      <c r="F394">
        <v>1</v>
      </c>
      <c r="G394">
        <v>20</v>
      </c>
      <c r="H394" t="b">
        <v>1</v>
      </c>
      <c r="I394" t="str">
        <f>TEXT(Append1[[#This Row],[dteday]],"DDDD")</f>
        <v>Monday</v>
      </c>
      <c r="J394" t="str" cm="1">
        <f t="array" ref="J394">_xlfn.IFS(Append1[[#This Row],[weekday cnt]]=0,"Weekend",Append1[[#This Row],[weekday cnt]]=6,"Weekend",Append1[[#This Row],[weekday cnt]]&gt;0,"Weekday")</f>
        <v>Weekday</v>
      </c>
      <c r="K394">
        <v>1</v>
      </c>
      <c r="L394" t="str" cm="1">
        <f t="array" ref="L3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394">
        <v>3</v>
      </c>
      <c r="N394">
        <v>0.16</v>
      </c>
      <c r="O394">
        <v>392</v>
      </c>
      <c r="P394">
        <v>393</v>
      </c>
      <c r="Q394">
        <v>0.1515</v>
      </c>
      <c r="R394">
        <v>0.8</v>
      </c>
      <c r="S394">
        <v>0.19400000000000001</v>
      </c>
      <c r="T394">
        <v>4</v>
      </c>
      <c r="U394">
        <v>29</v>
      </c>
      <c r="V394">
        <v>33</v>
      </c>
    </row>
    <row r="395" spans="1:22" x14ac:dyDescent="0.3">
      <c r="A395">
        <v>394</v>
      </c>
      <c r="B395" s="1">
        <v>40560</v>
      </c>
      <c r="C395">
        <v>1</v>
      </c>
      <c r="D395">
        <v>0</v>
      </c>
      <c r="E395" t="str">
        <f>TEXT(Append1[[#This Row],[dteday]],"MMMM")</f>
        <v>January</v>
      </c>
      <c r="F395">
        <v>1</v>
      </c>
      <c r="G395">
        <v>21</v>
      </c>
      <c r="H395" t="b">
        <v>1</v>
      </c>
      <c r="I395" t="str">
        <f>TEXT(Append1[[#This Row],[dteday]],"DDDD")</f>
        <v>Monday</v>
      </c>
      <c r="J395" t="str" cm="1">
        <f t="array" ref="J395">_xlfn.IFS(Append1[[#This Row],[weekday cnt]]=0,"Weekend",Append1[[#This Row],[weekday cnt]]=6,"Weekend",Append1[[#This Row],[weekday cnt]]&gt;0,"Weekday")</f>
        <v>Weekday</v>
      </c>
      <c r="K395">
        <v>1</v>
      </c>
      <c r="L395" t="str" cm="1">
        <f t="array" ref="L3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395">
        <v>3</v>
      </c>
      <c r="N395">
        <v>0.16</v>
      </c>
      <c r="O395">
        <v>393</v>
      </c>
      <c r="P395">
        <v>394</v>
      </c>
      <c r="Q395">
        <v>0.1515</v>
      </c>
      <c r="R395">
        <v>0.8</v>
      </c>
      <c r="S395">
        <v>0.19400000000000001</v>
      </c>
      <c r="T395">
        <v>3</v>
      </c>
      <c r="U395">
        <v>24</v>
      </c>
      <c r="V395">
        <v>27</v>
      </c>
    </row>
    <row r="396" spans="1:22" x14ac:dyDescent="0.3">
      <c r="A396">
        <v>395</v>
      </c>
      <c r="B396" s="1">
        <v>40560</v>
      </c>
      <c r="C396">
        <v>1</v>
      </c>
      <c r="D396">
        <v>0</v>
      </c>
      <c r="E396" t="str">
        <f>TEXT(Append1[[#This Row],[dteday]],"MMMM")</f>
        <v>January</v>
      </c>
      <c r="F396">
        <v>1</v>
      </c>
      <c r="G396">
        <v>22</v>
      </c>
      <c r="H396" t="b">
        <v>1</v>
      </c>
      <c r="I396" t="str">
        <f>TEXT(Append1[[#This Row],[dteday]],"DDDD")</f>
        <v>Monday</v>
      </c>
      <c r="J396" t="str" cm="1">
        <f t="array" ref="J396">_xlfn.IFS(Append1[[#This Row],[weekday cnt]]=0,"Weekend",Append1[[#This Row],[weekday cnt]]=6,"Weekend",Append1[[#This Row],[weekday cnt]]&gt;0,"Weekday")</f>
        <v>Weekday</v>
      </c>
      <c r="K396">
        <v>1</v>
      </c>
      <c r="L396" t="str" cm="1">
        <f t="array" ref="L3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396">
        <v>3</v>
      </c>
      <c r="N396">
        <v>0.14000000000000001</v>
      </c>
      <c r="O396">
        <v>394</v>
      </c>
      <c r="P396">
        <v>395</v>
      </c>
      <c r="Q396">
        <v>0.1212</v>
      </c>
      <c r="R396">
        <v>0.93</v>
      </c>
      <c r="S396">
        <v>0.25369999999999998</v>
      </c>
      <c r="T396">
        <v>0</v>
      </c>
      <c r="U396">
        <v>13</v>
      </c>
      <c r="V396">
        <v>13</v>
      </c>
    </row>
    <row r="397" spans="1:22" x14ac:dyDescent="0.3">
      <c r="A397">
        <v>396</v>
      </c>
      <c r="B397" s="1">
        <v>40560</v>
      </c>
      <c r="C397">
        <v>1</v>
      </c>
      <c r="D397">
        <v>0</v>
      </c>
      <c r="E397" t="str">
        <f>TEXT(Append1[[#This Row],[dteday]],"MMMM")</f>
        <v>January</v>
      </c>
      <c r="F397">
        <v>1</v>
      </c>
      <c r="G397">
        <v>23</v>
      </c>
      <c r="H397" t="b">
        <v>1</v>
      </c>
      <c r="I397" t="str">
        <f>TEXT(Append1[[#This Row],[dteday]],"DDDD")</f>
        <v>Monday</v>
      </c>
      <c r="J397" t="str" cm="1">
        <f t="array" ref="J397">_xlfn.IFS(Append1[[#This Row],[weekday cnt]]=0,"Weekend",Append1[[#This Row],[weekday cnt]]=6,"Weekend",Append1[[#This Row],[weekday cnt]]&gt;0,"Weekday")</f>
        <v>Weekday</v>
      </c>
      <c r="K397">
        <v>1</v>
      </c>
      <c r="L397" t="str" cm="1">
        <f t="array" ref="L3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397">
        <v>3</v>
      </c>
      <c r="N397">
        <v>0.16</v>
      </c>
      <c r="O397">
        <v>395</v>
      </c>
      <c r="P397">
        <v>396</v>
      </c>
      <c r="Q397">
        <v>0.13639999999999999</v>
      </c>
      <c r="R397">
        <v>0.86</v>
      </c>
      <c r="S397">
        <v>0.28360000000000002</v>
      </c>
      <c r="T397">
        <v>1</v>
      </c>
      <c r="U397">
        <v>3</v>
      </c>
      <c r="V397">
        <v>4</v>
      </c>
    </row>
    <row r="398" spans="1:22" x14ac:dyDescent="0.3">
      <c r="A398">
        <v>397</v>
      </c>
      <c r="B398" s="1">
        <v>40561</v>
      </c>
      <c r="C398">
        <v>1</v>
      </c>
      <c r="D398">
        <v>0</v>
      </c>
      <c r="E398" t="str">
        <f>TEXT(Append1[[#This Row],[dteday]],"MMMM")</f>
        <v>January</v>
      </c>
      <c r="F398">
        <v>1</v>
      </c>
      <c r="G398">
        <v>12</v>
      </c>
      <c r="H398" t="b">
        <v>0</v>
      </c>
      <c r="I398" t="str">
        <f>TEXT(Append1[[#This Row],[dteday]],"DDDD")</f>
        <v>Tuesday</v>
      </c>
      <c r="J398" t="str" cm="1">
        <f t="array" ref="J398">_xlfn.IFS(Append1[[#This Row],[weekday cnt]]=0,"Weekend",Append1[[#This Row],[weekday cnt]]=6,"Weekend",Append1[[#This Row],[weekday cnt]]&gt;0,"Weekday")</f>
        <v>Weekday</v>
      </c>
      <c r="K398">
        <v>2</v>
      </c>
      <c r="L398" t="str" cm="1">
        <f t="array" ref="L3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98">
        <v>2</v>
      </c>
      <c r="N398">
        <v>0.2</v>
      </c>
      <c r="O398">
        <v>396</v>
      </c>
      <c r="P398">
        <v>397</v>
      </c>
      <c r="Q398">
        <v>0.18179999999999999</v>
      </c>
      <c r="R398">
        <v>0.86</v>
      </c>
      <c r="S398">
        <v>0.32840000000000003</v>
      </c>
      <c r="T398">
        <v>0</v>
      </c>
      <c r="U398">
        <v>3</v>
      </c>
      <c r="V398">
        <v>3</v>
      </c>
    </row>
    <row r="399" spans="1:22" x14ac:dyDescent="0.3">
      <c r="A399">
        <v>398</v>
      </c>
      <c r="B399" s="1">
        <v>40561</v>
      </c>
      <c r="C399">
        <v>1</v>
      </c>
      <c r="D399">
        <v>0</v>
      </c>
      <c r="E399" t="str">
        <f>TEXT(Append1[[#This Row],[dteday]],"MMMM")</f>
        <v>January</v>
      </c>
      <c r="F399">
        <v>1</v>
      </c>
      <c r="G399">
        <v>13</v>
      </c>
      <c r="H399" t="b">
        <v>0</v>
      </c>
      <c r="I399" t="str">
        <f>TEXT(Append1[[#This Row],[dteday]],"DDDD")</f>
        <v>Tuesday</v>
      </c>
      <c r="J399" t="str" cm="1">
        <f t="array" ref="J399">_xlfn.IFS(Append1[[#This Row],[weekday cnt]]=0,"Weekend",Append1[[#This Row],[weekday cnt]]=6,"Weekend",Append1[[#This Row],[weekday cnt]]&gt;0,"Weekday")</f>
        <v>Weekday</v>
      </c>
      <c r="K399">
        <v>2</v>
      </c>
      <c r="L399" t="str" cm="1">
        <f t="array" ref="L3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399">
        <v>2</v>
      </c>
      <c r="N399">
        <v>0.2</v>
      </c>
      <c r="O399">
        <v>397</v>
      </c>
      <c r="P399">
        <v>398</v>
      </c>
      <c r="Q399">
        <v>0.19700000000000001</v>
      </c>
      <c r="R399">
        <v>0.86</v>
      </c>
      <c r="S399">
        <v>0.22389999999999999</v>
      </c>
      <c r="T399">
        <v>0</v>
      </c>
      <c r="U399">
        <v>22</v>
      </c>
      <c r="V399">
        <v>22</v>
      </c>
    </row>
    <row r="400" spans="1:22" x14ac:dyDescent="0.3">
      <c r="A400">
        <v>399</v>
      </c>
      <c r="B400" s="1">
        <v>40561</v>
      </c>
      <c r="C400">
        <v>1</v>
      </c>
      <c r="D400">
        <v>0</v>
      </c>
      <c r="E400" t="str">
        <f>TEXT(Append1[[#This Row],[dteday]],"MMMM")</f>
        <v>January</v>
      </c>
      <c r="F400">
        <v>1</v>
      </c>
      <c r="G400">
        <v>14</v>
      </c>
      <c r="H400" t="b">
        <v>0</v>
      </c>
      <c r="I400" t="str">
        <f>TEXT(Append1[[#This Row],[dteday]],"DDDD")</f>
        <v>Tuesday</v>
      </c>
      <c r="J400" t="str" cm="1">
        <f t="array" ref="J400">_xlfn.IFS(Append1[[#This Row],[weekday cnt]]=0,"Weekend",Append1[[#This Row],[weekday cnt]]=6,"Weekend",Append1[[#This Row],[weekday cnt]]&gt;0,"Weekday")</f>
        <v>Weekday</v>
      </c>
      <c r="K400">
        <v>2</v>
      </c>
      <c r="L400" t="str" cm="1">
        <f t="array" ref="L4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0">
        <v>2</v>
      </c>
      <c r="N400">
        <v>0.22</v>
      </c>
      <c r="O400">
        <v>398</v>
      </c>
      <c r="P400">
        <v>399</v>
      </c>
      <c r="Q400">
        <v>0.2273</v>
      </c>
      <c r="R400">
        <v>0.8</v>
      </c>
      <c r="S400">
        <v>0.16420000000000001</v>
      </c>
      <c r="T400">
        <v>2</v>
      </c>
      <c r="U400">
        <v>26</v>
      </c>
      <c r="V400">
        <v>28</v>
      </c>
    </row>
    <row r="401" spans="1:22" x14ac:dyDescent="0.3">
      <c r="A401">
        <v>400</v>
      </c>
      <c r="B401" s="1">
        <v>40561</v>
      </c>
      <c r="C401">
        <v>1</v>
      </c>
      <c r="D401">
        <v>0</v>
      </c>
      <c r="E401" t="str">
        <f>TEXT(Append1[[#This Row],[dteday]],"MMMM")</f>
        <v>January</v>
      </c>
      <c r="F401">
        <v>1</v>
      </c>
      <c r="G401">
        <v>15</v>
      </c>
      <c r="H401" t="b">
        <v>0</v>
      </c>
      <c r="I401" t="str">
        <f>TEXT(Append1[[#This Row],[dteday]],"DDDD")</f>
        <v>Tuesday</v>
      </c>
      <c r="J401" t="str" cm="1">
        <f t="array" ref="J401">_xlfn.IFS(Append1[[#This Row],[weekday cnt]]=0,"Weekend",Append1[[#This Row],[weekday cnt]]=6,"Weekend",Append1[[#This Row],[weekday cnt]]&gt;0,"Weekday")</f>
        <v>Weekday</v>
      </c>
      <c r="K401">
        <v>2</v>
      </c>
      <c r="L401" t="str" cm="1">
        <f t="array" ref="L4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1">
        <v>2</v>
      </c>
      <c r="N401">
        <v>0.22</v>
      </c>
      <c r="O401">
        <v>399</v>
      </c>
      <c r="P401">
        <v>400</v>
      </c>
      <c r="Q401">
        <v>0.2273</v>
      </c>
      <c r="R401">
        <v>0.87</v>
      </c>
      <c r="S401">
        <v>0.16420000000000001</v>
      </c>
      <c r="T401">
        <v>3</v>
      </c>
      <c r="U401">
        <v>32</v>
      </c>
      <c r="V401">
        <v>35</v>
      </c>
    </row>
    <row r="402" spans="1:22" x14ac:dyDescent="0.3">
      <c r="A402">
        <v>401</v>
      </c>
      <c r="B402" s="1">
        <v>40561</v>
      </c>
      <c r="C402">
        <v>1</v>
      </c>
      <c r="D402">
        <v>0</v>
      </c>
      <c r="E402" t="str">
        <f>TEXT(Append1[[#This Row],[dteday]],"MMMM")</f>
        <v>January</v>
      </c>
      <c r="F402">
        <v>1</v>
      </c>
      <c r="G402">
        <v>16</v>
      </c>
      <c r="H402" t="b">
        <v>0</v>
      </c>
      <c r="I402" t="str">
        <f>TEXT(Append1[[#This Row],[dteday]],"DDDD")</f>
        <v>Tuesday</v>
      </c>
      <c r="J402" t="str" cm="1">
        <f t="array" ref="J402">_xlfn.IFS(Append1[[#This Row],[weekday cnt]]=0,"Weekend",Append1[[#This Row],[weekday cnt]]=6,"Weekend",Append1[[#This Row],[weekday cnt]]&gt;0,"Weekday")</f>
        <v>Weekday</v>
      </c>
      <c r="K402">
        <v>2</v>
      </c>
      <c r="L402" t="str" cm="1">
        <f t="array" ref="L40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2">
        <v>2</v>
      </c>
      <c r="N402">
        <v>0.22</v>
      </c>
      <c r="O402">
        <v>400</v>
      </c>
      <c r="P402">
        <v>401</v>
      </c>
      <c r="Q402">
        <v>0.2273</v>
      </c>
      <c r="R402">
        <v>0.87</v>
      </c>
      <c r="S402">
        <v>0.19400000000000001</v>
      </c>
      <c r="T402">
        <v>0</v>
      </c>
      <c r="U402">
        <v>61</v>
      </c>
      <c r="V402">
        <v>61</v>
      </c>
    </row>
    <row r="403" spans="1:22" x14ac:dyDescent="0.3">
      <c r="A403">
        <v>402</v>
      </c>
      <c r="B403" s="1">
        <v>40561</v>
      </c>
      <c r="C403">
        <v>1</v>
      </c>
      <c r="D403">
        <v>0</v>
      </c>
      <c r="E403" t="str">
        <f>TEXT(Append1[[#This Row],[dteday]],"MMMM")</f>
        <v>January</v>
      </c>
      <c r="F403">
        <v>1</v>
      </c>
      <c r="G403">
        <v>17</v>
      </c>
      <c r="H403" t="b">
        <v>0</v>
      </c>
      <c r="I403" t="str">
        <f>TEXT(Append1[[#This Row],[dteday]],"DDDD")</f>
        <v>Tuesday</v>
      </c>
      <c r="J403" t="str" cm="1">
        <f t="array" ref="J403">_xlfn.IFS(Append1[[#This Row],[weekday cnt]]=0,"Weekend",Append1[[#This Row],[weekday cnt]]=6,"Weekend",Append1[[#This Row],[weekday cnt]]&gt;0,"Weekday")</f>
        <v>Weekday</v>
      </c>
      <c r="K403">
        <v>2</v>
      </c>
      <c r="L403" t="str" cm="1">
        <f t="array" ref="L40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3">
        <v>2</v>
      </c>
      <c r="N403">
        <v>0.22</v>
      </c>
      <c r="O403">
        <v>401</v>
      </c>
      <c r="P403">
        <v>402</v>
      </c>
      <c r="Q403">
        <v>0.2273</v>
      </c>
      <c r="R403">
        <v>0.82</v>
      </c>
      <c r="S403">
        <v>0.19400000000000001</v>
      </c>
      <c r="T403">
        <v>1</v>
      </c>
      <c r="U403">
        <v>124</v>
      </c>
      <c r="V403">
        <v>125</v>
      </c>
    </row>
    <row r="404" spans="1:22" x14ac:dyDescent="0.3">
      <c r="A404">
        <v>403</v>
      </c>
      <c r="B404" s="1">
        <v>40561</v>
      </c>
      <c r="C404">
        <v>1</v>
      </c>
      <c r="D404">
        <v>0</v>
      </c>
      <c r="E404" t="str">
        <f>TEXT(Append1[[#This Row],[dteday]],"MMMM")</f>
        <v>January</v>
      </c>
      <c r="F404">
        <v>1</v>
      </c>
      <c r="G404">
        <v>18</v>
      </c>
      <c r="H404" t="b">
        <v>0</v>
      </c>
      <c r="I404" t="str">
        <f>TEXT(Append1[[#This Row],[dteday]],"DDDD")</f>
        <v>Tuesday</v>
      </c>
      <c r="J404" t="str" cm="1">
        <f t="array" ref="J404">_xlfn.IFS(Append1[[#This Row],[weekday cnt]]=0,"Weekend",Append1[[#This Row],[weekday cnt]]=6,"Weekend",Append1[[#This Row],[weekday cnt]]&gt;0,"Weekday")</f>
        <v>Weekday</v>
      </c>
      <c r="K404">
        <v>2</v>
      </c>
      <c r="L404" t="str" cm="1">
        <f t="array" ref="L40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4">
        <v>2</v>
      </c>
      <c r="N404">
        <v>0.22</v>
      </c>
      <c r="O404">
        <v>402</v>
      </c>
      <c r="P404">
        <v>403</v>
      </c>
      <c r="Q404">
        <v>0.2273</v>
      </c>
      <c r="R404">
        <v>0.8</v>
      </c>
      <c r="S404">
        <v>0.16420000000000001</v>
      </c>
      <c r="T404">
        <v>1</v>
      </c>
      <c r="U404">
        <v>132</v>
      </c>
      <c r="V404">
        <v>133</v>
      </c>
    </row>
    <row r="405" spans="1:22" x14ac:dyDescent="0.3">
      <c r="A405">
        <v>404</v>
      </c>
      <c r="B405" s="1">
        <v>40561</v>
      </c>
      <c r="C405">
        <v>1</v>
      </c>
      <c r="D405">
        <v>0</v>
      </c>
      <c r="E405" t="str">
        <f>TEXT(Append1[[#This Row],[dteday]],"MMMM")</f>
        <v>January</v>
      </c>
      <c r="F405">
        <v>1</v>
      </c>
      <c r="G405">
        <v>19</v>
      </c>
      <c r="H405" t="b">
        <v>0</v>
      </c>
      <c r="I405" t="str">
        <f>TEXT(Append1[[#This Row],[dteday]],"DDDD")</f>
        <v>Tuesday</v>
      </c>
      <c r="J405" t="str" cm="1">
        <f t="array" ref="J405">_xlfn.IFS(Append1[[#This Row],[weekday cnt]]=0,"Weekend",Append1[[#This Row],[weekday cnt]]=6,"Weekend",Append1[[#This Row],[weekday cnt]]&gt;0,"Weekday")</f>
        <v>Weekday</v>
      </c>
      <c r="K405">
        <v>2</v>
      </c>
      <c r="L405" t="str" cm="1">
        <f t="array" ref="L40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5">
        <v>2</v>
      </c>
      <c r="N405">
        <v>0.22</v>
      </c>
      <c r="O405">
        <v>403</v>
      </c>
      <c r="P405">
        <v>404</v>
      </c>
      <c r="Q405">
        <v>0.2273</v>
      </c>
      <c r="R405">
        <v>0.8</v>
      </c>
      <c r="S405">
        <v>0.1343</v>
      </c>
      <c r="T405">
        <v>1</v>
      </c>
      <c r="U405">
        <v>98</v>
      </c>
      <c r="V405">
        <v>99</v>
      </c>
    </row>
    <row r="406" spans="1:22" x14ac:dyDescent="0.3">
      <c r="A406">
        <v>405</v>
      </c>
      <c r="B406" s="1">
        <v>40561</v>
      </c>
      <c r="C406">
        <v>1</v>
      </c>
      <c r="D406">
        <v>0</v>
      </c>
      <c r="E406" t="str">
        <f>TEXT(Append1[[#This Row],[dteday]],"MMMM")</f>
        <v>January</v>
      </c>
      <c r="F406">
        <v>1</v>
      </c>
      <c r="G406">
        <v>20</v>
      </c>
      <c r="H406" t="b">
        <v>0</v>
      </c>
      <c r="I406" t="str">
        <f>TEXT(Append1[[#This Row],[dteday]],"DDDD")</f>
        <v>Tuesday</v>
      </c>
      <c r="J406" t="str" cm="1">
        <f t="array" ref="J406">_xlfn.IFS(Append1[[#This Row],[weekday cnt]]=0,"Weekend",Append1[[#This Row],[weekday cnt]]=6,"Weekend",Append1[[#This Row],[weekday cnt]]&gt;0,"Weekday")</f>
        <v>Weekday</v>
      </c>
      <c r="K406">
        <v>2</v>
      </c>
      <c r="L406" t="str" cm="1">
        <f t="array" ref="L40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6">
        <v>2</v>
      </c>
      <c r="N406">
        <v>0.22</v>
      </c>
      <c r="O406">
        <v>404</v>
      </c>
      <c r="P406">
        <v>405</v>
      </c>
      <c r="Q406">
        <v>0.2727</v>
      </c>
      <c r="R406">
        <v>0.87</v>
      </c>
      <c r="S406">
        <v>0</v>
      </c>
      <c r="T406">
        <v>0</v>
      </c>
      <c r="U406">
        <v>83</v>
      </c>
      <c r="V406">
        <v>83</v>
      </c>
    </row>
    <row r="407" spans="1:22" x14ac:dyDescent="0.3">
      <c r="A407">
        <v>406</v>
      </c>
      <c r="B407" s="1">
        <v>40561</v>
      </c>
      <c r="C407">
        <v>1</v>
      </c>
      <c r="D407">
        <v>0</v>
      </c>
      <c r="E407" t="str">
        <f>TEXT(Append1[[#This Row],[dteday]],"MMMM")</f>
        <v>January</v>
      </c>
      <c r="F407">
        <v>1</v>
      </c>
      <c r="G407">
        <v>21</v>
      </c>
      <c r="H407" t="b">
        <v>0</v>
      </c>
      <c r="I407" t="str">
        <f>TEXT(Append1[[#This Row],[dteday]],"DDDD")</f>
        <v>Tuesday</v>
      </c>
      <c r="J407" t="str" cm="1">
        <f t="array" ref="J407">_xlfn.IFS(Append1[[#This Row],[weekday cnt]]=0,"Weekend",Append1[[#This Row],[weekday cnt]]=6,"Weekend",Append1[[#This Row],[weekday cnt]]&gt;0,"Weekday")</f>
        <v>Weekday</v>
      </c>
      <c r="K407">
        <v>2</v>
      </c>
      <c r="L407" t="str" cm="1">
        <f t="array" ref="L40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7">
        <v>2</v>
      </c>
      <c r="N407">
        <v>0.22</v>
      </c>
      <c r="O407">
        <v>405</v>
      </c>
      <c r="P407">
        <v>406</v>
      </c>
      <c r="Q407">
        <v>0.2424</v>
      </c>
      <c r="R407">
        <v>0.93</v>
      </c>
      <c r="S407">
        <v>0.1045</v>
      </c>
      <c r="T407">
        <v>0</v>
      </c>
      <c r="U407">
        <v>41</v>
      </c>
      <c r="V407">
        <v>41</v>
      </c>
    </row>
    <row r="408" spans="1:22" x14ac:dyDescent="0.3">
      <c r="A408">
        <v>407</v>
      </c>
      <c r="B408" s="1">
        <v>40561</v>
      </c>
      <c r="C408">
        <v>1</v>
      </c>
      <c r="D408">
        <v>0</v>
      </c>
      <c r="E408" t="str">
        <f>TEXT(Append1[[#This Row],[dteday]],"MMMM")</f>
        <v>January</v>
      </c>
      <c r="F408">
        <v>1</v>
      </c>
      <c r="G408">
        <v>22</v>
      </c>
      <c r="H408" t="b">
        <v>0</v>
      </c>
      <c r="I408" t="str">
        <f>TEXT(Append1[[#This Row],[dteday]],"DDDD")</f>
        <v>Tuesday</v>
      </c>
      <c r="J408" t="str" cm="1">
        <f t="array" ref="J408">_xlfn.IFS(Append1[[#This Row],[weekday cnt]]=0,"Weekend",Append1[[#This Row],[weekday cnt]]=6,"Weekend",Append1[[#This Row],[weekday cnt]]&gt;0,"Weekday")</f>
        <v>Weekday</v>
      </c>
      <c r="K408">
        <v>2</v>
      </c>
      <c r="L408" t="str" cm="1">
        <f t="array" ref="L40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8">
        <v>2</v>
      </c>
      <c r="N408">
        <v>0.22</v>
      </c>
      <c r="O408">
        <v>406</v>
      </c>
      <c r="P408">
        <v>407</v>
      </c>
      <c r="Q408">
        <v>0.2576</v>
      </c>
      <c r="R408">
        <v>0.93</v>
      </c>
      <c r="S408">
        <v>8.9599999999999999E-2</v>
      </c>
      <c r="T408">
        <v>0</v>
      </c>
      <c r="U408">
        <v>33</v>
      </c>
      <c r="V408">
        <v>33</v>
      </c>
    </row>
    <row r="409" spans="1:22" x14ac:dyDescent="0.3">
      <c r="A409">
        <v>408</v>
      </c>
      <c r="B409" s="1">
        <v>40561</v>
      </c>
      <c r="C409">
        <v>1</v>
      </c>
      <c r="D409">
        <v>0</v>
      </c>
      <c r="E409" t="str">
        <f>TEXT(Append1[[#This Row],[dteday]],"MMMM")</f>
        <v>January</v>
      </c>
      <c r="F409">
        <v>1</v>
      </c>
      <c r="G409">
        <v>23</v>
      </c>
      <c r="H409" t="b">
        <v>0</v>
      </c>
      <c r="I409" t="str">
        <f>TEXT(Append1[[#This Row],[dteday]],"DDDD")</f>
        <v>Tuesday</v>
      </c>
      <c r="J409" t="str" cm="1">
        <f t="array" ref="J409">_xlfn.IFS(Append1[[#This Row],[weekday cnt]]=0,"Weekend",Append1[[#This Row],[weekday cnt]]=6,"Weekend",Append1[[#This Row],[weekday cnt]]&gt;0,"Weekday")</f>
        <v>Weekday</v>
      </c>
      <c r="K409">
        <v>2</v>
      </c>
      <c r="L409" t="str" cm="1">
        <f t="array" ref="L40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09">
        <v>2</v>
      </c>
      <c r="N409">
        <v>0.22</v>
      </c>
      <c r="O409">
        <v>407</v>
      </c>
      <c r="P409">
        <v>408</v>
      </c>
      <c r="Q409">
        <v>0.2727</v>
      </c>
      <c r="R409">
        <v>0.93</v>
      </c>
      <c r="S409">
        <v>0</v>
      </c>
      <c r="T409">
        <v>1</v>
      </c>
      <c r="U409">
        <v>19</v>
      </c>
      <c r="V409">
        <v>20</v>
      </c>
    </row>
    <row r="410" spans="1:22" x14ac:dyDescent="0.3">
      <c r="A410">
        <v>409</v>
      </c>
      <c r="B410" s="1">
        <v>40562</v>
      </c>
      <c r="C410">
        <v>1</v>
      </c>
      <c r="D410">
        <v>0</v>
      </c>
      <c r="E410" t="str">
        <f>TEXT(Append1[[#This Row],[dteday]],"MMMM")</f>
        <v>January</v>
      </c>
      <c r="F410">
        <v>1</v>
      </c>
      <c r="G410">
        <v>0</v>
      </c>
      <c r="H410" t="b">
        <v>0</v>
      </c>
      <c r="I410" t="str">
        <f>TEXT(Append1[[#This Row],[dteday]],"DDDD")</f>
        <v>Wednesday</v>
      </c>
      <c r="J410" t="str" cm="1">
        <f t="array" ref="J410">_xlfn.IFS(Append1[[#This Row],[weekday cnt]]=0,"Weekend",Append1[[#This Row],[weekday cnt]]=6,"Weekend",Append1[[#This Row],[weekday cnt]]&gt;0,"Weekday")</f>
        <v>Weekday</v>
      </c>
      <c r="K410">
        <v>3</v>
      </c>
      <c r="L410" t="str" cm="1">
        <f t="array" ref="L4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10">
        <v>2</v>
      </c>
      <c r="N410">
        <v>0.22</v>
      </c>
      <c r="O410">
        <v>408</v>
      </c>
      <c r="P410">
        <v>409</v>
      </c>
      <c r="Q410">
        <v>0.2727</v>
      </c>
      <c r="R410">
        <v>0.93</v>
      </c>
      <c r="S410">
        <v>0</v>
      </c>
      <c r="T410">
        <v>0</v>
      </c>
      <c r="U410">
        <v>3</v>
      </c>
      <c r="V410">
        <v>3</v>
      </c>
    </row>
    <row r="411" spans="1:22" x14ac:dyDescent="0.3">
      <c r="A411">
        <v>410</v>
      </c>
      <c r="B411" s="1">
        <v>40562</v>
      </c>
      <c r="C411">
        <v>1</v>
      </c>
      <c r="D411">
        <v>0</v>
      </c>
      <c r="E411" t="str">
        <f>TEXT(Append1[[#This Row],[dteday]],"MMMM")</f>
        <v>January</v>
      </c>
      <c r="F411">
        <v>1</v>
      </c>
      <c r="G411">
        <v>1</v>
      </c>
      <c r="H411" t="b">
        <v>0</v>
      </c>
      <c r="I411" t="str">
        <f>TEXT(Append1[[#This Row],[dteday]],"DDDD")</f>
        <v>Wednesday</v>
      </c>
      <c r="J411" t="str" cm="1">
        <f t="array" ref="J411">_xlfn.IFS(Append1[[#This Row],[weekday cnt]]=0,"Weekend",Append1[[#This Row],[weekday cnt]]=6,"Weekend",Append1[[#This Row],[weekday cnt]]&gt;0,"Weekday")</f>
        <v>Weekday</v>
      </c>
      <c r="K411">
        <v>3</v>
      </c>
      <c r="L411" t="str" cm="1">
        <f t="array" ref="L4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411">
        <v>3</v>
      </c>
      <c r="N411">
        <v>0.22</v>
      </c>
      <c r="O411">
        <v>409</v>
      </c>
      <c r="P411">
        <v>410</v>
      </c>
      <c r="Q411">
        <v>0.2273</v>
      </c>
      <c r="R411">
        <v>0.93</v>
      </c>
      <c r="S411">
        <v>0.1343</v>
      </c>
      <c r="T411">
        <v>1</v>
      </c>
      <c r="U411">
        <v>6</v>
      </c>
      <c r="V411">
        <v>7</v>
      </c>
    </row>
    <row r="412" spans="1:22" x14ac:dyDescent="0.3">
      <c r="A412">
        <v>411</v>
      </c>
      <c r="B412" s="1">
        <v>40562</v>
      </c>
      <c r="C412">
        <v>1</v>
      </c>
      <c r="D412">
        <v>0</v>
      </c>
      <c r="E412" t="str">
        <f>TEXT(Append1[[#This Row],[dteday]],"MMMM")</f>
        <v>January</v>
      </c>
      <c r="F412">
        <v>1</v>
      </c>
      <c r="G412">
        <v>2</v>
      </c>
      <c r="H412" t="b">
        <v>0</v>
      </c>
      <c r="I412" t="str">
        <f>TEXT(Append1[[#This Row],[dteday]],"DDDD")</f>
        <v>Wednesday</v>
      </c>
      <c r="J412" t="str" cm="1">
        <f t="array" ref="J412">_xlfn.IFS(Append1[[#This Row],[weekday cnt]]=0,"Weekend",Append1[[#This Row],[weekday cnt]]=6,"Weekend",Append1[[#This Row],[weekday cnt]]&gt;0,"Weekday")</f>
        <v>Weekday</v>
      </c>
      <c r="K412">
        <v>3</v>
      </c>
      <c r="L412" t="str" cm="1">
        <f t="array" ref="L4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412">
        <v>3</v>
      </c>
      <c r="N412">
        <v>0.22</v>
      </c>
      <c r="O412">
        <v>410</v>
      </c>
      <c r="P412">
        <v>411</v>
      </c>
      <c r="Q412">
        <v>0.2273</v>
      </c>
      <c r="R412">
        <v>0.93</v>
      </c>
      <c r="S412">
        <v>0.1343</v>
      </c>
      <c r="T412">
        <v>0</v>
      </c>
      <c r="U412">
        <v>3</v>
      </c>
      <c r="V412">
        <v>3</v>
      </c>
    </row>
    <row r="413" spans="1:22" x14ac:dyDescent="0.3">
      <c r="A413">
        <v>412</v>
      </c>
      <c r="B413" s="1">
        <v>40562</v>
      </c>
      <c r="C413">
        <v>1</v>
      </c>
      <c r="D413">
        <v>0</v>
      </c>
      <c r="E413" t="str">
        <f>TEXT(Append1[[#This Row],[dteday]],"MMMM")</f>
        <v>January</v>
      </c>
      <c r="F413">
        <v>1</v>
      </c>
      <c r="G413">
        <v>4</v>
      </c>
      <c r="H413" t="b">
        <v>0</v>
      </c>
      <c r="I413" t="str">
        <f>TEXT(Append1[[#This Row],[dteday]],"DDDD")</f>
        <v>Wednesday</v>
      </c>
      <c r="J413" t="str" cm="1">
        <f t="array" ref="J413">_xlfn.IFS(Append1[[#This Row],[weekday cnt]]=0,"Weekend",Append1[[#This Row],[weekday cnt]]=6,"Weekend",Append1[[#This Row],[weekday cnt]]&gt;0,"Weekday")</f>
        <v>Weekday</v>
      </c>
      <c r="K413">
        <v>3</v>
      </c>
      <c r="L413" t="str" cm="1">
        <f t="array" ref="L4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413">
        <v>3</v>
      </c>
      <c r="N413">
        <v>0.22</v>
      </c>
      <c r="O413">
        <v>411</v>
      </c>
      <c r="P413">
        <v>412</v>
      </c>
      <c r="Q413">
        <v>0.2273</v>
      </c>
      <c r="R413">
        <v>0.93</v>
      </c>
      <c r="S413">
        <v>0.1343</v>
      </c>
      <c r="T413">
        <v>1</v>
      </c>
      <c r="U413">
        <v>1</v>
      </c>
      <c r="V413">
        <v>2</v>
      </c>
    </row>
    <row r="414" spans="1:22" x14ac:dyDescent="0.3">
      <c r="A414">
        <v>413</v>
      </c>
      <c r="B414" s="1">
        <v>40562</v>
      </c>
      <c r="C414">
        <v>1</v>
      </c>
      <c r="D414">
        <v>0</v>
      </c>
      <c r="E414" t="str">
        <f>TEXT(Append1[[#This Row],[dteday]],"MMMM")</f>
        <v>January</v>
      </c>
      <c r="F414">
        <v>1</v>
      </c>
      <c r="G414">
        <v>5</v>
      </c>
      <c r="H414" t="b">
        <v>0</v>
      </c>
      <c r="I414" t="str">
        <f>TEXT(Append1[[#This Row],[dteday]],"DDDD")</f>
        <v>Wednesday</v>
      </c>
      <c r="J414" t="str" cm="1">
        <f t="array" ref="J414">_xlfn.IFS(Append1[[#This Row],[weekday cnt]]=0,"Weekend",Append1[[#This Row],[weekday cnt]]=6,"Weekend",Append1[[#This Row],[weekday cnt]]&gt;0,"Weekday")</f>
        <v>Weekday</v>
      </c>
      <c r="K414">
        <v>3</v>
      </c>
      <c r="L414" t="str" cm="1">
        <f t="array" ref="L4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14">
        <v>2</v>
      </c>
      <c r="N414">
        <v>0.22</v>
      </c>
      <c r="O414">
        <v>412</v>
      </c>
      <c r="P414">
        <v>413</v>
      </c>
      <c r="Q414">
        <v>0.2576</v>
      </c>
      <c r="R414">
        <v>0.93</v>
      </c>
      <c r="S414">
        <v>8.9599999999999999E-2</v>
      </c>
      <c r="T414">
        <v>0</v>
      </c>
      <c r="U414">
        <v>7</v>
      </c>
      <c r="V414">
        <v>7</v>
      </c>
    </row>
    <row r="415" spans="1:22" x14ac:dyDescent="0.3">
      <c r="A415">
        <v>414</v>
      </c>
      <c r="B415" s="1">
        <v>40562</v>
      </c>
      <c r="C415">
        <v>1</v>
      </c>
      <c r="D415">
        <v>0</v>
      </c>
      <c r="E415" t="str">
        <f>TEXT(Append1[[#This Row],[dteday]],"MMMM")</f>
        <v>January</v>
      </c>
      <c r="F415">
        <v>1</v>
      </c>
      <c r="G415">
        <v>6</v>
      </c>
      <c r="H415" t="b">
        <v>0</v>
      </c>
      <c r="I415" t="str">
        <f>TEXT(Append1[[#This Row],[dteday]],"DDDD")</f>
        <v>Wednesday</v>
      </c>
      <c r="J415" t="str" cm="1">
        <f t="array" ref="J415">_xlfn.IFS(Append1[[#This Row],[weekday cnt]]=0,"Weekend",Append1[[#This Row],[weekday cnt]]=6,"Weekend",Append1[[#This Row],[weekday cnt]]&gt;0,"Weekday")</f>
        <v>Weekday</v>
      </c>
      <c r="K415">
        <v>3</v>
      </c>
      <c r="L415" t="str" cm="1">
        <f t="array" ref="L4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15">
        <v>2</v>
      </c>
      <c r="N415">
        <v>0.22</v>
      </c>
      <c r="O415">
        <v>413</v>
      </c>
      <c r="P415">
        <v>414</v>
      </c>
      <c r="Q415">
        <v>0.2576</v>
      </c>
      <c r="R415">
        <v>0.93</v>
      </c>
      <c r="S415">
        <v>8.9599999999999999E-2</v>
      </c>
      <c r="T415">
        <v>0</v>
      </c>
      <c r="U415">
        <v>32</v>
      </c>
      <c r="V415">
        <v>32</v>
      </c>
    </row>
    <row r="416" spans="1:22" x14ac:dyDescent="0.3">
      <c r="A416">
        <v>415</v>
      </c>
      <c r="B416" s="1">
        <v>40562</v>
      </c>
      <c r="C416">
        <v>1</v>
      </c>
      <c r="D416">
        <v>0</v>
      </c>
      <c r="E416" t="str">
        <f>TEXT(Append1[[#This Row],[dteday]],"MMMM")</f>
        <v>January</v>
      </c>
      <c r="F416">
        <v>1</v>
      </c>
      <c r="G416">
        <v>7</v>
      </c>
      <c r="H416" t="b">
        <v>0</v>
      </c>
      <c r="I416" t="str">
        <f>TEXT(Append1[[#This Row],[dteday]],"DDDD")</f>
        <v>Wednesday</v>
      </c>
      <c r="J416" t="str" cm="1">
        <f t="array" ref="J416">_xlfn.IFS(Append1[[#This Row],[weekday cnt]]=0,"Weekend",Append1[[#This Row],[weekday cnt]]=6,"Weekend",Append1[[#This Row],[weekday cnt]]&gt;0,"Weekday")</f>
        <v>Weekday</v>
      </c>
      <c r="K416">
        <v>3</v>
      </c>
      <c r="L416" t="str" cm="1">
        <f t="array" ref="L4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16">
        <v>2</v>
      </c>
      <c r="N416">
        <v>0.24</v>
      </c>
      <c r="O416">
        <v>414</v>
      </c>
      <c r="P416">
        <v>415</v>
      </c>
      <c r="Q416">
        <v>0.2576</v>
      </c>
      <c r="R416">
        <v>0.92</v>
      </c>
      <c r="S416">
        <v>0.1045</v>
      </c>
      <c r="T416">
        <v>1</v>
      </c>
      <c r="U416">
        <v>89</v>
      </c>
      <c r="V416">
        <v>90</v>
      </c>
    </row>
    <row r="417" spans="1:22" x14ac:dyDescent="0.3">
      <c r="A417">
        <v>416</v>
      </c>
      <c r="B417" s="1">
        <v>40562</v>
      </c>
      <c r="C417">
        <v>1</v>
      </c>
      <c r="D417">
        <v>0</v>
      </c>
      <c r="E417" t="str">
        <f>TEXT(Append1[[#This Row],[dteday]],"MMMM")</f>
        <v>January</v>
      </c>
      <c r="F417">
        <v>1</v>
      </c>
      <c r="G417">
        <v>8</v>
      </c>
      <c r="H417" t="b">
        <v>0</v>
      </c>
      <c r="I417" t="str">
        <f>TEXT(Append1[[#This Row],[dteday]],"DDDD")</f>
        <v>Wednesday</v>
      </c>
      <c r="J417" t="str" cm="1">
        <f t="array" ref="J417">_xlfn.IFS(Append1[[#This Row],[weekday cnt]]=0,"Weekend",Append1[[#This Row],[weekday cnt]]=6,"Weekend",Append1[[#This Row],[weekday cnt]]&gt;0,"Weekday")</f>
        <v>Weekday</v>
      </c>
      <c r="K417">
        <v>3</v>
      </c>
      <c r="L417" t="str" cm="1">
        <f t="array" ref="L4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17">
        <v>2</v>
      </c>
      <c r="N417">
        <v>0.24</v>
      </c>
      <c r="O417">
        <v>415</v>
      </c>
      <c r="P417">
        <v>416</v>
      </c>
      <c r="Q417">
        <v>0.2576</v>
      </c>
      <c r="R417">
        <v>0.93</v>
      </c>
      <c r="S417">
        <v>0.1045</v>
      </c>
      <c r="T417">
        <v>1</v>
      </c>
      <c r="U417">
        <v>196</v>
      </c>
      <c r="V417">
        <v>197</v>
      </c>
    </row>
    <row r="418" spans="1:22" x14ac:dyDescent="0.3">
      <c r="A418">
        <v>417</v>
      </c>
      <c r="B418" s="1">
        <v>40562</v>
      </c>
      <c r="C418">
        <v>1</v>
      </c>
      <c r="D418">
        <v>0</v>
      </c>
      <c r="E418" t="str">
        <f>TEXT(Append1[[#This Row],[dteday]],"MMMM")</f>
        <v>January</v>
      </c>
      <c r="F418">
        <v>1</v>
      </c>
      <c r="G418">
        <v>9</v>
      </c>
      <c r="H418" t="b">
        <v>0</v>
      </c>
      <c r="I418" t="str">
        <f>TEXT(Append1[[#This Row],[dteday]],"DDDD")</f>
        <v>Wednesday</v>
      </c>
      <c r="J418" t="str" cm="1">
        <f t="array" ref="J418">_xlfn.IFS(Append1[[#This Row],[weekday cnt]]=0,"Weekend",Append1[[#This Row],[weekday cnt]]=6,"Weekend",Append1[[#This Row],[weekday cnt]]&gt;0,"Weekday")</f>
        <v>Weekday</v>
      </c>
      <c r="K418">
        <v>3</v>
      </c>
      <c r="L418" t="str" cm="1">
        <f t="array" ref="L4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18">
        <v>2</v>
      </c>
      <c r="N418">
        <v>0.24</v>
      </c>
      <c r="O418">
        <v>416</v>
      </c>
      <c r="P418">
        <v>417</v>
      </c>
      <c r="Q418">
        <v>0.2576</v>
      </c>
      <c r="R418">
        <v>0.93</v>
      </c>
      <c r="S418">
        <v>0.1045</v>
      </c>
      <c r="T418">
        <v>2</v>
      </c>
      <c r="U418">
        <v>107</v>
      </c>
      <c r="V418">
        <v>109</v>
      </c>
    </row>
    <row r="419" spans="1:22" x14ac:dyDescent="0.3">
      <c r="A419">
        <v>418</v>
      </c>
      <c r="B419" s="1">
        <v>40562</v>
      </c>
      <c r="C419">
        <v>1</v>
      </c>
      <c r="D419">
        <v>0</v>
      </c>
      <c r="E419" t="str">
        <f>TEXT(Append1[[#This Row],[dteday]],"MMMM")</f>
        <v>January</v>
      </c>
      <c r="F419">
        <v>1</v>
      </c>
      <c r="G419">
        <v>10</v>
      </c>
      <c r="H419" t="b">
        <v>0</v>
      </c>
      <c r="I419" t="str">
        <f>TEXT(Append1[[#This Row],[dteday]],"DDDD")</f>
        <v>Wednesday</v>
      </c>
      <c r="J419" t="str" cm="1">
        <f t="array" ref="J419">_xlfn.IFS(Append1[[#This Row],[weekday cnt]]=0,"Weekend",Append1[[#This Row],[weekday cnt]]=6,"Weekend",Append1[[#This Row],[weekday cnt]]&gt;0,"Weekday")</f>
        <v>Weekday</v>
      </c>
      <c r="K419">
        <v>3</v>
      </c>
      <c r="L419" t="str" cm="1">
        <f t="array" ref="L4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19">
        <v>2</v>
      </c>
      <c r="N419">
        <v>0.26</v>
      </c>
      <c r="O419">
        <v>417</v>
      </c>
      <c r="P419">
        <v>418</v>
      </c>
      <c r="Q419">
        <v>0.2727</v>
      </c>
      <c r="R419">
        <v>0.93</v>
      </c>
      <c r="S419">
        <v>0.1343</v>
      </c>
      <c r="T419">
        <v>1</v>
      </c>
      <c r="U419">
        <v>46</v>
      </c>
      <c r="V419">
        <v>47</v>
      </c>
    </row>
    <row r="420" spans="1:22" x14ac:dyDescent="0.3">
      <c r="A420">
        <v>419</v>
      </c>
      <c r="B420" s="1">
        <v>40562</v>
      </c>
      <c r="C420">
        <v>1</v>
      </c>
      <c r="D420">
        <v>0</v>
      </c>
      <c r="E420" t="str">
        <f>TEXT(Append1[[#This Row],[dteday]],"MMMM")</f>
        <v>January</v>
      </c>
      <c r="F420">
        <v>1</v>
      </c>
      <c r="G420">
        <v>11</v>
      </c>
      <c r="H420" t="b">
        <v>0</v>
      </c>
      <c r="I420" t="str">
        <f>TEXT(Append1[[#This Row],[dteday]],"DDDD")</f>
        <v>Wednesday</v>
      </c>
      <c r="J420" t="str" cm="1">
        <f t="array" ref="J420">_xlfn.IFS(Append1[[#This Row],[weekday cnt]]=0,"Weekend",Append1[[#This Row],[weekday cnt]]=6,"Weekend",Append1[[#This Row],[weekday cnt]]&gt;0,"Weekday")</f>
        <v>Weekday</v>
      </c>
      <c r="K420">
        <v>3</v>
      </c>
      <c r="L420" t="str" cm="1">
        <f t="array" ref="L4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20">
        <v>2</v>
      </c>
      <c r="N420">
        <v>0.28000000000000003</v>
      </c>
      <c r="O420">
        <v>418</v>
      </c>
      <c r="P420">
        <v>419</v>
      </c>
      <c r="Q420">
        <v>0.30299999999999999</v>
      </c>
      <c r="R420">
        <v>0.87</v>
      </c>
      <c r="S420">
        <v>8.9599999999999999E-2</v>
      </c>
      <c r="T420">
        <v>5</v>
      </c>
      <c r="U420">
        <v>47</v>
      </c>
      <c r="V420">
        <v>52</v>
      </c>
    </row>
    <row r="421" spans="1:22" x14ac:dyDescent="0.3">
      <c r="A421">
        <v>420</v>
      </c>
      <c r="B421" s="1">
        <v>40562</v>
      </c>
      <c r="C421">
        <v>1</v>
      </c>
      <c r="D421">
        <v>0</v>
      </c>
      <c r="E421" t="str">
        <f>TEXT(Append1[[#This Row],[dteday]],"MMMM")</f>
        <v>January</v>
      </c>
      <c r="F421">
        <v>1</v>
      </c>
      <c r="G421">
        <v>12</v>
      </c>
      <c r="H421" t="b">
        <v>0</v>
      </c>
      <c r="I421" t="str">
        <f>TEXT(Append1[[#This Row],[dteday]],"DDDD")</f>
        <v>Wednesday</v>
      </c>
      <c r="J421" t="str" cm="1">
        <f t="array" ref="J421">_xlfn.IFS(Append1[[#This Row],[weekday cnt]]=0,"Weekend",Append1[[#This Row],[weekday cnt]]=6,"Weekend",Append1[[#This Row],[weekday cnt]]&gt;0,"Weekday")</f>
        <v>Weekday</v>
      </c>
      <c r="K421">
        <v>3</v>
      </c>
      <c r="L421" t="str" cm="1">
        <f t="array" ref="L4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21">
        <v>2</v>
      </c>
      <c r="N421">
        <v>0.3</v>
      </c>
      <c r="O421">
        <v>419</v>
      </c>
      <c r="P421">
        <v>420</v>
      </c>
      <c r="Q421">
        <v>0.31819999999999998</v>
      </c>
      <c r="R421">
        <v>0.81</v>
      </c>
      <c r="S421">
        <v>8.9599999999999999E-2</v>
      </c>
      <c r="T421">
        <v>5</v>
      </c>
      <c r="U421">
        <v>65</v>
      </c>
      <c r="V421">
        <v>70</v>
      </c>
    </row>
    <row r="422" spans="1:22" x14ac:dyDescent="0.3">
      <c r="A422">
        <v>421</v>
      </c>
      <c r="B422" s="1">
        <v>40562</v>
      </c>
      <c r="C422">
        <v>1</v>
      </c>
      <c r="D422">
        <v>0</v>
      </c>
      <c r="E422" t="str">
        <f>TEXT(Append1[[#This Row],[dteday]],"MMMM")</f>
        <v>January</v>
      </c>
      <c r="F422">
        <v>1</v>
      </c>
      <c r="G422">
        <v>13</v>
      </c>
      <c r="H422" t="b">
        <v>0</v>
      </c>
      <c r="I422" t="str">
        <f>TEXT(Append1[[#This Row],[dteday]],"DDDD")</f>
        <v>Wednesday</v>
      </c>
      <c r="J422" t="str" cm="1">
        <f t="array" ref="J422">_xlfn.IFS(Append1[[#This Row],[weekday cnt]]=0,"Weekend",Append1[[#This Row],[weekday cnt]]=6,"Weekend",Append1[[#This Row],[weekday cnt]]&gt;0,"Weekday")</f>
        <v>Weekday</v>
      </c>
      <c r="K422">
        <v>3</v>
      </c>
      <c r="L422" t="str" cm="1">
        <f t="array" ref="L4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22">
        <v>1</v>
      </c>
      <c r="N422">
        <v>0.4</v>
      </c>
      <c r="O422">
        <v>420</v>
      </c>
      <c r="P422">
        <v>421</v>
      </c>
      <c r="Q422">
        <v>0.40910000000000002</v>
      </c>
      <c r="R422">
        <v>0.62</v>
      </c>
      <c r="S422">
        <v>0.28360000000000002</v>
      </c>
      <c r="T422">
        <v>11</v>
      </c>
      <c r="U422">
        <v>67</v>
      </c>
      <c r="V422">
        <v>78</v>
      </c>
    </row>
    <row r="423" spans="1:22" x14ac:dyDescent="0.3">
      <c r="A423">
        <v>422</v>
      </c>
      <c r="B423" s="1">
        <v>40562</v>
      </c>
      <c r="C423">
        <v>1</v>
      </c>
      <c r="D423">
        <v>0</v>
      </c>
      <c r="E423" t="str">
        <f>TEXT(Append1[[#This Row],[dteday]],"MMMM")</f>
        <v>January</v>
      </c>
      <c r="F423">
        <v>1</v>
      </c>
      <c r="G423">
        <v>14</v>
      </c>
      <c r="H423" t="b">
        <v>0</v>
      </c>
      <c r="I423" t="str">
        <f>TEXT(Append1[[#This Row],[dteday]],"DDDD")</f>
        <v>Wednesday</v>
      </c>
      <c r="J423" t="str" cm="1">
        <f t="array" ref="J423">_xlfn.IFS(Append1[[#This Row],[weekday cnt]]=0,"Weekend",Append1[[#This Row],[weekday cnt]]=6,"Weekend",Append1[[#This Row],[weekday cnt]]&gt;0,"Weekday")</f>
        <v>Weekday</v>
      </c>
      <c r="K423">
        <v>3</v>
      </c>
      <c r="L423" t="str" cm="1">
        <f t="array" ref="L4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23">
        <v>1</v>
      </c>
      <c r="N423">
        <v>0.4</v>
      </c>
      <c r="O423">
        <v>421</v>
      </c>
      <c r="P423">
        <v>422</v>
      </c>
      <c r="Q423">
        <v>0.40910000000000002</v>
      </c>
      <c r="R423">
        <v>0.57999999999999996</v>
      </c>
      <c r="S423">
        <v>0.25369999999999998</v>
      </c>
      <c r="T423">
        <v>7</v>
      </c>
      <c r="U423">
        <v>68</v>
      </c>
      <c r="V423">
        <v>75</v>
      </c>
    </row>
    <row r="424" spans="1:22" x14ac:dyDescent="0.3">
      <c r="A424">
        <v>423</v>
      </c>
      <c r="B424" s="1">
        <v>40562</v>
      </c>
      <c r="C424">
        <v>1</v>
      </c>
      <c r="D424">
        <v>0</v>
      </c>
      <c r="E424" t="str">
        <f>TEXT(Append1[[#This Row],[dteday]],"MMMM")</f>
        <v>January</v>
      </c>
      <c r="F424">
        <v>1</v>
      </c>
      <c r="G424">
        <v>15</v>
      </c>
      <c r="H424" t="b">
        <v>0</v>
      </c>
      <c r="I424" t="str">
        <f>TEXT(Append1[[#This Row],[dteday]],"DDDD")</f>
        <v>Wednesday</v>
      </c>
      <c r="J424" t="str" cm="1">
        <f t="array" ref="J424">_xlfn.IFS(Append1[[#This Row],[weekday cnt]]=0,"Weekend",Append1[[#This Row],[weekday cnt]]=6,"Weekend",Append1[[#This Row],[weekday cnt]]&gt;0,"Weekday")</f>
        <v>Weekday</v>
      </c>
      <c r="K424">
        <v>3</v>
      </c>
      <c r="L424" t="str" cm="1">
        <f t="array" ref="L4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24">
        <v>1</v>
      </c>
      <c r="N424">
        <v>0.4</v>
      </c>
      <c r="O424">
        <v>422</v>
      </c>
      <c r="P424">
        <v>423</v>
      </c>
      <c r="Q424">
        <v>0.40910000000000002</v>
      </c>
      <c r="R424">
        <v>0.54</v>
      </c>
      <c r="S424">
        <v>0.28360000000000002</v>
      </c>
      <c r="T424">
        <v>4</v>
      </c>
      <c r="U424">
        <v>78</v>
      </c>
      <c r="V424">
        <v>82</v>
      </c>
    </row>
    <row r="425" spans="1:22" x14ac:dyDescent="0.3">
      <c r="A425">
        <v>424</v>
      </c>
      <c r="B425" s="1">
        <v>40562</v>
      </c>
      <c r="C425">
        <v>1</v>
      </c>
      <c r="D425">
        <v>0</v>
      </c>
      <c r="E425" t="str">
        <f>TEXT(Append1[[#This Row],[dteday]],"MMMM")</f>
        <v>January</v>
      </c>
      <c r="F425">
        <v>1</v>
      </c>
      <c r="G425">
        <v>16</v>
      </c>
      <c r="H425" t="b">
        <v>0</v>
      </c>
      <c r="I425" t="str">
        <f>TEXT(Append1[[#This Row],[dteday]],"DDDD")</f>
        <v>Wednesday</v>
      </c>
      <c r="J425" t="str" cm="1">
        <f t="array" ref="J425">_xlfn.IFS(Append1[[#This Row],[weekday cnt]]=0,"Weekend",Append1[[#This Row],[weekday cnt]]=6,"Weekend",Append1[[#This Row],[weekday cnt]]&gt;0,"Weekday")</f>
        <v>Weekday</v>
      </c>
      <c r="K425">
        <v>3</v>
      </c>
      <c r="L425" t="str" cm="1">
        <f t="array" ref="L4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25">
        <v>1</v>
      </c>
      <c r="N425">
        <v>0.38</v>
      </c>
      <c r="O425">
        <v>423</v>
      </c>
      <c r="P425">
        <v>424</v>
      </c>
      <c r="Q425">
        <v>0.39389999999999997</v>
      </c>
      <c r="R425">
        <v>0.57999999999999996</v>
      </c>
      <c r="S425">
        <v>0.3881</v>
      </c>
      <c r="T425">
        <v>10</v>
      </c>
      <c r="U425">
        <v>94</v>
      </c>
      <c r="V425">
        <v>104</v>
      </c>
    </row>
    <row r="426" spans="1:22" x14ac:dyDescent="0.3">
      <c r="A426">
        <v>425</v>
      </c>
      <c r="B426" s="1">
        <v>40562</v>
      </c>
      <c r="C426">
        <v>1</v>
      </c>
      <c r="D426">
        <v>0</v>
      </c>
      <c r="E426" t="str">
        <f>TEXT(Append1[[#This Row],[dteday]],"MMMM")</f>
        <v>January</v>
      </c>
      <c r="F426">
        <v>1</v>
      </c>
      <c r="G426">
        <v>17</v>
      </c>
      <c r="H426" t="b">
        <v>0</v>
      </c>
      <c r="I426" t="str">
        <f>TEXT(Append1[[#This Row],[dteday]],"DDDD")</f>
        <v>Wednesday</v>
      </c>
      <c r="J426" t="str" cm="1">
        <f t="array" ref="J426">_xlfn.IFS(Append1[[#This Row],[weekday cnt]]=0,"Weekend",Append1[[#This Row],[weekday cnt]]=6,"Weekend",Append1[[#This Row],[weekday cnt]]&gt;0,"Weekday")</f>
        <v>Weekday</v>
      </c>
      <c r="K426">
        <v>3</v>
      </c>
      <c r="L426" t="str" cm="1">
        <f t="array" ref="L4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26">
        <v>1</v>
      </c>
      <c r="N426">
        <v>0.36</v>
      </c>
      <c r="O426">
        <v>424</v>
      </c>
      <c r="P426">
        <v>425</v>
      </c>
      <c r="Q426">
        <v>0.33329999999999999</v>
      </c>
      <c r="R426">
        <v>0.56999999999999995</v>
      </c>
      <c r="S426">
        <v>0.32840000000000003</v>
      </c>
      <c r="T426">
        <v>7</v>
      </c>
      <c r="U426">
        <v>190</v>
      </c>
      <c r="V426">
        <v>197</v>
      </c>
    </row>
    <row r="427" spans="1:22" x14ac:dyDescent="0.3">
      <c r="A427">
        <v>426</v>
      </c>
      <c r="B427" s="1">
        <v>40562</v>
      </c>
      <c r="C427">
        <v>1</v>
      </c>
      <c r="D427">
        <v>0</v>
      </c>
      <c r="E427" t="str">
        <f>TEXT(Append1[[#This Row],[dteday]],"MMMM")</f>
        <v>January</v>
      </c>
      <c r="F427">
        <v>1</v>
      </c>
      <c r="G427">
        <v>18</v>
      </c>
      <c r="H427" t="b">
        <v>0</v>
      </c>
      <c r="I427" t="str">
        <f>TEXT(Append1[[#This Row],[dteday]],"DDDD")</f>
        <v>Wednesday</v>
      </c>
      <c r="J427" t="str" cm="1">
        <f t="array" ref="J427">_xlfn.IFS(Append1[[#This Row],[weekday cnt]]=0,"Weekend",Append1[[#This Row],[weekday cnt]]=6,"Weekend",Append1[[#This Row],[weekday cnt]]&gt;0,"Weekday")</f>
        <v>Weekday</v>
      </c>
      <c r="K427">
        <v>3</v>
      </c>
      <c r="L427" t="str" cm="1">
        <f t="array" ref="L4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27">
        <v>1</v>
      </c>
      <c r="N427">
        <v>0.34</v>
      </c>
      <c r="O427">
        <v>425</v>
      </c>
      <c r="P427">
        <v>426</v>
      </c>
      <c r="Q427">
        <v>0.31819999999999998</v>
      </c>
      <c r="R427">
        <v>0.61</v>
      </c>
      <c r="S427">
        <v>0.28360000000000002</v>
      </c>
      <c r="T427">
        <v>5</v>
      </c>
      <c r="U427">
        <v>156</v>
      </c>
      <c r="V427">
        <v>161</v>
      </c>
    </row>
    <row r="428" spans="1:22" x14ac:dyDescent="0.3">
      <c r="A428">
        <v>427</v>
      </c>
      <c r="B428" s="1">
        <v>40562</v>
      </c>
      <c r="C428">
        <v>1</v>
      </c>
      <c r="D428">
        <v>0</v>
      </c>
      <c r="E428" t="str">
        <f>TEXT(Append1[[#This Row],[dteday]],"MMMM")</f>
        <v>January</v>
      </c>
      <c r="F428">
        <v>1</v>
      </c>
      <c r="G428">
        <v>19</v>
      </c>
      <c r="H428" t="b">
        <v>0</v>
      </c>
      <c r="I428" t="str">
        <f>TEXT(Append1[[#This Row],[dteday]],"DDDD")</f>
        <v>Wednesday</v>
      </c>
      <c r="J428" t="str" cm="1">
        <f t="array" ref="J428">_xlfn.IFS(Append1[[#This Row],[weekday cnt]]=0,"Weekend",Append1[[#This Row],[weekday cnt]]=6,"Weekend",Append1[[#This Row],[weekday cnt]]&gt;0,"Weekday")</f>
        <v>Weekday</v>
      </c>
      <c r="K428">
        <v>3</v>
      </c>
      <c r="L428" t="str" cm="1">
        <f t="array" ref="L4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28">
        <v>1</v>
      </c>
      <c r="N428">
        <v>0.32</v>
      </c>
      <c r="O428">
        <v>426</v>
      </c>
      <c r="P428">
        <v>427</v>
      </c>
      <c r="Q428">
        <v>0.28789999999999999</v>
      </c>
      <c r="R428">
        <v>0.56999999999999995</v>
      </c>
      <c r="S428">
        <v>0.41789999999999999</v>
      </c>
      <c r="T428">
        <v>4</v>
      </c>
      <c r="U428">
        <v>108</v>
      </c>
      <c r="V428">
        <v>112</v>
      </c>
    </row>
    <row r="429" spans="1:22" x14ac:dyDescent="0.3">
      <c r="A429">
        <v>428</v>
      </c>
      <c r="B429" s="1">
        <v>40562</v>
      </c>
      <c r="C429">
        <v>1</v>
      </c>
      <c r="D429">
        <v>0</v>
      </c>
      <c r="E429" t="str">
        <f>TEXT(Append1[[#This Row],[dteday]],"MMMM")</f>
        <v>January</v>
      </c>
      <c r="F429">
        <v>1</v>
      </c>
      <c r="G429">
        <v>20</v>
      </c>
      <c r="H429" t="b">
        <v>0</v>
      </c>
      <c r="I429" t="str">
        <f>TEXT(Append1[[#This Row],[dteday]],"DDDD")</f>
        <v>Wednesday</v>
      </c>
      <c r="J429" t="str" cm="1">
        <f t="array" ref="J429">_xlfn.IFS(Append1[[#This Row],[weekday cnt]]=0,"Weekend",Append1[[#This Row],[weekday cnt]]=6,"Weekend",Append1[[#This Row],[weekday cnt]]&gt;0,"Weekday")</f>
        <v>Weekday</v>
      </c>
      <c r="K429">
        <v>3</v>
      </c>
      <c r="L429" t="str" cm="1">
        <f t="array" ref="L4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29">
        <v>1</v>
      </c>
      <c r="N429">
        <v>0.32</v>
      </c>
      <c r="O429">
        <v>427</v>
      </c>
      <c r="P429">
        <v>428</v>
      </c>
      <c r="Q429">
        <v>0.30299999999999999</v>
      </c>
      <c r="R429">
        <v>0.49</v>
      </c>
      <c r="S429">
        <v>0.29849999999999999</v>
      </c>
      <c r="T429">
        <v>2</v>
      </c>
      <c r="U429">
        <v>74</v>
      </c>
      <c r="V429">
        <v>76</v>
      </c>
    </row>
    <row r="430" spans="1:22" x14ac:dyDescent="0.3">
      <c r="A430">
        <v>429</v>
      </c>
      <c r="B430" s="1">
        <v>40562</v>
      </c>
      <c r="C430">
        <v>1</v>
      </c>
      <c r="D430">
        <v>0</v>
      </c>
      <c r="E430" t="str">
        <f>TEXT(Append1[[#This Row],[dteday]],"MMMM")</f>
        <v>January</v>
      </c>
      <c r="F430">
        <v>1</v>
      </c>
      <c r="G430">
        <v>21</v>
      </c>
      <c r="H430" t="b">
        <v>0</v>
      </c>
      <c r="I430" t="str">
        <f>TEXT(Append1[[#This Row],[dteday]],"DDDD")</f>
        <v>Wednesday</v>
      </c>
      <c r="J430" t="str" cm="1">
        <f t="array" ref="J430">_xlfn.IFS(Append1[[#This Row],[weekday cnt]]=0,"Weekend",Append1[[#This Row],[weekday cnt]]=6,"Weekend",Append1[[#This Row],[weekday cnt]]&gt;0,"Weekday")</f>
        <v>Weekday</v>
      </c>
      <c r="K430">
        <v>3</v>
      </c>
      <c r="L430" t="str" cm="1">
        <f t="array" ref="L4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0">
        <v>1</v>
      </c>
      <c r="N430">
        <v>0.32</v>
      </c>
      <c r="O430">
        <v>428</v>
      </c>
      <c r="P430">
        <v>429</v>
      </c>
      <c r="Q430">
        <v>0.28789999999999999</v>
      </c>
      <c r="R430">
        <v>0.49</v>
      </c>
      <c r="S430">
        <v>0.41789999999999999</v>
      </c>
      <c r="T430">
        <v>4</v>
      </c>
      <c r="U430">
        <v>55</v>
      </c>
      <c r="V430">
        <v>59</v>
      </c>
    </row>
    <row r="431" spans="1:22" x14ac:dyDescent="0.3">
      <c r="A431">
        <v>430</v>
      </c>
      <c r="B431" s="1">
        <v>40562</v>
      </c>
      <c r="C431">
        <v>1</v>
      </c>
      <c r="D431">
        <v>0</v>
      </c>
      <c r="E431" t="str">
        <f>TEXT(Append1[[#This Row],[dteday]],"MMMM")</f>
        <v>January</v>
      </c>
      <c r="F431">
        <v>1</v>
      </c>
      <c r="G431">
        <v>22</v>
      </c>
      <c r="H431" t="b">
        <v>0</v>
      </c>
      <c r="I431" t="str">
        <f>TEXT(Append1[[#This Row],[dteday]],"DDDD")</f>
        <v>Wednesday</v>
      </c>
      <c r="J431" t="str" cm="1">
        <f t="array" ref="J431">_xlfn.IFS(Append1[[#This Row],[weekday cnt]]=0,"Weekend",Append1[[#This Row],[weekday cnt]]=6,"Weekend",Append1[[#This Row],[weekday cnt]]&gt;0,"Weekday")</f>
        <v>Weekday</v>
      </c>
      <c r="K431">
        <v>3</v>
      </c>
      <c r="L431" t="str" cm="1">
        <f t="array" ref="L4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1">
        <v>1</v>
      </c>
      <c r="N431">
        <v>0.3</v>
      </c>
      <c r="O431">
        <v>429</v>
      </c>
      <c r="P431">
        <v>430</v>
      </c>
      <c r="Q431">
        <v>0.30299999999999999</v>
      </c>
      <c r="R431">
        <v>0.52</v>
      </c>
      <c r="S431">
        <v>0.16420000000000001</v>
      </c>
      <c r="T431">
        <v>6</v>
      </c>
      <c r="U431">
        <v>53</v>
      </c>
      <c r="V431">
        <v>59</v>
      </c>
    </row>
    <row r="432" spans="1:22" x14ac:dyDescent="0.3">
      <c r="A432">
        <v>431</v>
      </c>
      <c r="B432" s="1">
        <v>40562</v>
      </c>
      <c r="C432">
        <v>1</v>
      </c>
      <c r="D432">
        <v>0</v>
      </c>
      <c r="E432" t="str">
        <f>TEXT(Append1[[#This Row],[dteday]],"MMMM")</f>
        <v>January</v>
      </c>
      <c r="F432">
        <v>1</v>
      </c>
      <c r="G432">
        <v>23</v>
      </c>
      <c r="H432" t="b">
        <v>0</v>
      </c>
      <c r="I432" t="str">
        <f>TEXT(Append1[[#This Row],[dteday]],"DDDD")</f>
        <v>Wednesday</v>
      </c>
      <c r="J432" t="str" cm="1">
        <f t="array" ref="J432">_xlfn.IFS(Append1[[#This Row],[weekday cnt]]=0,"Weekend",Append1[[#This Row],[weekday cnt]]=6,"Weekend",Append1[[#This Row],[weekday cnt]]&gt;0,"Weekday")</f>
        <v>Weekday</v>
      </c>
      <c r="K432">
        <v>3</v>
      </c>
      <c r="L432" t="str" cm="1">
        <f t="array" ref="L4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2">
        <v>1</v>
      </c>
      <c r="N432">
        <v>0.3</v>
      </c>
      <c r="O432">
        <v>430</v>
      </c>
      <c r="P432">
        <v>431</v>
      </c>
      <c r="Q432">
        <v>0.2727</v>
      </c>
      <c r="R432">
        <v>0.52</v>
      </c>
      <c r="S432">
        <v>0.4627</v>
      </c>
      <c r="T432">
        <v>1</v>
      </c>
      <c r="U432">
        <v>27</v>
      </c>
      <c r="V432">
        <v>28</v>
      </c>
    </row>
    <row r="433" spans="1:22" x14ac:dyDescent="0.3">
      <c r="A433">
        <v>432</v>
      </c>
      <c r="B433" s="1">
        <v>40563</v>
      </c>
      <c r="C433">
        <v>1</v>
      </c>
      <c r="D433">
        <v>0</v>
      </c>
      <c r="E433" t="str">
        <f>TEXT(Append1[[#This Row],[dteday]],"MMMM")</f>
        <v>January</v>
      </c>
      <c r="F433">
        <v>1</v>
      </c>
      <c r="G433">
        <v>0</v>
      </c>
      <c r="H433" t="b">
        <v>0</v>
      </c>
      <c r="I433" t="str">
        <f>TEXT(Append1[[#This Row],[dteday]],"DDDD")</f>
        <v>Thursday</v>
      </c>
      <c r="J433" t="str" cm="1">
        <f t="array" ref="J433">_xlfn.IFS(Append1[[#This Row],[weekday cnt]]=0,"Weekend",Append1[[#This Row],[weekday cnt]]=6,"Weekend",Append1[[#This Row],[weekday cnt]]&gt;0,"Weekday")</f>
        <v>Weekday</v>
      </c>
      <c r="K433">
        <v>4</v>
      </c>
      <c r="L433" t="str" cm="1">
        <f t="array" ref="L4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3">
        <v>1</v>
      </c>
      <c r="N433">
        <v>0.26</v>
      </c>
      <c r="O433">
        <v>431</v>
      </c>
      <c r="P433">
        <v>432</v>
      </c>
      <c r="Q433">
        <v>0.2273</v>
      </c>
      <c r="R433">
        <v>0.56000000000000005</v>
      </c>
      <c r="S433">
        <v>0.3881</v>
      </c>
      <c r="T433">
        <v>5</v>
      </c>
      <c r="U433">
        <v>8</v>
      </c>
      <c r="V433">
        <v>13</v>
      </c>
    </row>
    <row r="434" spans="1:22" x14ac:dyDescent="0.3">
      <c r="A434">
        <v>433</v>
      </c>
      <c r="B434" s="1">
        <v>40563</v>
      </c>
      <c r="C434">
        <v>1</v>
      </c>
      <c r="D434">
        <v>0</v>
      </c>
      <c r="E434" t="str">
        <f>TEXT(Append1[[#This Row],[dteday]],"MMMM")</f>
        <v>January</v>
      </c>
      <c r="F434">
        <v>1</v>
      </c>
      <c r="G434">
        <v>1</v>
      </c>
      <c r="H434" t="b">
        <v>0</v>
      </c>
      <c r="I434" t="str">
        <f>TEXT(Append1[[#This Row],[dteday]],"DDDD")</f>
        <v>Thursday</v>
      </c>
      <c r="J434" t="str" cm="1">
        <f t="array" ref="J434">_xlfn.IFS(Append1[[#This Row],[weekday cnt]]=0,"Weekend",Append1[[#This Row],[weekday cnt]]=6,"Weekend",Append1[[#This Row],[weekday cnt]]&gt;0,"Weekday")</f>
        <v>Weekday</v>
      </c>
      <c r="K434">
        <v>4</v>
      </c>
      <c r="L434" t="str" cm="1">
        <f t="array" ref="L4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4">
        <v>1</v>
      </c>
      <c r="N434">
        <v>0.26</v>
      </c>
      <c r="O434">
        <v>432</v>
      </c>
      <c r="P434">
        <v>433</v>
      </c>
      <c r="Q434">
        <v>0.2727</v>
      </c>
      <c r="R434">
        <v>0.56000000000000005</v>
      </c>
      <c r="S434">
        <v>0</v>
      </c>
      <c r="T434">
        <v>2</v>
      </c>
      <c r="U434">
        <v>3</v>
      </c>
      <c r="V434">
        <v>5</v>
      </c>
    </row>
    <row r="435" spans="1:22" x14ac:dyDescent="0.3">
      <c r="A435">
        <v>434</v>
      </c>
      <c r="B435" s="1">
        <v>40563</v>
      </c>
      <c r="C435">
        <v>1</v>
      </c>
      <c r="D435">
        <v>0</v>
      </c>
      <c r="E435" t="str">
        <f>TEXT(Append1[[#This Row],[dteday]],"MMMM")</f>
        <v>January</v>
      </c>
      <c r="F435">
        <v>1</v>
      </c>
      <c r="G435">
        <v>2</v>
      </c>
      <c r="H435" t="b">
        <v>0</v>
      </c>
      <c r="I435" t="str">
        <f>TEXT(Append1[[#This Row],[dteday]],"DDDD")</f>
        <v>Thursday</v>
      </c>
      <c r="J435" t="str" cm="1">
        <f t="array" ref="J435">_xlfn.IFS(Append1[[#This Row],[weekday cnt]]=0,"Weekend",Append1[[#This Row],[weekday cnt]]=6,"Weekend",Append1[[#This Row],[weekday cnt]]&gt;0,"Weekday")</f>
        <v>Weekday</v>
      </c>
      <c r="K435">
        <v>4</v>
      </c>
      <c r="L435" t="str" cm="1">
        <f t="array" ref="L4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5">
        <v>1</v>
      </c>
      <c r="N435">
        <v>0.26</v>
      </c>
      <c r="O435">
        <v>433</v>
      </c>
      <c r="P435">
        <v>434</v>
      </c>
      <c r="Q435">
        <v>0.2727</v>
      </c>
      <c r="R435">
        <v>0.56000000000000005</v>
      </c>
      <c r="S435">
        <v>0</v>
      </c>
      <c r="T435">
        <v>0</v>
      </c>
      <c r="U435">
        <v>2</v>
      </c>
      <c r="V435">
        <v>2</v>
      </c>
    </row>
    <row r="436" spans="1:22" x14ac:dyDescent="0.3">
      <c r="A436">
        <v>435</v>
      </c>
      <c r="B436" s="1">
        <v>40563</v>
      </c>
      <c r="C436">
        <v>1</v>
      </c>
      <c r="D436">
        <v>0</v>
      </c>
      <c r="E436" t="str">
        <f>TEXT(Append1[[#This Row],[dteday]],"MMMM")</f>
        <v>January</v>
      </c>
      <c r="F436">
        <v>1</v>
      </c>
      <c r="G436">
        <v>3</v>
      </c>
      <c r="H436" t="b">
        <v>0</v>
      </c>
      <c r="I436" t="str">
        <f>TEXT(Append1[[#This Row],[dteday]],"DDDD")</f>
        <v>Thursday</v>
      </c>
      <c r="J436" t="str" cm="1">
        <f t="array" ref="J436">_xlfn.IFS(Append1[[#This Row],[weekday cnt]]=0,"Weekend",Append1[[#This Row],[weekday cnt]]=6,"Weekend",Append1[[#This Row],[weekday cnt]]&gt;0,"Weekday")</f>
        <v>Weekday</v>
      </c>
      <c r="K436">
        <v>4</v>
      </c>
      <c r="L436" t="str" cm="1">
        <f t="array" ref="L4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6">
        <v>1</v>
      </c>
      <c r="N436">
        <v>0.26</v>
      </c>
      <c r="O436">
        <v>434</v>
      </c>
      <c r="P436">
        <v>435</v>
      </c>
      <c r="Q436">
        <v>0.2576</v>
      </c>
      <c r="R436">
        <v>0.56000000000000005</v>
      </c>
      <c r="S436">
        <v>0.16420000000000001</v>
      </c>
      <c r="T436">
        <v>0</v>
      </c>
      <c r="U436">
        <v>1</v>
      </c>
      <c r="V436">
        <v>1</v>
      </c>
    </row>
    <row r="437" spans="1:22" x14ac:dyDescent="0.3">
      <c r="A437">
        <v>436</v>
      </c>
      <c r="B437" s="1">
        <v>40563</v>
      </c>
      <c r="C437">
        <v>1</v>
      </c>
      <c r="D437">
        <v>0</v>
      </c>
      <c r="E437" t="str">
        <f>TEXT(Append1[[#This Row],[dteday]],"MMMM")</f>
        <v>January</v>
      </c>
      <c r="F437">
        <v>1</v>
      </c>
      <c r="G437">
        <v>4</v>
      </c>
      <c r="H437" t="b">
        <v>0</v>
      </c>
      <c r="I437" t="str">
        <f>TEXT(Append1[[#This Row],[dteday]],"DDDD")</f>
        <v>Thursday</v>
      </c>
      <c r="J437" t="str" cm="1">
        <f t="array" ref="J437">_xlfn.IFS(Append1[[#This Row],[weekday cnt]]=0,"Weekend",Append1[[#This Row],[weekday cnt]]=6,"Weekend",Append1[[#This Row],[weekday cnt]]&gt;0,"Weekday")</f>
        <v>Weekday</v>
      </c>
      <c r="K437">
        <v>4</v>
      </c>
      <c r="L437" t="str" cm="1">
        <f t="array" ref="L4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7">
        <v>1</v>
      </c>
      <c r="N437">
        <v>0.26</v>
      </c>
      <c r="O437">
        <v>435</v>
      </c>
      <c r="P437">
        <v>436</v>
      </c>
      <c r="Q437">
        <v>0.2576</v>
      </c>
      <c r="R437">
        <v>0.56000000000000005</v>
      </c>
      <c r="S437">
        <v>0.16420000000000001</v>
      </c>
      <c r="T437">
        <v>0</v>
      </c>
      <c r="U437">
        <v>1</v>
      </c>
      <c r="V437">
        <v>1</v>
      </c>
    </row>
    <row r="438" spans="1:22" x14ac:dyDescent="0.3">
      <c r="A438">
        <v>437</v>
      </c>
      <c r="B438" s="1">
        <v>40563</v>
      </c>
      <c r="C438">
        <v>1</v>
      </c>
      <c r="D438">
        <v>0</v>
      </c>
      <c r="E438" t="str">
        <f>TEXT(Append1[[#This Row],[dteday]],"MMMM")</f>
        <v>January</v>
      </c>
      <c r="F438">
        <v>1</v>
      </c>
      <c r="G438">
        <v>5</v>
      </c>
      <c r="H438" t="b">
        <v>0</v>
      </c>
      <c r="I438" t="str">
        <f>TEXT(Append1[[#This Row],[dteday]],"DDDD")</f>
        <v>Thursday</v>
      </c>
      <c r="J438" t="str" cm="1">
        <f t="array" ref="J438">_xlfn.IFS(Append1[[#This Row],[weekday cnt]]=0,"Weekend",Append1[[#This Row],[weekday cnt]]=6,"Weekend",Append1[[#This Row],[weekday cnt]]&gt;0,"Weekday")</f>
        <v>Weekday</v>
      </c>
      <c r="K438">
        <v>4</v>
      </c>
      <c r="L438" t="str" cm="1">
        <f t="array" ref="L4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8">
        <v>1</v>
      </c>
      <c r="N438">
        <v>0.24</v>
      </c>
      <c r="O438">
        <v>436</v>
      </c>
      <c r="P438">
        <v>437</v>
      </c>
      <c r="Q438">
        <v>0.2273</v>
      </c>
      <c r="R438">
        <v>0.6</v>
      </c>
      <c r="S438">
        <v>0.22389999999999999</v>
      </c>
      <c r="T438">
        <v>0</v>
      </c>
      <c r="U438">
        <v>6</v>
      </c>
      <c r="V438">
        <v>6</v>
      </c>
    </row>
    <row r="439" spans="1:22" x14ac:dyDescent="0.3">
      <c r="A439">
        <v>438</v>
      </c>
      <c r="B439" s="1">
        <v>40563</v>
      </c>
      <c r="C439">
        <v>1</v>
      </c>
      <c r="D439">
        <v>0</v>
      </c>
      <c r="E439" t="str">
        <f>TEXT(Append1[[#This Row],[dteday]],"MMMM")</f>
        <v>January</v>
      </c>
      <c r="F439">
        <v>1</v>
      </c>
      <c r="G439">
        <v>6</v>
      </c>
      <c r="H439" t="b">
        <v>0</v>
      </c>
      <c r="I439" t="str">
        <f>TEXT(Append1[[#This Row],[dteday]],"DDDD")</f>
        <v>Thursday</v>
      </c>
      <c r="J439" t="str" cm="1">
        <f t="array" ref="J439">_xlfn.IFS(Append1[[#This Row],[weekday cnt]]=0,"Weekend",Append1[[#This Row],[weekday cnt]]=6,"Weekend",Append1[[#This Row],[weekday cnt]]&gt;0,"Weekday")</f>
        <v>Weekday</v>
      </c>
      <c r="K439">
        <v>4</v>
      </c>
      <c r="L439" t="str" cm="1">
        <f t="array" ref="L4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39">
        <v>1</v>
      </c>
      <c r="N439">
        <v>0.22</v>
      </c>
      <c r="O439">
        <v>437</v>
      </c>
      <c r="P439">
        <v>438</v>
      </c>
      <c r="Q439">
        <v>0.21210000000000001</v>
      </c>
      <c r="R439">
        <v>0.6</v>
      </c>
      <c r="S439">
        <v>0.22389999999999999</v>
      </c>
      <c r="T439">
        <v>0</v>
      </c>
      <c r="U439">
        <v>35</v>
      </c>
      <c r="V439">
        <v>35</v>
      </c>
    </row>
    <row r="440" spans="1:22" x14ac:dyDescent="0.3">
      <c r="A440">
        <v>439</v>
      </c>
      <c r="B440" s="1">
        <v>40563</v>
      </c>
      <c r="C440">
        <v>1</v>
      </c>
      <c r="D440">
        <v>0</v>
      </c>
      <c r="E440" t="str">
        <f>TEXT(Append1[[#This Row],[dteday]],"MMMM")</f>
        <v>January</v>
      </c>
      <c r="F440">
        <v>1</v>
      </c>
      <c r="G440">
        <v>7</v>
      </c>
      <c r="H440" t="b">
        <v>0</v>
      </c>
      <c r="I440" t="str">
        <f>TEXT(Append1[[#This Row],[dteday]],"DDDD")</f>
        <v>Thursday</v>
      </c>
      <c r="J440" t="str" cm="1">
        <f t="array" ref="J440">_xlfn.IFS(Append1[[#This Row],[weekday cnt]]=0,"Weekend",Append1[[#This Row],[weekday cnt]]=6,"Weekend",Append1[[#This Row],[weekday cnt]]&gt;0,"Weekday")</f>
        <v>Weekday</v>
      </c>
      <c r="K440">
        <v>4</v>
      </c>
      <c r="L440" t="str" cm="1">
        <f t="array" ref="L4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40">
        <v>1</v>
      </c>
      <c r="N440">
        <v>0.22</v>
      </c>
      <c r="O440">
        <v>438</v>
      </c>
      <c r="P440">
        <v>439</v>
      </c>
      <c r="Q440">
        <v>0.21210000000000001</v>
      </c>
      <c r="R440">
        <v>0.55000000000000004</v>
      </c>
      <c r="S440">
        <v>0.22389999999999999</v>
      </c>
      <c r="T440">
        <v>1</v>
      </c>
      <c r="U440">
        <v>100</v>
      </c>
      <c r="V440">
        <v>101</v>
      </c>
    </row>
    <row r="441" spans="1:22" x14ac:dyDescent="0.3">
      <c r="A441">
        <v>440</v>
      </c>
      <c r="B441" s="1">
        <v>40563</v>
      </c>
      <c r="C441">
        <v>1</v>
      </c>
      <c r="D441">
        <v>0</v>
      </c>
      <c r="E441" t="str">
        <f>TEXT(Append1[[#This Row],[dteday]],"MMMM")</f>
        <v>January</v>
      </c>
      <c r="F441">
        <v>1</v>
      </c>
      <c r="G441">
        <v>8</v>
      </c>
      <c r="H441" t="b">
        <v>0</v>
      </c>
      <c r="I441" t="str">
        <f>TEXT(Append1[[#This Row],[dteday]],"DDDD")</f>
        <v>Thursday</v>
      </c>
      <c r="J441" t="str" cm="1">
        <f t="array" ref="J441">_xlfn.IFS(Append1[[#This Row],[weekday cnt]]=0,"Weekend",Append1[[#This Row],[weekday cnt]]=6,"Weekend",Append1[[#This Row],[weekday cnt]]&gt;0,"Weekday")</f>
        <v>Weekday</v>
      </c>
      <c r="K441">
        <v>4</v>
      </c>
      <c r="L441" t="str" cm="1">
        <f t="array" ref="L4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41">
        <v>1</v>
      </c>
      <c r="N441">
        <v>0.22</v>
      </c>
      <c r="O441">
        <v>439</v>
      </c>
      <c r="P441">
        <v>440</v>
      </c>
      <c r="Q441">
        <v>0.21210000000000001</v>
      </c>
      <c r="R441">
        <v>0.55000000000000004</v>
      </c>
      <c r="S441">
        <v>0.28360000000000002</v>
      </c>
      <c r="T441">
        <v>2</v>
      </c>
      <c r="U441">
        <v>247</v>
      </c>
      <c r="V441">
        <v>249</v>
      </c>
    </row>
    <row r="442" spans="1:22" x14ac:dyDescent="0.3">
      <c r="A442">
        <v>441</v>
      </c>
      <c r="B442" s="1">
        <v>40563</v>
      </c>
      <c r="C442">
        <v>1</v>
      </c>
      <c r="D442">
        <v>0</v>
      </c>
      <c r="E442" t="str">
        <f>TEXT(Append1[[#This Row],[dteday]],"MMMM")</f>
        <v>January</v>
      </c>
      <c r="F442">
        <v>1</v>
      </c>
      <c r="G442">
        <v>9</v>
      </c>
      <c r="H442" t="b">
        <v>0</v>
      </c>
      <c r="I442" t="str">
        <f>TEXT(Append1[[#This Row],[dteday]],"DDDD")</f>
        <v>Thursday</v>
      </c>
      <c r="J442" t="str" cm="1">
        <f t="array" ref="J442">_xlfn.IFS(Append1[[#This Row],[weekday cnt]]=0,"Weekend",Append1[[#This Row],[weekday cnt]]=6,"Weekend",Append1[[#This Row],[weekday cnt]]&gt;0,"Weekday")</f>
        <v>Weekday</v>
      </c>
      <c r="K442">
        <v>4</v>
      </c>
      <c r="L442" t="str" cm="1">
        <f t="array" ref="L4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42">
        <v>2</v>
      </c>
      <c r="N442">
        <v>0.24</v>
      </c>
      <c r="O442">
        <v>440</v>
      </c>
      <c r="P442">
        <v>441</v>
      </c>
      <c r="Q442">
        <v>0.2273</v>
      </c>
      <c r="R442">
        <v>0.52</v>
      </c>
      <c r="S442">
        <v>0.22389999999999999</v>
      </c>
      <c r="T442">
        <v>3</v>
      </c>
      <c r="U442">
        <v>140</v>
      </c>
      <c r="V442">
        <v>143</v>
      </c>
    </row>
    <row r="443" spans="1:22" x14ac:dyDescent="0.3">
      <c r="A443">
        <v>442</v>
      </c>
      <c r="B443" s="1">
        <v>40563</v>
      </c>
      <c r="C443">
        <v>1</v>
      </c>
      <c r="D443">
        <v>0</v>
      </c>
      <c r="E443" t="str">
        <f>TEXT(Append1[[#This Row],[dteday]],"MMMM")</f>
        <v>January</v>
      </c>
      <c r="F443">
        <v>1</v>
      </c>
      <c r="G443">
        <v>10</v>
      </c>
      <c r="H443" t="b">
        <v>0</v>
      </c>
      <c r="I443" t="str">
        <f>TEXT(Append1[[#This Row],[dteday]],"DDDD")</f>
        <v>Thursday</v>
      </c>
      <c r="J443" t="str" cm="1">
        <f t="array" ref="J443">_xlfn.IFS(Append1[[#This Row],[weekday cnt]]=0,"Weekend",Append1[[#This Row],[weekday cnt]]=6,"Weekend",Append1[[#This Row],[weekday cnt]]&gt;0,"Weekday")</f>
        <v>Weekday</v>
      </c>
      <c r="K443">
        <v>4</v>
      </c>
      <c r="L443" t="str" cm="1">
        <f t="array" ref="L4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43">
        <v>1</v>
      </c>
      <c r="N443">
        <v>0.26</v>
      </c>
      <c r="O443">
        <v>441</v>
      </c>
      <c r="P443">
        <v>442</v>
      </c>
      <c r="Q443">
        <v>0.2273</v>
      </c>
      <c r="R443">
        <v>0.48</v>
      </c>
      <c r="S443">
        <v>0.29849999999999999</v>
      </c>
      <c r="T443">
        <v>1</v>
      </c>
      <c r="U443">
        <v>56</v>
      </c>
      <c r="V443">
        <v>57</v>
      </c>
    </row>
    <row r="444" spans="1:22" x14ac:dyDescent="0.3">
      <c r="A444">
        <v>443</v>
      </c>
      <c r="B444" s="1">
        <v>40563</v>
      </c>
      <c r="C444">
        <v>1</v>
      </c>
      <c r="D444">
        <v>0</v>
      </c>
      <c r="E444" t="str">
        <f>TEXT(Append1[[#This Row],[dteday]],"MMMM")</f>
        <v>January</v>
      </c>
      <c r="F444">
        <v>1</v>
      </c>
      <c r="G444">
        <v>11</v>
      </c>
      <c r="H444" t="b">
        <v>0</v>
      </c>
      <c r="I444" t="str">
        <f>TEXT(Append1[[#This Row],[dteday]],"DDDD")</f>
        <v>Thursday</v>
      </c>
      <c r="J444" t="str" cm="1">
        <f t="array" ref="J444">_xlfn.IFS(Append1[[#This Row],[weekday cnt]]=0,"Weekend",Append1[[#This Row],[weekday cnt]]=6,"Weekend",Append1[[#This Row],[weekday cnt]]&gt;0,"Weekday")</f>
        <v>Weekday</v>
      </c>
      <c r="K444">
        <v>4</v>
      </c>
      <c r="L444" t="str" cm="1">
        <f t="array" ref="L4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44">
        <v>2</v>
      </c>
      <c r="N444">
        <v>0.28000000000000003</v>
      </c>
      <c r="O444">
        <v>442</v>
      </c>
      <c r="P444">
        <v>443</v>
      </c>
      <c r="Q444">
        <v>0.2727</v>
      </c>
      <c r="R444">
        <v>0.45</v>
      </c>
      <c r="S444">
        <v>0.16420000000000001</v>
      </c>
      <c r="T444">
        <v>5</v>
      </c>
      <c r="U444">
        <v>63</v>
      </c>
      <c r="V444">
        <v>68</v>
      </c>
    </row>
    <row r="445" spans="1:22" x14ac:dyDescent="0.3">
      <c r="A445">
        <v>444</v>
      </c>
      <c r="B445" s="1">
        <v>40563</v>
      </c>
      <c r="C445">
        <v>1</v>
      </c>
      <c r="D445">
        <v>0</v>
      </c>
      <c r="E445" t="str">
        <f>TEXT(Append1[[#This Row],[dteday]],"MMMM")</f>
        <v>January</v>
      </c>
      <c r="F445">
        <v>1</v>
      </c>
      <c r="G445">
        <v>12</v>
      </c>
      <c r="H445" t="b">
        <v>0</v>
      </c>
      <c r="I445" t="str">
        <f>TEXT(Append1[[#This Row],[dteday]],"DDDD")</f>
        <v>Thursday</v>
      </c>
      <c r="J445" t="str" cm="1">
        <f t="array" ref="J445">_xlfn.IFS(Append1[[#This Row],[weekday cnt]]=0,"Weekend",Append1[[#This Row],[weekday cnt]]=6,"Weekend",Append1[[#This Row],[weekday cnt]]&gt;0,"Weekday")</f>
        <v>Weekday</v>
      </c>
      <c r="K445">
        <v>4</v>
      </c>
      <c r="L445" t="str" cm="1">
        <f t="array" ref="L4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45">
        <v>2</v>
      </c>
      <c r="N445">
        <v>0.3</v>
      </c>
      <c r="O445">
        <v>443</v>
      </c>
      <c r="P445">
        <v>444</v>
      </c>
      <c r="Q445">
        <v>0.33329999999999999</v>
      </c>
      <c r="R445">
        <v>0.42</v>
      </c>
      <c r="S445">
        <v>0</v>
      </c>
      <c r="T445">
        <v>7</v>
      </c>
      <c r="U445">
        <v>77</v>
      </c>
      <c r="V445">
        <v>84</v>
      </c>
    </row>
    <row r="446" spans="1:22" x14ac:dyDescent="0.3">
      <c r="A446">
        <v>445</v>
      </c>
      <c r="B446" s="1">
        <v>40563</v>
      </c>
      <c r="C446">
        <v>1</v>
      </c>
      <c r="D446">
        <v>0</v>
      </c>
      <c r="E446" t="str">
        <f>TEXT(Append1[[#This Row],[dteday]],"MMMM")</f>
        <v>January</v>
      </c>
      <c r="F446">
        <v>1</v>
      </c>
      <c r="G446">
        <v>13</v>
      </c>
      <c r="H446" t="b">
        <v>0</v>
      </c>
      <c r="I446" t="str">
        <f>TEXT(Append1[[#This Row],[dteday]],"DDDD")</f>
        <v>Thursday</v>
      </c>
      <c r="J446" t="str" cm="1">
        <f t="array" ref="J446">_xlfn.IFS(Append1[[#This Row],[weekday cnt]]=0,"Weekend",Append1[[#This Row],[weekday cnt]]=6,"Weekend",Append1[[#This Row],[weekday cnt]]&gt;0,"Weekday")</f>
        <v>Weekday</v>
      </c>
      <c r="K446">
        <v>4</v>
      </c>
      <c r="L446" t="str" cm="1">
        <f t="array" ref="L4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46">
        <v>2</v>
      </c>
      <c r="N446">
        <v>0.28000000000000003</v>
      </c>
      <c r="O446">
        <v>444</v>
      </c>
      <c r="P446">
        <v>445</v>
      </c>
      <c r="Q446">
        <v>0.28789999999999999</v>
      </c>
      <c r="R446">
        <v>0.45</v>
      </c>
      <c r="S446">
        <v>0.1045</v>
      </c>
      <c r="T446">
        <v>12</v>
      </c>
      <c r="U446">
        <v>86</v>
      </c>
      <c r="V446">
        <v>98</v>
      </c>
    </row>
    <row r="447" spans="1:22" x14ac:dyDescent="0.3">
      <c r="A447">
        <v>446</v>
      </c>
      <c r="B447" s="1">
        <v>40563</v>
      </c>
      <c r="C447">
        <v>1</v>
      </c>
      <c r="D447">
        <v>0</v>
      </c>
      <c r="E447" t="str">
        <f>TEXT(Append1[[#This Row],[dteday]],"MMMM")</f>
        <v>January</v>
      </c>
      <c r="F447">
        <v>1</v>
      </c>
      <c r="G447">
        <v>14</v>
      </c>
      <c r="H447" t="b">
        <v>0</v>
      </c>
      <c r="I447" t="str">
        <f>TEXT(Append1[[#This Row],[dteday]],"DDDD")</f>
        <v>Thursday</v>
      </c>
      <c r="J447" t="str" cm="1">
        <f t="array" ref="J447">_xlfn.IFS(Append1[[#This Row],[weekday cnt]]=0,"Weekend",Append1[[#This Row],[weekday cnt]]=6,"Weekend",Append1[[#This Row],[weekday cnt]]&gt;0,"Weekday")</f>
        <v>Weekday</v>
      </c>
      <c r="K447">
        <v>4</v>
      </c>
      <c r="L447" t="str" cm="1">
        <f t="array" ref="L4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47">
        <v>2</v>
      </c>
      <c r="N447">
        <v>0.3</v>
      </c>
      <c r="O447">
        <v>445</v>
      </c>
      <c r="P447">
        <v>446</v>
      </c>
      <c r="Q447">
        <v>0.30299999999999999</v>
      </c>
      <c r="R447">
        <v>0.45</v>
      </c>
      <c r="S447">
        <v>0.1343</v>
      </c>
      <c r="T447">
        <v>6</v>
      </c>
      <c r="U447">
        <v>75</v>
      </c>
      <c r="V447">
        <v>81</v>
      </c>
    </row>
    <row r="448" spans="1:22" x14ac:dyDescent="0.3">
      <c r="A448">
        <v>447</v>
      </c>
      <c r="B448" s="1">
        <v>40563</v>
      </c>
      <c r="C448">
        <v>1</v>
      </c>
      <c r="D448">
        <v>0</v>
      </c>
      <c r="E448" t="str">
        <f>TEXT(Append1[[#This Row],[dteday]],"MMMM")</f>
        <v>January</v>
      </c>
      <c r="F448">
        <v>1</v>
      </c>
      <c r="G448">
        <v>15</v>
      </c>
      <c r="H448" t="b">
        <v>0</v>
      </c>
      <c r="I448" t="str">
        <f>TEXT(Append1[[#This Row],[dteday]],"DDDD")</f>
        <v>Thursday</v>
      </c>
      <c r="J448" t="str" cm="1">
        <f t="array" ref="J448">_xlfn.IFS(Append1[[#This Row],[weekday cnt]]=0,"Weekend",Append1[[#This Row],[weekday cnt]]=6,"Weekend",Append1[[#This Row],[weekday cnt]]&gt;0,"Weekday")</f>
        <v>Weekday</v>
      </c>
      <c r="K448">
        <v>4</v>
      </c>
      <c r="L448" t="str" cm="1">
        <f t="array" ref="L4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48">
        <v>2</v>
      </c>
      <c r="N448">
        <v>0.32</v>
      </c>
      <c r="O448">
        <v>446</v>
      </c>
      <c r="P448">
        <v>447</v>
      </c>
      <c r="Q448">
        <v>0.31819999999999998</v>
      </c>
      <c r="R448">
        <v>0.45</v>
      </c>
      <c r="S448">
        <v>0.19400000000000001</v>
      </c>
      <c r="T448">
        <v>8</v>
      </c>
      <c r="U448">
        <v>62</v>
      </c>
      <c r="V448">
        <v>70</v>
      </c>
    </row>
    <row r="449" spans="1:22" x14ac:dyDescent="0.3">
      <c r="A449">
        <v>448</v>
      </c>
      <c r="B449" s="1">
        <v>40563</v>
      </c>
      <c r="C449">
        <v>1</v>
      </c>
      <c r="D449">
        <v>0</v>
      </c>
      <c r="E449" t="str">
        <f>TEXT(Append1[[#This Row],[dteday]],"MMMM")</f>
        <v>January</v>
      </c>
      <c r="F449">
        <v>1</v>
      </c>
      <c r="G449">
        <v>16</v>
      </c>
      <c r="H449" t="b">
        <v>0</v>
      </c>
      <c r="I449" t="str">
        <f>TEXT(Append1[[#This Row],[dteday]],"DDDD")</f>
        <v>Thursday</v>
      </c>
      <c r="J449" t="str" cm="1">
        <f t="array" ref="J449">_xlfn.IFS(Append1[[#This Row],[weekday cnt]]=0,"Weekend",Append1[[#This Row],[weekday cnt]]=6,"Weekend",Append1[[#This Row],[weekday cnt]]&gt;0,"Weekday")</f>
        <v>Weekday</v>
      </c>
      <c r="K449">
        <v>4</v>
      </c>
      <c r="L449" t="str" cm="1">
        <f t="array" ref="L4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49">
        <v>2</v>
      </c>
      <c r="N449">
        <v>0.3</v>
      </c>
      <c r="O449">
        <v>447</v>
      </c>
      <c r="P449">
        <v>448</v>
      </c>
      <c r="Q449">
        <v>0.30299999999999999</v>
      </c>
      <c r="R449">
        <v>0.49</v>
      </c>
      <c r="S449">
        <v>0.1343</v>
      </c>
      <c r="T449">
        <v>8</v>
      </c>
      <c r="U449">
        <v>83</v>
      </c>
      <c r="V449">
        <v>91</v>
      </c>
    </row>
    <row r="450" spans="1:22" x14ac:dyDescent="0.3">
      <c r="A450">
        <v>449</v>
      </c>
      <c r="B450" s="1">
        <v>40563</v>
      </c>
      <c r="C450">
        <v>1</v>
      </c>
      <c r="D450">
        <v>0</v>
      </c>
      <c r="E450" t="str">
        <f>TEXT(Append1[[#This Row],[dteday]],"MMMM")</f>
        <v>January</v>
      </c>
      <c r="F450">
        <v>1</v>
      </c>
      <c r="G450">
        <v>17</v>
      </c>
      <c r="H450" t="b">
        <v>0</v>
      </c>
      <c r="I450" t="str">
        <f>TEXT(Append1[[#This Row],[dteday]],"DDDD")</f>
        <v>Thursday</v>
      </c>
      <c r="J450" t="str" cm="1">
        <f t="array" ref="J450">_xlfn.IFS(Append1[[#This Row],[weekday cnt]]=0,"Weekend",Append1[[#This Row],[weekday cnt]]=6,"Weekend",Append1[[#This Row],[weekday cnt]]&gt;0,"Weekday")</f>
        <v>Weekday</v>
      </c>
      <c r="K450">
        <v>4</v>
      </c>
      <c r="L450" t="str" cm="1">
        <f t="array" ref="L4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50">
        <v>2</v>
      </c>
      <c r="N450">
        <v>0.3</v>
      </c>
      <c r="O450">
        <v>448</v>
      </c>
      <c r="P450">
        <v>449</v>
      </c>
      <c r="Q450">
        <v>0.31819999999999998</v>
      </c>
      <c r="R450">
        <v>0.49</v>
      </c>
      <c r="S450">
        <v>0.1045</v>
      </c>
      <c r="T450">
        <v>8</v>
      </c>
      <c r="U450">
        <v>207</v>
      </c>
      <c r="V450">
        <v>215</v>
      </c>
    </row>
    <row r="451" spans="1:22" x14ac:dyDescent="0.3">
      <c r="A451">
        <v>450</v>
      </c>
      <c r="B451" s="1">
        <v>40563</v>
      </c>
      <c r="C451">
        <v>1</v>
      </c>
      <c r="D451">
        <v>0</v>
      </c>
      <c r="E451" t="str">
        <f>TEXT(Append1[[#This Row],[dteday]],"MMMM")</f>
        <v>January</v>
      </c>
      <c r="F451">
        <v>1</v>
      </c>
      <c r="G451">
        <v>18</v>
      </c>
      <c r="H451" t="b">
        <v>0</v>
      </c>
      <c r="I451" t="str">
        <f>TEXT(Append1[[#This Row],[dteday]],"DDDD")</f>
        <v>Thursday</v>
      </c>
      <c r="J451" t="str" cm="1">
        <f t="array" ref="J451">_xlfn.IFS(Append1[[#This Row],[weekday cnt]]=0,"Weekend",Append1[[#This Row],[weekday cnt]]=6,"Weekend",Append1[[#This Row],[weekday cnt]]&gt;0,"Weekday")</f>
        <v>Weekday</v>
      </c>
      <c r="K451">
        <v>4</v>
      </c>
      <c r="L451" t="str" cm="1">
        <f t="array" ref="L4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51">
        <v>2</v>
      </c>
      <c r="N451">
        <v>0.26</v>
      </c>
      <c r="O451">
        <v>449</v>
      </c>
      <c r="P451">
        <v>450</v>
      </c>
      <c r="Q451">
        <v>0.2576</v>
      </c>
      <c r="R451">
        <v>0.56000000000000005</v>
      </c>
      <c r="S451">
        <v>0.19400000000000001</v>
      </c>
      <c r="T451">
        <v>1</v>
      </c>
      <c r="U451">
        <v>184</v>
      </c>
      <c r="V451">
        <v>185</v>
      </c>
    </row>
    <row r="452" spans="1:22" x14ac:dyDescent="0.3">
      <c r="A452">
        <v>451</v>
      </c>
      <c r="B452" s="1">
        <v>40563</v>
      </c>
      <c r="C452">
        <v>1</v>
      </c>
      <c r="D452">
        <v>0</v>
      </c>
      <c r="E452" t="str">
        <f>TEXT(Append1[[#This Row],[dteday]],"MMMM")</f>
        <v>January</v>
      </c>
      <c r="F452">
        <v>1</v>
      </c>
      <c r="G452">
        <v>19</v>
      </c>
      <c r="H452" t="b">
        <v>0</v>
      </c>
      <c r="I452" t="str">
        <f>TEXT(Append1[[#This Row],[dteday]],"DDDD")</f>
        <v>Thursday</v>
      </c>
      <c r="J452" t="str" cm="1">
        <f t="array" ref="J452">_xlfn.IFS(Append1[[#This Row],[weekday cnt]]=0,"Weekend",Append1[[#This Row],[weekday cnt]]=6,"Weekend",Append1[[#This Row],[weekday cnt]]&gt;0,"Weekday")</f>
        <v>Weekday</v>
      </c>
      <c r="K452">
        <v>4</v>
      </c>
      <c r="L452" t="str" cm="1">
        <f t="array" ref="L4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52">
        <v>1</v>
      </c>
      <c r="N452">
        <v>0.26</v>
      </c>
      <c r="O452">
        <v>450</v>
      </c>
      <c r="P452">
        <v>451</v>
      </c>
      <c r="Q452">
        <v>0.2273</v>
      </c>
      <c r="R452">
        <v>0.56000000000000005</v>
      </c>
      <c r="S452">
        <v>0.32840000000000003</v>
      </c>
      <c r="T452">
        <v>6</v>
      </c>
      <c r="U452">
        <v>146</v>
      </c>
      <c r="V452">
        <v>152</v>
      </c>
    </row>
    <row r="453" spans="1:22" x14ac:dyDescent="0.3">
      <c r="A453">
        <v>452</v>
      </c>
      <c r="B453" s="1">
        <v>40563</v>
      </c>
      <c r="C453">
        <v>1</v>
      </c>
      <c r="D453">
        <v>0</v>
      </c>
      <c r="E453" t="str">
        <f>TEXT(Append1[[#This Row],[dteday]],"MMMM")</f>
        <v>January</v>
      </c>
      <c r="F453">
        <v>1</v>
      </c>
      <c r="G453">
        <v>20</v>
      </c>
      <c r="H453" t="b">
        <v>0</v>
      </c>
      <c r="I453" t="str">
        <f>TEXT(Append1[[#This Row],[dteday]],"DDDD")</f>
        <v>Thursday</v>
      </c>
      <c r="J453" t="str" cm="1">
        <f t="array" ref="J453">_xlfn.IFS(Append1[[#This Row],[weekday cnt]]=0,"Weekend",Append1[[#This Row],[weekday cnt]]=6,"Weekend",Append1[[#This Row],[weekday cnt]]&gt;0,"Weekday")</f>
        <v>Weekday</v>
      </c>
      <c r="K453">
        <v>4</v>
      </c>
      <c r="L453" t="str" cm="1">
        <f t="array" ref="L4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53">
        <v>2</v>
      </c>
      <c r="N453">
        <v>0.26</v>
      </c>
      <c r="O453">
        <v>451</v>
      </c>
      <c r="P453">
        <v>452</v>
      </c>
      <c r="Q453">
        <v>0.2424</v>
      </c>
      <c r="R453">
        <v>0.6</v>
      </c>
      <c r="S453">
        <v>0.28360000000000002</v>
      </c>
      <c r="T453">
        <v>2</v>
      </c>
      <c r="U453">
        <v>124</v>
      </c>
      <c r="V453">
        <v>126</v>
      </c>
    </row>
    <row r="454" spans="1:22" x14ac:dyDescent="0.3">
      <c r="A454">
        <v>453</v>
      </c>
      <c r="B454" s="1">
        <v>40563</v>
      </c>
      <c r="C454">
        <v>1</v>
      </c>
      <c r="D454">
        <v>0</v>
      </c>
      <c r="E454" t="str">
        <f>TEXT(Append1[[#This Row],[dteday]],"MMMM")</f>
        <v>January</v>
      </c>
      <c r="F454">
        <v>1</v>
      </c>
      <c r="G454">
        <v>21</v>
      </c>
      <c r="H454" t="b">
        <v>0</v>
      </c>
      <c r="I454" t="str">
        <f>TEXT(Append1[[#This Row],[dteday]],"DDDD")</f>
        <v>Thursday</v>
      </c>
      <c r="J454" t="str" cm="1">
        <f t="array" ref="J454">_xlfn.IFS(Append1[[#This Row],[weekday cnt]]=0,"Weekend",Append1[[#This Row],[weekday cnt]]=6,"Weekend",Append1[[#This Row],[weekday cnt]]&gt;0,"Weekday")</f>
        <v>Weekday</v>
      </c>
      <c r="K454">
        <v>4</v>
      </c>
      <c r="L454" t="str" cm="1">
        <f t="array" ref="L4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54">
        <v>2</v>
      </c>
      <c r="N454">
        <v>0.24</v>
      </c>
      <c r="O454">
        <v>452</v>
      </c>
      <c r="P454">
        <v>453</v>
      </c>
      <c r="Q454">
        <v>0.2273</v>
      </c>
      <c r="R454">
        <v>0.6</v>
      </c>
      <c r="S454">
        <v>0.25369999999999998</v>
      </c>
      <c r="T454">
        <v>3</v>
      </c>
      <c r="U454">
        <v>54</v>
      </c>
      <c r="V454">
        <v>57</v>
      </c>
    </row>
    <row r="455" spans="1:22" x14ac:dyDescent="0.3">
      <c r="A455">
        <v>454</v>
      </c>
      <c r="B455" s="1">
        <v>40563</v>
      </c>
      <c r="C455">
        <v>1</v>
      </c>
      <c r="D455">
        <v>0</v>
      </c>
      <c r="E455" t="str">
        <f>TEXT(Append1[[#This Row],[dteday]],"MMMM")</f>
        <v>January</v>
      </c>
      <c r="F455">
        <v>1</v>
      </c>
      <c r="G455">
        <v>22</v>
      </c>
      <c r="H455" t="b">
        <v>0</v>
      </c>
      <c r="I455" t="str">
        <f>TEXT(Append1[[#This Row],[dteday]],"DDDD")</f>
        <v>Thursday</v>
      </c>
      <c r="J455" t="str" cm="1">
        <f t="array" ref="J455">_xlfn.IFS(Append1[[#This Row],[weekday cnt]]=0,"Weekend",Append1[[#This Row],[weekday cnt]]=6,"Weekend",Append1[[#This Row],[weekday cnt]]&gt;0,"Weekday")</f>
        <v>Weekday</v>
      </c>
      <c r="K455">
        <v>4</v>
      </c>
      <c r="L455" t="str" cm="1">
        <f t="array" ref="L4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55">
        <v>2</v>
      </c>
      <c r="N455">
        <v>0.24</v>
      </c>
      <c r="O455">
        <v>453</v>
      </c>
      <c r="P455">
        <v>454</v>
      </c>
      <c r="Q455">
        <v>0.21210000000000001</v>
      </c>
      <c r="R455">
        <v>0.65</v>
      </c>
      <c r="S455">
        <v>0.28360000000000002</v>
      </c>
      <c r="T455">
        <v>0</v>
      </c>
      <c r="U455">
        <v>56</v>
      </c>
      <c r="V455">
        <v>56</v>
      </c>
    </row>
    <row r="456" spans="1:22" x14ac:dyDescent="0.3">
      <c r="A456">
        <v>455</v>
      </c>
      <c r="B456" s="1">
        <v>40563</v>
      </c>
      <c r="C456">
        <v>1</v>
      </c>
      <c r="D456">
        <v>0</v>
      </c>
      <c r="E456" t="str">
        <f>TEXT(Append1[[#This Row],[dteday]],"MMMM")</f>
        <v>January</v>
      </c>
      <c r="F456">
        <v>1</v>
      </c>
      <c r="G456">
        <v>23</v>
      </c>
      <c r="H456" t="b">
        <v>0</v>
      </c>
      <c r="I456" t="str">
        <f>TEXT(Append1[[#This Row],[dteday]],"DDDD")</f>
        <v>Thursday</v>
      </c>
      <c r="J456" t="str" cm="1">
        <f t="array" ref="J456">_xlfn.IFS(Append1[[#This Row],[weekday cnt]]=0,"Weekend",Append1[[#This Row],[weekday cnt]]=6,"Weekend",Append1[[#This Row],[weekday cnt]]&gt;0,"Weekday")</f>
        <v>Weekday</v>
      </c>
      <c r="K456">
        <v>4</v>
      </c>
      <c r="L456" t="str" cm="1">
        <f t="array" ref="L4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56">
        <v>2</v>
      </c>
      <c r="N456">
        <v>0.24</v>
      </c>
      <c r="O456">
        <v>454</v>
      </c>
      <c r="P456">
        <v>455</v>
      </c>
      <c r="Q456">
        <v>0.21210000000000001</v>
      </c>
      <c r="R456">
        <v>0.65</v>
      </c>
      <c r="S456">
        <v>0.32840000000000003</v>
      </c>
      <c r="T456">
        <v>3</v>
      </c>
      <c r="U456">
        <v>28</v>
      </c>
      <c r="V456">
        <v>31</v>
      </c>
    </row>
    <row r="457" spans="1:22" x14ac:dyDescent="0.3">
      <c r="A457">
        <v>456</v>
      </c>
      <c r="B457" s="1">
        <v>40564</v>
      </c>
      <c r="C457">
        <v>1</v>
      </c>
      <c r="D457">
        <v>0</v>
      </c>
      <c r="E457" t="str">
        <f>TEXT(Append1[[#This Row],[dteday]],"MMMM")</f>
        <v>January</v>
      </c>
      <c r="F457">
        <v>1</v>
      </c>
      <c r="G457">
        <v>0</v>
      </c>
      <c r="H457" t="b">
        <v>0</v>
      </c>
      <c r="I457" t="str">
        <f>TEXT(Append1[[#This Row],[dteday]],"DDDD")</f>
        <v>Friday</v>
      </c>
      <c r="J457" t="str" cm="1">
        <f t="array" ref="J457">_xlfn.IFS(Append1[[#This Row],[weekday cnt]]=0,"Weekend",Append1[[#This Row],[weekday cnt]]=6,"Weekend",Append1[[#This Row],[weekday cnt]]&gt;0,"Weekday")</f>
        <v>Weekday</v>
      </c>
      <c r="K457">
        <v>5</v>
      </c>
      <c r="L457" t="str" cm="1">
        <f t="array" ref="L4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57">
        <v>2</v>
      </c>
      <c r="N457">
        <v>0.24</v>
      </c>
      <c r="O457">
        <v>455</v>
      </c>
      <c r="P457">
        <v>456</v>
      </c>
      <c r="Q457">
        <v>0.2273</v>
      </c>
      <c r="R457">
        <v>0.7</v>
      </c>
      <c r="S457">
        <v>0.25369999999999998</v>
      </c>
      <c r="T457">
        <v>1</v>
      </c>
      <c r="U457">
        <v>20</v>
      </c>
      <c r="V457">
        <v>21</v>
      </c>
    </row>
    <row r="458" spans="1:22" x14ac:dyDescent="0.3">
      <c r="A458">
        <v>457</v>
      </c>
      <c r="B458" s="1">
        <v>40564</v>
      </c>
      <c r="C458">
        <v>1</v>
      </c>
      <c r="D458">
        <v>0</v>
      </c>
      <c r="E458" t="str">
        <f>TEXT(Append1[[#This Row],[dteday]],"MMMM")</f>
        <v>January</v>
      </c>
      <c r="F458">
        <v>1</v>
      </c>
      <c r="G458">
        <v>1</v>
      </c>
      <c r="H458" t="b">
        <v>0</v>
      </c>
      <c r="I458" t="str">
        <f>TEXT(Append1[[#This Row],[dteday]],"DDDD")</f>
        <v>Friday</v>
      </c>
      <c r="J458" t="str" cm="1">
        <f t="array" ref="J458">_xlfn.IFS(Append1[[#This Row],[weekday cnt]]=0,"Weekend",Append1[[#This Row],[weekday cnt]]=6,"Weekend",Append1[[#This Row],[weekday cnt]]&gt;0,"Weekday")</f>
        <v>Weekday</v>
      </c>
      <c r="K458">
        <v>5</v>
      </c>
      <c r="L458" t="str" cm="1">
        <f t="array" ref="L4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58">
        <v>2</v>
      </c>
      <c r="N458">
        <v>0.24</v>
      </c>
      <c r="O458">
        <v>456</v>
      </c>
      <c r="P458">
        <v>457</v>
      </c>
      <c r="Q458">
        <v>0.2273</v>
      </c>
      <c r="R458">
        <v>0.7</v>
      </c>
      <c r="S458">
        <v>0.25369999999999998</v>
      </c>
      <c r="T458">
        <v>0</v>
      </c>
      <c r="U458">
        <v>6</v>
      </c>
      <c r="V458">
        <v>6</v>
      </c>
    </row>
    <row r="459" spans="1:22" x14ac:dyDescent="0.3">
      <c r="A459">
        <v>458</v>
      </c>
      <c r="B459" s="1">
        <v>40564</v>
      </c>
      <c r="C459">
        <v>1</v>
      </c>
      <c r="D459">
        <v>0</v>
      </c>
      <c r="E459" t="str">
        <f>TEXT(Append1[[#This Row],[dteday]],"MMMM")</f>
        <v>January</v>
      </c>
      <c r="F459">
        <v>1</v>
      </c>
      <c r="G459">
        <v>2</v>
      </c>
      <c r="H459" t="b">
        <v>0</v>
      </c>
      <c r="I459" t="str">
        <f>TEXT(Append1[[#This Row],[dteday]],"DDDD")</f>
        <v>Friday</v>
      </c>
      <c r="J459" t="str" cm="1">
        <f t="array" ref="J459">_xlfn.IFS(Append1[[#This Row],[weekday cnt]]=0,"Weekend",Append1[[#This Row],[weekday cnt]]=6,"Weekend",Append1[[#This Row],[weekday cnt]]&gt;0,"Weekday")</f>
        <v>Weekday</v>
      </c>
      <c r="K459">
        <v>5</v>
      </c>
      <c r="L459" t="str" cm="1">
        <f t="array" ref="L4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459">
        <v>3</v>
      </c>
      <c r="N459">
        <v>0.24</v>
      </c>
      <c r="O459">
        <v>457</v>
      </c>
      <c r="P459">
        <v>458</v>
      </c>
      <c r="Q459">
        <v>0.2424</v>
      </c>
      <c r="R459">
        <v>0.75</v>
      </c>
      <c r="S459">
        <v>0.16420000000000001</v>
      </c>
      <c r="T459">
        <v>0</v>
      </c>
      <c r="U459">
        <v>2</v>
      </c>
      <c r="V459">
        <v>2</v>
      </c>
    </row>
    <row r="460" spans="1:22" x14ac:dyDescent="0.3">
      <c r="A460">
        <v>459</v>
      </c>
      <c r="B460" s="1">
        <v>40564</v>
      </c>
      <c r="C460">
        <v>1</v>
      </c>
      <c r="D460">
        <v>0</v>
      </c>
      <c r="E460" t="str">
        <f>TEXT(Append1[[#This Row],[dteday]],"MMMM")</f>
        <v>January</v>
      </c>
      <c r="F460">
        <v>1</v>
      </c>
      <c r="G460">
        <v>3</v>
      </c>
      <c r="H460" t="b">
        <v>0</v>
      </c>
      <c r="I460" t="str">
        <f>TEXT(Append1[[#This Row],[dteday]],"DDDD")</f>
        <v>Friday</v>
      </c>
      <c r="J460" t="str" cm="1">
        <f t="array" ref="J460">_xlfn.IFS(Append1[[#This Row],[weekday cnt]]=0,"Weekend",Append1[[#This Row],[weekday cnt]]=6,"Weekend",Append1[[#This Row],[weekday cnt]]&gt;0,"Weekday")</f>
        <v>Weekday</v>
      </c>
      <c r="K460">
        <v>5</v>
      </c>
      <c r="L460" t="str" cm="1">
        <f t="array" ref="L4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460">
        <v>3</v>
      </c>
      <c r="N460">
        <v>0.22</v>
      </c>
      <c r="O460">
        <v>458</v>
      </c>
      <c r="P460">
        <v>459</v>
      </c>
      <c r="Q460">
        <v>0.21210000000000001</v>
      </c>
      <c r="R460">
        <v>0.8</v>
      </c>
      <c r="S460">
        <v>0.29849999999999999</v>
      </c>
      <c r="T460">
        <v>0</v>
      </c>
      <c r="U460">
        <v>1</v>
      </c>
      <c r="V460">
        <v>1</v>
      </c>
    </row>
    <row r="461" spans="1:22" x14ac:dyDescent="0.3">
      <c r="A461">
        <v>460</v>
      </c>
      <c r="B461" s="1">
        <v>40564</v>
      </c>
      <c r="C461">
        <v>1</v>
      </c>
      <c r="D461">
        <v>0</v>
      </c>
      <c r="E461" t="str">
        <f>TEXT(Append1[[#This Row],[dteday]],"MMMM")</f>
        <v>January</v>
      </c>
      <c r="F461">
        <v>1</v>
      </c>
      <c r="G461">
        <v>4</v>
      </c>
      <c r="H461" t="b">
        <v>0</v>
      </c>
      <c r="I461" t="str">
        <f>TEXT(Append1[[#This Row],[dteday]],"DDDD")</f>
        <v>Friday</v>
      </c>
      <c r="J461" t="str" cm="1">
        <f t="array" ref="J461">_xlfn.IFS(Append1[[#This Row],[weekday cnt]]=0,"Weekend",Append1[[#This Row],[weekday cnt]]=6,"Weekend",Append1[[#This Row],[weekday cnt]]&gt;0,"Weekday")</f>
        <v>Weekday</v>
      </c>
      <c r="K461">
        <v>5</v>
      </c>
      <c r="L461" t="str" cm="1">
        <f t="array" ref="L4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61">
        <v>2</v>
      </c>
      <c r="N461">
        <v>0.22</v>
      </c>
      <c r="O461">
        <v>459</v>
      </c>
      <c r="P461">
        <v>460</v>
      </c>
      <c r="Q461">
        <v>0.2576</v>
      </c>
      <c r="R461">
        <v>0.87</v>
      </c>
      <c r="S461">
        <v>8.9599999999999999E-2</v>
      </c>
      <c r="T461">
        <v>0</v>
      </c>
      <c r="U461">
        <v>1</v>
      </c>
      <c r="V461">
        <v>1</v>
      </c>
    </row>
    <row r="462" spans="1:22" x14ac:dyDescent="0.3">
      <c r="A462">
        <v>461</v>
      </c>
      <c r="B462" s="1">
        <v>40564</v>
      </c>
      <c r="C462">
        <v>1</v>
      </c>
      <c r="D462">
        <v>0</v>
      </c>
      <c r="E462" t="str">
        <f>TEXT(Append1[[#This Row],[dteday]],"MMMM")</f>
        <v>January</v>
      </c>
      <c r="F462">
        <v>1</v>
      </c>
      <c r="G462">
        <v>5</v>
      </c>
      <c r="H462" t="b">
        <v>0</v>
      </c>
      <c r="I462" t="str">
        <f>TEXT(Append1[[#This Row],[dteday]],"DDDD")</f>
        <v>Friday</v>
      </c>
      <c r="J462" t="str" cm="1">
        <f t="array" ref="J462">_xlfn.IFS(Append1[[#This Row],[weekday cnt]]=0,"Weekend",Append1[[#This Row],[weekday cnt]]=6,"Weekend",Append1[[#This Row],[weekday cnt]]&gt;0,"Weekday")</f>
        <v>Weekday</v>
      </c>
      <c r="K462">
        <v>5</v>
      </c>
      <c r="L462" t="str" cm="1">
        <f t="array" ref="L4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62">
        <v>1</v>
      </c>
      <c r="N462">
        <v>0.24</v>
      </c>
      <c r="O462">
        <v>460</v>
      </c>
      <c r="P462">
        <v>461</v>
      </c>
      <c r="Q462">
        <v>0.19700000000000001</v>
      </c>
      <c r="R462">
        <v>0.6</v>
      </c>
      <c r="S462">
        <v>0.41789999999999999</v>
      </c>
      <c r="T462">
        <v>1</v>
      </c>
      <c r="U462">
        <v>4</v>
      </c>
      <c r="V462">
        <v>5</v>
      </c>
    </row>
    <row r="463" spans="1:22" x14ac:dyDescent="0.3">
      <c r="A463">
        <v>462</v>
      </c>
      <c r="B463" s="1">
        <v>40564</v>
      </c>
      <c r="C463">
        <v>1</v>
      </c>
      <c r="D463">
        <v>0</v>
      </c>
      <c r="E463" t="str">
        <f>TEXT(Append1[[#This Row],[dteday]],"MMMM")</f>
        <v>January</v>
      </c>
      <c r="F463">
        <v>1</v>
      </c>
      <c r="G463">
        <v>6</v>
      </c>
      <c r="H463" t="b">
        <v>0</v>
      </c>
      <c r="I463" t="str">
        <f>TEXT(Append1[[#This Row],[dteday]],"DDDD")</f>
        <v>Friday</v>
      </c>
      <c r="J463" t="str" cm="1">
        <f t="array" ref="J463">_xlfn.IFS(Append1[[#This Row],[weekday cnt]]=0,"Weekend",Append1[[#This Row],[weekday cnt]]=6,"Weekend",Append1[[#This Row],[weekday cnt]]&gt;0,"Weekday")</f>
        <v>Weekday</v>
      </c>
      <c r="K463">
        <v>5</v>
      </c>
      <c r="L463" t="str" cm="1">
        <f t="array" ref="L4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63">
        <v>1</v>
      </c>
      <c r="N463">
        <v>0.22</v>
      </c>
      <c r="O463">
        <v>461</v>
      </c>
      <c r="P463">
        <v>462</v>
      </c>
      <c r="Q463">
        <v>0.21210000000000001</v>
      </c>
      <c r="R463">
        <v>0.55000000000000004</v>
      </c>
      <c r="S463">
        <v>0.25369999999999998</v>
      </c>
      <c r="T463">
        <v>0</v>
      </c>
      <c r="U463">
        <v>27</v>
      </c>
      <c r="V463">
        <v>27</v>
      </c>
    </row>
    <row r="464" spans="1:22" x14ac:dyDescent="0.3">
      <c r="A464">
        <v>463</v>
      </c>
      <c r="B464" s="1">
        <v>40564</v>
      </c>
      <c r="C464">
        <v>1</v>
      </c>
      <c r="D464">
        <v>0</v>
      </c>
      <c r="E464" t="str">
        <f>TEXT(Append1[[#This Row],[dteday]],"MMMM")</f>
        <v>January</v>
      </c>
      <c r="F464">
        <v>1</v>
      </c>
      <c r="G464">
        <v>7</v>
      </c>
      <c r="H464" t="b">
        <v>0</v>
      </c>
      <c r="I464" t="str">
        <f>TEXT(Append1[[#This Row],[dteday]],"DDDD")</f>
        <v>Friday</v>
      </c>
      <c r="J464" t="str" cm="1">
        <f t="array" ref="J464">_xlfn.IFS(Append1[[#This Row],[weekday cnt]]=0,"Weekend",Append1[[#This Row],[weekday cnt]]=6,"Weekend",Append1[[#This Row],[weekday cnt]]&gt;0,"Weekday")</f>
        <v>Weekday</v>
      </c>
      <c r="K464">
        <v>5</v>
      </c>
      <c r="L464" t="str" cm="1">
        <f t="array" ref="L4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64">
        <v>1</v>
      </c>
      <c r="N464">
        <v>0.2</v>
      </c>
      <c r="O464">
        <v>462</v>
      </c>
      <c r="P464">
        <v>463</v>
      </c>
      <c r="Q464">
        <v>0.18179999999999999</v>
      </c>
      <c r="R464">
        <v>0.51</v>
      </c>
      <c r="S464">
        <v>0.28360000000000002</v>
      </c>
      <c r="T464">
        <v>2</v>
      </c>
      <c r="U464">
        <v>66</v>
      </c>
      <c r="V464">
        <v>68</v>
      </c>
    </row>
    <row r="465" spans="1:22" x14ac:dyDescent="0.3">
      <c r="A465">
        <v>464</v>
      </c>
      <c r="B465" s="1">
        <v>40564</v>
      </c>
      <c r="C465">
        <v>1</v>
      </c>
      <c r="D465">
        <v>0</v>
      </c>
      <c r="E465" t="str">
        <f>TEXT(Append1[[#This Row],[dteday]],"MMMM")</f>
        <v>January</v>
      </c>
      <c r="F465">
        <v>1</v>
      </c>
      <c r="G465">
        <v>8</v>
      </c>
      <c r="H465" t="b">
        <v>0</v>
      </c>
      <c r="I465" t="str">
        <f>TEXT(Append1[[#This Row],[dteday]],"DDDD")</f>
        <v>Friday</v>
      </c>
      <c r="J465" t="str" cm="1">
        <f t="array" ref="J465">_xlfn.IFS(Append1[[#This Row],[weekday cnt]]=0,"Weekend",Append1[[#This Row],[weekday cnt]]=6,"Weekend",Append1[[#This Row],[weekday cnt]]&gt;0,"Weekday")</f>
        <v>Weekday</v>
      </c>
      <c r="K465">
        <v>5</v>
      </c>
      <c r="L465" t="str" cm="1">
        <f t="array" ref="L4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65">
        <v>1</v>
      </c>
      <c r="N465">
        <v>0.2</v>
      </c>
      <c r="O465">
        <v>463</v>
      </c>
      <c r="P465">
        <v>464</v>
      </c>
      <c r="Q465">
        <v>0.18179999999999999</v>
      </c>
      <c r="R465">
        <v>0.47</v>
      </c>
      <c r="S465">
        <v>0.32840000000000003</v>
      </c>
      <c r="T465">
        <v>7</v>
      </c>
      <c r="U465">
        <v>210</v>
      </c>
      <c r="V465">
        <v>217</v>
      </c>
    </row>
    <row r="466" spans="1:22" x14ac:dyDescent="0.3">
      <c r="A466">
        <v>465</v>
      </c>
      <c r="B466" s="1">
        <v>40564</v>
      </c>
      <c r="C466">
        <v>1</v>
      </c>
      <c r="D466">
        <v>0</v>
      </c>
      <c r="E466" t="str">
        <f>TEXT(Append1[[#This Row],[dteday]],"MMMM")</f>
        <v>January</v>
      </c>
      <c r="F466">
        <v>1</v>
      </c>
      <c r="G466">
        <v>9</v>
      </c>
      <c r="H466" t="b">
        <v>0</v>
      </c>
      <c r="I466" t="str">
        <f>TEXT(Append1[[#This Row],[dteday]],"DDDD")</f>
        <v>Friday</v>
      </c>
      <c r="J466" t="str" cm="1">
        <f t="array" ref="J466">_xlfn.IFS(Append1[[#This Row],[weekday cnt]]=0,"Weekend",Append1[[#This Row],[weekday cnt]]=6,"Weekend",Append1[[#This Row],[weekday cnt]]&gt;0,"Weekday")</f>
        <v>Weekday</v>
      </c>
      <c r="K466">
        <v>5</v>
      </c>
      <c r="L466" t="str" cm="1">
        <f t="array" ref="L4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66">
        <v>1</v>
      </c>
      <c r="N466">
        <v>0.2</v>
      </c>
      <c r="O466">
        <v>464</v>
      </c>
      <c r="P466">
        <v>465</v>
      </c>
      <c r="Q466">
        <v>0.18179999999999999</v>
      </c>
      <c r="R466">
        <v>0.51</v>
      </c>
      <c r="S466">
        <v>0.35820000000000002</v>
      </c>
      <c r="T466">
        <v>7</v>
      </c>
      <c r="U466">
        <v>159</v>
      </c>
      <c r="V466">
        <v>166</v>
      </c>
    </row>
    <row r="467" spans="1:22" x14ac:dyDescent="0.3">
      <c r="A467">
        <v>466</v>
      </c>
      <c r="B467" s="1">
        <v>40564</v>
      </c>
      <c r="C467">
        <v>1</v>
      </c>
      <c r="D467">
        <v>0</v>
      </c>
      <c r="E467" t="str">
        <f>TEXT(Append1[[#This Row],[dteday]],"MMMM")</f>
        <v>January</v>
      </c>
      <c r="F467">
        <v>1</v>
      </c>
      <c r="G467">
        <v>10</v>
      </c>
      <c r="H467" t="b">
        <v>0</v>
      </c>
      <c r="I467" t="str">
        <f>TEXT(Append1[[#This Row],[dteday]],"DDDD")</f>
        <v>Friday</v>
      </c>
      <c r="J467" t="str" cm="1">
        <f t="array" ref="J467">_xlfn.IFS(Append1[[#This Row],[weekday cnt]]=0,"Weekend",Append1[[#This Row],[weekday cnt]]=6,"Weekend",Append1[[#This Row],[weekday cnt]]&gt;0,"Weekday")</f>
        <v>Weekday</v>
      </c>
      <c r="K467">
        <v>5</v>
      </c>
      <c r="L467" t="str" cm="1">
        <f t="array" ref="L4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67">
        <v>1</v>
      </c>
      <c r="N467">
        <v>0.2</v>
      </c>
      <c r="O467">
        <v>465</v>
      </c>
      <c r="P467">
        <v>466</v>
      </c>
      <c r="Q467">
        <v>0.16669999999999999</v>
      </c>
      <c r="R467">
        <v>0.47</v>
      </c>
      <c r="S467">
        <v>0.4627</v>
      </c>
      <c r="T467">
        <v>6</v>
      </c>
      <c r="U467">
        <v>57</v>
      </c>
      <c r="V467">
        <v>63</v>
      </c>
    </row>
    <row r="468" spans="1:22" x14ac:dyDescent="0.3">
      <c r="A468">
        <v>467</v>
      </c>
      <c r="B468" s="1">
        <v>40564</v>
      </c>
      <c r="C468">
        <v>1</v>
      </c>
      <c r="D468">
        <v>0</v>
      </c>
      <c r="E468" t="str">
        <f>TEXT(Append1[[#This Row],[dteday]],"MMMM")</f>
        <v>January</v>
      </c>
      <c r="F468">
        <v>1</v>
      </c>
      <c r="G468">
        <v>11</v>
      </c>
      <c r="H468" t="b">
        <v>0</v>
      </c>
      <c r="I468" t="str">
        <f>TEXT(Append1[[#This Row],[dteday]],"DDDD")</f>
        <v>Friday</v>
      </c>
      <c r="J468" t="str" cm="1">
        <f t="array" ref="J468">_xlfn.IFS(Append1[[#This Row],[weekday cnt]]=0,"Weekend",Append1[[#This Row],[weekday cnt]]=6,"Weekend",Append1[[#This Row],[weekday cnt]]&gt;0,"Weekday")</f>
        <v>Weekday</v>
      </c>
      <c r="K468">
        <v>5</v>
      </c>
      <c r="L468" t="str" cm="1">
        <f t="array" ref="L4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68">
        <v>1</v>
      </c>
      <c r="N468">
        <v>0.22</v>
      </c>
      <c r="O468">
        <v>466</v>
      </c>
      <c r="P468">
        <v>467</v>
      </c>
      <c r="Q468">
        <v>0.18179999999999999</v>
      </c>
      <c r="R468">
        <v>0.41</v>
      </c>
      <c r="S468">
        <v>0.4627</v>
      </c>
      <c r="T468">
        <v>6</v>
      </c>
      <c r="U468">
        <v>53</v>
      </c>
      <c r="V468">
        <v>59</v>
      </c>
    </row>
    <row r="469" spans="1:22" x14ac:dyDescent="0.3">
      <c r="A469">
        <v>468</v>
      </c>
      <c r="B469" s="1">
        <v>40564</v>
      </c>
      <c r="C469">
        <v>1</v>
      </c>
      <c r="D469">
        <v>0</v>
      </c>
      <c r="E469" t="str">
        <f>TEXT(Append1[[#This Row],[dteday]],"MMMM")</f>
        <v>January</v>
      </c>
      <c r="F469">
        <v>1</v>
      </c>
      <c r="G469">
        <v>12</v>
      </c>
      <c r="H469" t="b">
        <v>0</v>
      </c>
      <c r="I469" t="str">
        <f>TEXT(Append1[[#This Row],[dteday]],"DDDD")</f>
        <v>Friday</v>
      </c>
      <c r="J469" t="str" cm="1">
        <f t="array" ref="J469">_xlfn.IFS(Append1[[#This Row],[weekday cnt]]=0,"Weekend",Append1[[#This Row],[weekday cnt]]=6,"Weekend",Append1[[#This Row],[weekday cnt]]&gt;0,"Weekday")</f>
        <v>Weekday</v>
      </c>
      <c r="K469">
        <v>5</v>
      </c>
      <c r="L469" t="str" cm="1">
        <f t="array" ref="L4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69">
        <v>1</v>
      </c>
      <c r="N469">
        <v>0.22</v>
      </c>
      <c r="O469">
        <v>467</v>
      </c>
      <c r="P469">
        <v>468</v>
      </c>
      <c r="Q469">
        <v>0.18179999999999999</v>
      </c>
      <c r="R469">
        <v>0.27</v>
      </c>
      <c r="S469">
        <v>0.58209999999999995</v>
      </c>
      <c r="T469">
        <v>11</v>
      </c>
      <c r="U469">
        <v>67</v>
      </c>
      <c r="V469">
        <v>78</v>
      </c>
    </row>
    <row r="470" spans="1:22" x14ac:dyDescent="0.3">
      <c r="A470">
        <v>469</v>
      </c>
      <c r="B470" s="1">
        <v>40564</v>
      </c>
      <c r="C470">
        <v>1</v>
      </c>
      <c r="D470">
        <v>0</v>
      </c>
      <c r="E470" t="str">
        <f>TEXT(Append1[[#This Row],[dteday]],"MMMM")</f>
        <v>January</v>
      </c>
      <c r="F470">
        <v>1</v>
      </c>
      <c r="G470">
        <v>13</v>
      </c>
      <c r="H470" t="b">
        <v>0</v>
      </c>
      <c r="I470" t="str">
        <f>TEXT(Append1[[#This Row],[dteday]],"DDDD")</f>
        <v>Friday</v>
      </c>
      <c r="J470" t="str" cm="1">
        <f t="array" ref="J470">_xlfn.IFS(Append1[[#This Row],[weekday cnt]]=0,"Weekend",Append1[[#This Row],[weekday cnt]]=6,"Weekend",Append1[[#This Row],[weekday cnt]]&gt;0,"Weekday")</f>
        <v>Weekday</v>
      </c>
      <c r="K470">
        <v>5</v>
      </c>
      <c r="L470" t="str" cm="1">
        <f t="array" ref="L4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0">
        <v>1</v>
      </c>
      <c r="N470">
        <v>0.2</v>
      </c>
      <c r="O470">
        <v>468</v>
      </c>
      <c r="P470">
        <v>469</v>
      </c>
      <c r="Q470">
        <v>0.1515</v>
      </c>
      <c r="R470">
        <v>0.21</v>
      </c>
      <c r="S470">
        <v>0.58209999999999995</v>
      </c>
      <c r="T470">
        <v>8</v>
      </c>
      <c r="U470">
        <v>65</v>
      </c>
      <c r="V470">
        <v>73</v>
      </c>
    </row>
    <row r="471" spans="1:22" x14ac:dyDescent="0.3">
      <c r="A471">
        <v>470</v>
      </c>
      <c r="B471" s="1">
        <v>40564</v>
      </c>
      <c r="C471">
        <v>1</v>
      </c>
      <c r="D471">
        <v>0</v>
      </c>
      <c r="E471" t="str">
        <f>TEXT(Append1[[#This Row],[dteday]],"MMMM")</f>
        <v>January</v>
      </c>
      <c r="F471">
        <v>1</v>
      </c>
      <c r="G471">
        <v>14</v>
      </c>
      <c r="H471" t="b">
        <v>0</v>
      </c>
      <c r="I471" t="str">
        <f>TEXT(Append1[[#This Row],[dteday]],"DDDD")</f>
        <v>Friday</v>
      </c>
      <c r="J471" t="str" cm="1">
        <f t="array" ref="J471">_xlfn.IFS(Append1[[#This Row],[weekday cnt]]=0,"Weekend",Append1[[#This Row],[weekday cnt]]=6,"Weekend",Append1[[#This Row],[weekday cnt]]&gt;0,"Weekday")</f>
        <v>Weekday</v>
      </c>
      <c r="K471">
        <v>5</v>
      </c>
      <c r="L471" t="str" cm="1">
        <f t="array" ref="L4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1">
        <v>1</v>
      </c>
      <c r="N471">
        <v>0.2</v>
      </c>
      <c r="O471">
        <v>469</v>
      </c>
      <c r="P471">
        <v>470</v>
      </c>
      <c r="Q471">
        <v>0.1515</v>
      </c>
      <c r="R471">
        <v>0.25</v>
      </c>
      <c r="S471">
        <v>0.52239999999999998</v>
      </c>
      <c r="T471">
        <v>6</v>
      </c>
      <c r="U471">
        <v>56</v>
      </c>
      <c r="V471">
        <v>62</v>
      </c>
    </row>
    <row r="472" spans="1:22" x14ac:dyDescent="0.3">
      <c r="A472">
        <v>471</v>
      </c>
      <c r="B472" s="1">
        <v>40564</v>
      </c>
      <c r="C472">
        <v>1</v>
      </c>
      <c r="D472">
        <v>0</v>
      </c>
      <c r="E472" t="str">
        <f>TEXT(Append1[[#This Row],[dteday]],"MMMM")</f>
        <v>January</v>
      </c>
      <c r="F472">
        <v>1</v>
      </c>
      <c r="G472">
        <v>15</v>
      </c>
      <c r="H472" t="b">
        <v>0</v>
      </c>
      <c r="I472" t="str">
        <f>TEXT(Append1[[#This Row],[dteday]],"DDDD")</f>
        <v>Friday</v>
      </c>
      <c r="J472" t="str" cm="1">
        <f t="array" ref="J472">_xlfn.IFS(Append1[[#This Row],[weekday cnt]]=0,"Weekend",Append1[[#This Row],[weekday cnt]]=6,"Weekend",Append1[[#This Row],[weekday cnt]]&gt;0,"Weekday")</f>
        <v>Weekday</v>
      </c>
      <c r="K472">
        <v>5</v>
      </c>
      <c r="L472" t="str" cm="1">
        <f t="array" ref="L4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2">
        <v>1</v>
      </c>
      <c r="N472">
        <v>0.16</v>
      </c>
      <c r="O472">
        <v>470</v>
      </c>
      <c r="P472">
        <v>471</v>
      </c>
      <c r="Q472">
        <v>0.1212</v>
      </c>
      <c r="R472">
        <v>0.26</v>
      </c>
      <c r="S472">
        <v>0.44779999999999998</v>
      </c>
      <c r="T472">
        <v>4</v>
      </c>
      <c r="U472">
        <v>61</v>
      </c>
      <c r="V472">
        <v>65</v>
      </c>
    </row>
    <row r="473" spans="1:22" x14ac:dyDescent="0.3">
      <c r="A473">
        <v>472</v>
      </c>
      <c r="B473" s="1">
        <v>40564</v>
      </c>
      <c r="C473">
        <v>1</v>
      </c>
      <c r="D473">
        <v>0</v>
      </c>
      <c r="E473" t="str">
        <f>TEXT(Append1[[#This Row],[dteday]],"MMMM")</f>
        <v>January</v>
      </c>
      <c r="F473">
        <v>1</v>
      </c>
      <c r="G473">
        <v>16</v>
      </c>
      <c r="H473" t="b">
        <v>0</v>
      </c>
      <c r="I473" t="str">
        <f>TEXT(Append1[[#This Row],[dteday]],"DDDD")</f>
        <v>Friday</v>
      </c>
      <c r="J473" t="str" cm="1">
        <f t="array" ref="J473">_xlfn.IFS(Append1[[#This Row],[weekday cnt]]=0,"Weekend",Append1[[#This Row],[weekday cnt]]=6,"Weekend",Append1[[#This Row],[weekday cnt]]&gt;0,"Weekday")</f>
        <v>Weekday</v>
      </c>
      <c r="K473">
        <v>5</v>
      </c>
      <c r="L473" t="str" cm="1">
        <f t="array" ref="L4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3">
        <v>1</v>
      </c>
      <c r="N473">
        <v>0.16</v>
      </c>
      <c r="O473">
        <v>471</v>
      </c>
      <c r="P473">
        <v>472</v>
      </c>
      <c r="Q473">
        <v>0.13639999999999999</v>
      </c>
      <c r="R473">
        <v>0.26</v>
      </c>
      <c r="S473">
        <v>0.35820000000000002</v>
      </c>
      <c r="T473">
        <v>0</v>
      </c>
      <c r="U473">
        <v>97</v>
      </c>
      <c r="V473">
        <v>97</v>
      </c>
    </row>
    <row r="474" spans="1:22" x14ac:dyDescent="0.3">
      <c r="A474">
        <v>473</v>
      </c>
      <c r="B474" s="1">
        <v>40564</v>
      </c>
      <c r="C474">
        <v>1</v>
      </c>
      <c r="D474">
        <v>0</v>
      </c>
      <c r="E474" t="str">
        <f>TEXT(Append1[[#This Row],[dteday]],"MMMM")</f>
        <v>January</v>
      </c>
      <c r="F474">
        <v>1</v>
      </c>
      <c r="G474">
        <v>17</v>
      </c>
      <c r="H474" t="b">
        <v>0</v>
      </c>
      <c r="I474" t="str">
        <f>TEXT(Append1[[#This Row],[dteday]],"DDDD")</f>
        <v>Friday</v>
      </c>
      <c r="J474" t="str" cm="1">
        <f t="array" ref="J474">_xlfn.IFS(Append1[[#This Row],[weekday cnt]]=0,"Weekend",Append1[[#This Row],[weekday cnt]]=6,"Weekend",Append1[[#This Row],[weekday cnt]]&gt;0,"Weekday")</f>
        <v>Weekday</v>
      </c>
      <c r="K474">
        <v>5</v>
      </c>
      <c r="L474" t="str" cm="1">
        <f t="array" ref="L4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4">
        <v>1</v>
      </c>
      <c r="N474">
        <v>0.14000000000000001</v>
      </c>
      <c r="O474">
        <v>472</v>
      </c>
      <c r="P474">
        <v>473</v>
      </c>
      <c r="Q474">
        <v>0.1212</v>
      </c>
      <c r="R474">
        <v>0.28000000000000003</v>
      </c>
      <c r="S474">
        <v>0.35820000000000002</v>
      </c>
      <c r="T474">
        <v>10</v>
      </c>
      <c r="U474">
        <v>151</v>
      </c>
      <c r="V474">
        <v>161</v>
      </c>
    </row>
    <row r="475" spans="1:22" x14ac:dyDescent="0.3">
      <c r="A475">
        <v>474</v>
      </c>
      <c r="B475" s="1">
        <v>40564</v>
      </c>
      <c r="C475">
        <v>1</v>
      </c>
      <c r="D475">
        <v>0</v>
      </c>
      <c r="E475" t="str">
        <f>TEXT(Append1[[#This Row],[dteday]],"MMMM")</f>
        <v>January</v>
      </c>
      <c r="F475">
        <v>1</v>
      </c>
      <c r="G475">
        <v>18</v>
      </c>
      <c r="H475" t="b">
        <v>0</v>
      </c>
      <c r="I475" t="str">
        <f>TEXT(Append1[[#This Row],[dteday]],"DDDD")</f>
        <v>Friday</v>
      </c>
      <c r="J475" t="str" cm="1">
        <f t="array" ref="J475">_xlfn.IFS(Append1[[#This Row],[weekday cnt]]=0,"Weekend",Append1[[#This Row],[weekday cnt]]=6,"Weekend",Append1[[#This Row],[weekday cnt]]&gt;0,"Weekday")</f>
        <v>Weekday</v>
      </c>
      <c r="K475">
        <v>5</v>
      </c>
      <c r="L475" t="str" cm="1">
        <f t="array" ref="L4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5">
        <v>1</v>
      </c>
      <c r="N475">
        <v>0.12</v>
      </c>
      <c r="O475">
        <v>473</v>
      </c>
      <c r="P475">
        <v>474</v>
      </c>
      <c r="Q475">
        <v>0.1212</v>
      </c>
      <c r="R475">
        <v>0.3</v>
      </c>
      <c r="S475">
        <v>0.25369999999999998</v>
      </c>
      <c r="T475">
        <v>1</v>
      </c>
      <c r="U475">
        <v>119</v>
      </c>
      <c r="V475">
        <v>120</v>
      </c>
    </row>
    <row r="476" spans="1:22" x14ac:dyDescent="0.3">
      <c r="A476">
        <v>475</v>
      </c>
      <c r="B476" s="1">
        <v>40564</v>
      </c>
      <c r="C476">
        <v>1</v>
      </c>
      <c r="D476">
        <v>0</v>
      </c>
      <c r="E476" t="str">
        <f>TEXT(Append1[[#This Row],[dteday]],"MMMM")</f>
        <v>January</v>
      </c>
      <c r="F476">
        <v>1</v>
      </c>
      <c r="G476">
        <v>19</v>
      </c>
      <c r="H476" t="b">
        <v>0</v>
      </c>
      <c r="I476" t="str">
        <f>TEXT(Append1[[#This Row],[dteday]],"DDDD")</f>
        <v>Friday</v>
      </c>
      <c r="J476" t="str" cm="1">
        <f t="array" ref="J476">_xlfn.IFS(Append1[[#This Row],[weekday cnt]]=0,"Weekend",Append1[[#This Row],[weekday cnt]]=6,"Weekend",Append1[[#This Row],[weekday cnt]]&gt;0,"Weekday")</f>
        <v>Weekday</v>
      </c>
      <c r="K476">
        <v>5</v>
      </c>
      <c r="L476" t="str" cm="1">
        <f t="array" ref="L4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6">
        <v>1</v>
      </c>
      <c r="N476">
        <v>0.12</v>
      </c>
      <c r="O476">
        <v>474</v>
      </c>
      <c r="P476">
        <v>475</v>
      </c>
      <c r="Q476">
        <v>0.1061</v>
      </c>
      <c r="R476">
        <v>0.3</v>
      </c>
      <c r="S476">
        <v>0.32840000000000003</v>
      </c>
      <c r="T476">
        <v>3</v>
      </c>
      <c r="U476">
        <v>93</v>
      </c>
      <c r="V476">
        <v>96</v>
      </c>
    </row>
    <row r="477" spans="1:22" x14ac:dyDescent="0.3">
      <c r="A477">
        <v>476</v>
      </c>
      <c r="B477" s="1">
        <v>40564</v>
      </c>
      <c r="C477">
        <v>1</v>
      </c>
      <c r="D477">
        <v>0</v>
      </c>
      <c r="E477" t="str">
        <f>TEXT(Append1[[#This Row],[dteday]],"MMMM")</f>
        <v>January</v>
      </c>
      <c r="F477">
        <v>1</v>
      </c>
      <c r="G477">
        <v>20</v>
      </c>
      <c r="H477" t="b">
        <v>0</v>
      </c>
      <c r="I477" t="str">
        <f>TEXT(Append1[[#This Row],[dteday]],"DDDD")</f>
        <v>Friday</v>
      </c>
      <c r="J477" t="str" cm="1">
        <f t="array" ref="J477">_xlfn.IFS(Append1[[#This Row],[weekday cnt]]=0,"Weekend",Append1[[#This Row],[weekday cnt]]=6,"Weekend",Append1[[#This Row],[weekday cnt]]&gt;0,"Weekday")</f>
        <v>Weekday</v>
      </c>
      <c r="K477">
        <v>5</v>
      </c>
      <c r="L477" t="str" cm="1">
        <f t="array" ref="L4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7">
        <v>1</v>
      </c>
      <c r="N477">
        <v>0.1</v>
      </c>
      <c r="O477">
        <v>475</v>
      </c>
      <c r="P477">
        <v>476</v>
      </c>
      <c r="Q477">
        <v>7.5800000000000006E-2</v>
      </c>
      <c r="R477">
        <v>0.33</v>
      </c>
      <c r="S477">
        <v>0.41789999999999999</v>
      </c>
      <c r="T477">
        <v>1</v>
      </c>
      <c r="U477">
        <v>52</v>
      </c>
      <c r="V477">
        <v>53</v>
      </c>
    </row>
    <row r="478" spans="1:22" x14ac:dyDescent="0.3">
      <c r="A478">
        <v>477</v>
      </c>
      <c r="B478" s="1">
        <v>40564</v>
      </c>
      <c r="C478">
        <v>1</v>
      </c>
      <c r="D478">
        <v>0</v>
      </c>
      <c r="E478" t="str">
        <f>TEXT(Append1[[#This Row],[dteday]],"MMMM")</f>
        <v>January</v>
      </c>
      <c r="F478">
        <v>1</v>
      </c>
      <c r="G478">
        <v>21</v>
      </c>
      <c r="H478" t="b">
        <v>0</v>
      </c>
      <c r="I478" t="str">
        <f>TEXT(Append1[[#This Row],[dteday]],"DDDD")</f>
        <v>Friday</v>
      </c>
      <c r="J478" t="str" cm="1">
        <f t="array" ref="J478">_xlfn.IFS(Append1[[#This Row],[weekday cnt]]=0,"Weekend",Append1[[#This Row],[weekday cnt]]=6,"Weekend",Append1[[#This Row],[weekday cnt]]&gt;0,"Weekday")</f>
        <v>Weekday</v>
      </c>
      <c r="K478">
        <v>5</v>
      </c>
      <c r="L478" t="str" cm="1">
        <f t="array" ref="L4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8">
        <v>1</v>
      </c>
      <c r="N478">
        <v>0.08</v>
      </c>
      <c r="O478">
        <v>476</v>
      </c>
      <c r="P478">
        <v>477</v>
      </c>
      <c r="Q478">
        <v>7.5800000000000006E-2</v>
      </c>
      <c r="R478">
        <v>0.38</v>
      </c>
      <c r="S478">
        <v>0.28360000000000002</v>
      </c>
      <c r="T478">
        <v>0</v>
      </c>
      <c r="U478">
        <v>41</v>
      </c>
      <c r="V478">
        <v>41</v>
      </c>
    </row>
    <row r="479" spans="1:22" x14ac:dyDescent="0.3">
      <c r="A479">
        <v>478</v>
      </c>
      <c r="B479" s="1">
        <v>40564</v>
      </c>
      <c r="C479">
        <v>1</v>
      </c>
      <c r="D479">
        <v>0</v>
      </c>
      <c r="E479" t="str">
        <f>TEXT(Append1[[#This Row],[dteday]],"MMMM")</f>
        <v>January</v>
      </c>
      <c r="F479">
        <v>1</v>
      </c>
      <c r="G479">
        <v>22</v>
      </c>
      <c r="H479" t="b">
        <v>0</v>
      </c>
      <c r="I479" t="str">
        <f>TEXT(Append1[[#This Row],[dteday]],"DDDD")</f>
        <v>Friday</v>
      </c>
      <c r="J479" t="str" cm="1">
        <f t="array" ref="J479">_xlfn.IFS(Append1[[#This Row],[weekday cnt]]=0,"Weekend",Append1[[#This Row],[weekday cnt]]=6,"Weekend",Append1[[#This Row],[weekday cnt]]&gt;0,"Weekday")</f>
        <v>Weekday</v>
      </c>
      <c r="K479">
        <v>5</v>
      </c>
      <c r="L479" t="str" cm="1">
        <f t="array" ref="L4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79">
        <v>1</v>
      </c>
      <c r="N479">
        <v>0.06</v>
      </c>
      <c r="O479">
        <v>477</v>
      </c>
      <c r="P479">
        <v>478</v>
      </c>
      <c r="Q479">
        <v>3.0300000000000001E-2</v>
      </c>
      <c r="R479">
        <v>0.41</v>
      </c>
      <c r="S479">
        <v>0.3881</v>
      </c>
      <c r="T479">
        <v>1</v>
      </c>
      <c r="U479">
        <v>33</v>
      </c>
      <c r="V479">
        <v>34</v>
      </c>
    </row>
    <row r="480" spans="1:22" x14ac:dyDescent="0.3">
      <c r="A480">
        <v>479</v>
      </c>
      <c r="B480" s="1">
        <v>40564</v>
      </c>
      <c r="C480">
        <v>1</v>
      </c>
      <c r="D480">
        <v>0</v>
      </c>
      <c r="E480" t="str">
        <f>TEXT(Append1[[#This Row],[dteday]],"MMMM")</f>
        <v>January</v>
      </c>
      <c r="F480">
        <v>1</v>
      </c>
      <c r="G480">
        <v>23</v>
      </c>
      <c r="H480" t="b">
        <v>0</v>
      </c>
      <c r="I480" t="str">
        <f>TEXT(Append1[[#This Row],[dteday]],"DDDD")</f>
        <v>Friday</v>
      </c>
      <c r="J480" t="str" cm="1">
        <f t="array" ref="J480">_xlfn.IFS(Append1[[#This Row],[weekday cnt]]=0,"Weekend",Append1[[#This Row],[weekday cnt]]=6,"Weekend",Append1[[#This Row],[weekday cnt]]&gt;0,"Weekday")</f>
        <v>Weekday</v>
      </c>
      <c r="K480">
        <v>5</v>
      </c>
      <c r="L480" t="str" cm="1">
        <f t="array" ref="L4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80">
        <v>1</v>
      </c>
      <c r="N480">
        <v>0.06</v>
      </c>
      <c r="O480">
        <v>478</v>
      </c>
      <c r="P480">
        <v>479</v>
      </c>
      <c r="Q480">
        <v>4.5499999999999999E-2</v>
      </c>
      <c r="R480">
        <v>0.38</v>
      </c>
      <c r="S480">
        <v>0.32840000000000003</v>
      </c>
      <c r="T480">
        <v>0</v>
      </c>
      <c r="U480">
        <v>27</v>
      </c>
      <c r="V480">
        <v>27</v>
      </c>
    </row>
    <row r="481" spans="1:22" x14ac:dyDescent="0.3">
      <c r="A481">
        <v>480</v>
      </c>
      <c r="B481" s="1">
        <v>40565</v>
      </c>
      <c r="C481">
        <v>1</v>
      </c>
      <c r="D481">
        <v>0</v>
      </c>
      <c r="E481" t="str">
        <f>TEXT(Append1[[#This Row],[dteday]],"MMMM")</f>
        <v>January</v>
      </c>
      <c r="F481">
        <v>1</v>
      </c>
      <c r="G481">
        <v>0</v>
      </c>
      <c r="H481" t="b">
        <v>0</v>
      </c>
      <c r="I481" t="str">
        <f>TEXT(Append1[[#This Row],[dteday]],"DDDD")</f>
        <v>Saturday</v>
      </c>
      <c r="J481" t="str" cm="1">
        <f t="array" ref="J481">_xlfn.IFS(Append1[[#This Row],[weekday cnt]]=0,"Weekend",Append1[[#This Row],[weekday cnt]]=6,"Weekend",Append1[[#This Row],[weekday cnt]]&gt;0,"Weekday")</f>
        <v>Weekend</v>
      </c>
      <c r="K481">
        <v>6</v>
      </c>
      <c r="L481" t="str" cm="1">
        <f t="array" ref="L4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81">
        <v>1</v>
      </c>
      <c r="N481">
        <v>0.04</v>
      </c>
      <c r="O481">
        <v>479</v>
      </c>
      <c r="P481">
        <v>480</v>
      </c>
      <c r="Q481">
        <v>3.0300000000000001E-2</v>
      </c>
      <c r="R481">
        <v>0.45</v>
      </c>
      <c r="S481">
        <v>0.25369999999999998</v>
      </c>
      <c r="T481">
        <v>0</v>
      </c>
      <c r="U481">
        <v>13</v>
      </c>
      <c r="V481">
        <v>13</v>
      </c>
    </row>
    <row r="482" spans="1:22" x14ac:dyDescent="0.3">
      <c r="A482">
        <v>481</v>
      </c>
      <c r="B482" s="1">
        <v>40565</v>
      </c>
      <c r="C482">
        <v>1</v>
      </c>
      <c r="D482">
        <v>0</v>
      </c>
      <c r="E482" t="str">
        <f>TEXT(Append1[[#This Row],[dteday]],"MMMM")</f>
        <v>January</v>
      </c>
      <c r="F482">
        <v>1</v>
      </c>
      <c r="G482">
        <v>1</v>
      </c>
      <c r="H482" t="b">
        <v>0</v>
      </c>
      <c r="I482" t="str">
        <f>TEXT(Append1[[#This Row],[dteday]],"DDDD")</f>
        <v>Saturday</v>
      </c>
      <c r="J482" t="str" cm="1">
        <f t="array" ref="J482">_xlfn.IFS(Append1[[#This Row],[weekday cnt]]=0,"Weekend",Append1[[#This Row],[weekday cnt]]=6,"Weekend",Append1[[#This Row],[weekday cnt]]&gt;0,"Weekday")</f>
        <v>Weekend</v>
      </c>
      <c r="K482">
        <v>6</v>
      </c>
      <c r="L482" t="str" cm="1">
        <f t="array" ref="L4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82">
        <v>2</v>
      </c>
      <c r="N482">
        <v>0.04</v>
      </c>
      <c r="O482">
        <v>480</v>
      </c>
      <c r="P482">
        <v>481</v>
      </c>
      <c r="Q482">
        <v>0</v>
      </c>
      <c r="R482">
        <v>0.41</v>
      </c>
      <c r="S482">
        <v>0.3881</v>
      </c>
      <c r="T482">
        <v>3</v>
      </c>
      <c r="U482">
        <v>9</v>
      </c>
      <c r="V482">
        <v>12</v>
      </c>
    </row>
    <row r="483" spans="1:22" x14ac:dyDescent="0.3">
      <c r="A483">
        <v>482</v>
      </c>
      <c r="B483" s="1">
        <v>40565</v>
      </c>
      <c r="C483">
        <v>1</v>
      </c>
      <c r="D483">
        <v>0</v>
      </c>
      <c r="E483" t="str">
        <f>TEXT(Append1[[#This Row],[dteday]],"MMMM")</f>
        <v>January</v>
      </c>
      <c r="F483">
        <v>1</v>
      </c>
      <c r="G483">
        <v>2</v>
      </c>
      <c r="H483" t="b">
        <v>0</v>
      </c>
      <c r="I483" t="str">
        <f>TEXT(Append1[[#This Row],[dteday]],"DDDD")</f>
        <v>Saturday</v>
      </c>
      <c r="J483" t="str" cm="1">
        <f t="array" ref="J483">_xlfn.IFS(Append1[[#This Row],[weekday cnt]]=0,"Weekend",Append1[[#This Row],[weekday cnt]]=6,"Weekend",Append1[[#This Row],[weekday cnt]]&gt;0,"Weekday")</f>
        <v>Weekend</v>
      </c>
      <c r="K483">
        <v>6</v>
      </c>
      <c r="L483" t="str" cm="1">
        <f t="array" ref="L4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83">
        <v>2</v>
      </c>
      <c r="N483">
        <v>0.04</v>
      </c>
      <c r="O483">
        <v>481</v>
      </c>
      <c r="P483">
        <v>482</v>
      </c>
      <c r="Q483">
        <v>3.0300000000000001E-2</v>
      </c>
      <c r="R483">
        <v>0.41</v>
      </c>
      <c r="S483">
        <v>0.25369999999999998</v>
      </c>
      <c r="T483">
        <v>0</v>
      </c>
      <c r="U483">
        <v>11</v>
      </c>
      <c r="V483">
        <v>11</v>
      </c>
    </row>
    <row r="484" spans="1:22" x14ac:dyDescent="0.3">
      <c r="A484">
        <v>483</v>
      </c>
      <c r="B484" s="1">
        <v>40565</v>
      </c>
      <c r="C484">
        <v>1</v>
      </c>
      <c r="D484">
        <v>0</v>
      </c>
      <c r="E484" t="str">
        <f>TEXT(Append1[[#This Row],[dteday]],"MMMM")</f>
        <v>January</v>
      </c>
      <c r="F484">
        <v>1</v>
      </c>
      <c r="G484">
        <v>3</v>
      </c>
      <c r="H484" t="b">
        <v>0</v>
      </c>
      <c r="I484" t="str">
        <f>TEXT(Append1[[#This Row],[dteday]],"DDDD")</f>
        <v>Saturday</v>
      </c>
      <c r="J484" t="str" cm="1">
        <f t="array" ref="J484">_xlfn.IFS(Append1[[#This Row],[weekday cnt]]=0,"Weekend",Append1[[#This Row],[weekday cnt]]=6,"Weekend",Append1[[#This Row],[weekday cnt]]&gt;0,"Weekday")</f>
        <v>Weekend</v>
      </c>
      <c r="K484">
        <v>6</v>
      </c>
      <c r="L484" t="str" cm="1">
        <f t="array" ref="L4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84">
        <v>2</v>
      </c>
      <c r="N484">
        <v>0.04</v>
      </c>
      <c r="O484">
        <v>482</v>
      </c>
      <c r="P484">
        <v>483</v>
      </c>
      <c r="Q484">
        <v>3.0300000000000001E-2</v>
      </c>
      <c r="R484">
        <v>0.41</v>
      </c>
      <c r="S484">
        <v>0.28360000000000002</v>
      </c>
      <c r="T484">
        <v>1</v>
      </c>
      <c r="U484">
        <v>6</v>
      </c>
      <c r="V484">
        <v>7</v>
      </c>
    </row>
    <row r="485" spans="1:22" x14ac:dyDescent="0.3">
      <c r="A485">
        <v>484</v>
      </c>
      <c r="B485" s="1">
        <v>40565</v>
      </c>
      <c r="C485">
        <v>1</v>
      </c>
      <c r="D485">
        <v>0</v>
      </c>
      <c r="E485" t="str">
        <f>TEXT(Append1[[#This Row],[dteday]],"MMMM")</f>
        <v>January</v>
      </c>
      <c r="F485">
        <v>1</v>
      </c>
      <c r="G485">
        <v>4</v>
      </c>
      <c r="H485" t="b">
        <v>0</v>
      </c>
      <c r="I485" t="str">
        <f>TEXT(Append1[[#This Row],[dteday]],"DDDD")</f>
        <v>Saturday</v>
      </c>
      <c r="J485" t="str" cm="1">
        <f t="array" ref="J485">_xlfn.IFS(Append1[[#This Row],[weekday cnt]]=0,"Weekend",Append1[[#This Row],[weekday cnt]]=6,"Weekend",Append1[[#This Row],[weekday cnt]]&gt;0,"Weekday")</f>
        <v>Weekend</v>
      </c>
      <c r="K485">
        <v>6</v>
      </c>
      <c r="L485" t="str" cm="1">
        <f t="array" ref="L4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85">
        <v>2</v>
      </c>
      <c r="N485">
        <v>0.02</v>
      </c>
      <c r="O485">
        <v>483</v>
      </c>
      <c r="P485">
        <v>484</v>
      </c>
      <c r="Q485">
        <v>1.52E-2</v>
      </c>
      <c r="R485">
        <v>0.48</v>
      </c>
      <c r="S485">
        <v>0.29849999999999999</v>
      </c>
      <c r="T485">
        <v>0</v>
      </c>
      <c r="U485">
        <v>3</v>
      </c>
      <c r="V485">
        <v>3</v>
      </c>
    </row>
    <row r="486" spans="1:22" x14ac:dyDescent="0.3">
      <c r="A486">
        <v>485</v>
      </c>
      <c r="B486" s="1">
        <v>40565</v>
      </c>
      <c r="C486">
        <v>1</v>
      </c>
      <c r="D486">
        <v>0</v>
      </c>
      <c r="E486" t="str">
        <f>TEXT(Append1[[#This Row],[dteday]],"MMMM")</f>
        <v>January</v>
      </c>
      <c r="F486">
        <v>1</v>
      </c>
      <c r="G486">
        <v>6</v>
      </c>
      <c r="H486" t="b">
        <v>0</v>
      </c>
      <c r="I486" t="str">
        <f>TEXT(Append1[[#This Row],[dteday]],"DDDD")</f>
        <v>Saturday</v>
      </c>
      <c r="J486" t="str" cm="1">
        <f t="array" ref="J486">_xlfn.IFS(Append1[[#This Row],[weekday cnt]]=0,"Weekend",Append1[[#This Row],[weekday cnt]]=6,"Weekend",Append1[[#This Row],[weekday cnt]]&gt;0,"Weekday")</f>
        <v>Weekend</v>
      </c>
      <c r="K486">
        <v>6</v>
      </c>
      <c r="L486" t="str" cm="1">
        <f t="array" ref="L4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86">
        <v>2</v>
      </c>
      <c r="N486">
        <v>0.02</v>
      </c>
      <c r="O486">
        <v>484</v>
      </c>
      <c r="P486">
        <v>485</v>
      </c>
      <c r="Q486">
        <v>3.0300000000000001E-2</v>
      </c>
      <c r="R486">
        <v>0.44</v>
      </c>
      <c r="S486">
        <v>0.22389999999999999</v>
      </c>
      <c r="T486">
        <v>0</v>
      </c>
      <c r="U486">
        <v>2</v>
      </c>
      <c r="V486">
        <v>2</v>
      </c>
    </row>
    <row r="487" spans="1:22" x14ac:dyDescent="0.3">
      <c r="A487">
        <v>486</v>
      </c>
      <c r="B487" s="1">
        <v>40565</v>
      </c>
      <c r="C487">
        <v>1</v>
      </c>
      <c r="D487">
        <v>0</v>
      </c>
      <c r="E487" t="str">
        <f>TEXT(Append1[[#This Row],[dteday]],"MMMM")</f>
        <v>January</v>
      </c>
      <c r="F487">
        <v>1</v>
      </c>
      <c r="G487">
        <v>7</v>
      </c>
      <c r="H487" t="b">
        <v>0</v>
      </c>
      <c r="I487" t="str">
        <f>TEXT(Append1[[#This Row],[dteday]],"DDDD")</f>
        <v>Saturday</v>
      </c>
      <c r="J487" t="str" cm="1">
        <f t="array" ref="J487">_xlfn.IFS(Append1[[#This Row],[weekday cnt]]=0,"Weekend",Append1[[#This Row],[weekday cnt]]=6,"Weekend",Append1[[#This Row],[weekday cnt]]&gt;0,"Weekday")</f>
        <v>Weekend</v>
      </c>
      <c r="K487">
        <v>6</v>
      </c>
      <c r="L487" t="str" cm="1">
        <f t="array" ref="L4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87">
        <v>1</v>
      </c>
      <c r="N487">
        <v>0.02</v>
      </c>
      <c r="O487">
        <v>485</v>
      </c>
      <c r="P487">
        <v>486</v>
      </c>
      <c r="Q487">
        <v>1.52E-2</v>
      </c>
      <c r="R487">
        <v>0.44</v>
      </c>
      <c r="S487">
        <v>0.28360000000000002</v>
      </c>
      <c r="T487">
        <v>0</v>
      </c>
      <c r="U487">
        <v>8</v>
      </c>
      <c r="V487">
        <v>8</v>
      </c>
    </row>
    <row r="488" spans="1:22" x14ac:dyDescent="0.3">
      <c r="A488">
        <v>487</v>
      </c>
      <c r="B488" s="1">
        <v>40565</v>
      </c>
      <c r="C488">
        <v>1</v>
      </c>
      <c r="D488">
        <v>0</v>
      </c>
      <c r="E488" t="str">
        <f>TEXT(Append1[[#This Row],[dteday]],"MMMM")</f>
        <v>January</v>
      </c>
      <c r="F488">
        <v>1</v>
      </c>
      <c r="G488">
        <v>8</v>
      </c>
      <c r="H488" t="b">
        <v>0</v>
      </c>
      <c r="I488" t="str">
        <f>TEXT(Append1[[#This Row],[dteday]],"DDDD")</f>
        <v>Saturday</v>
      </c>
      <c r="J488" t="str" cm="1">
        <f t="array" ref="J488">_xlfn.IFS(Append1[[#This Row],[weekday cnt]]=0,"Weekend",Append1[[#This Row],[weekday cnt]]=6,"Weekend",Append1[[#This Row],[weekday cnt]]&gt;0,"Weekday")</f>
        <v>Weekend</v>
      </c>
      <c r="K488">
        <v>6</v>
      </c>
      <c r="L488" t="str" cm="1">
        <f t="array" ref="L4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88">
        <v>1</v>
      </c>
      <c r="N488">
        <v>0.02</v>
      </c>
      <c r="O488">
        <v>486</v>
      </c>
      <c r="P488">
        <v>487</v>
      </c>
      <c r="Q488">
        <v>0</v>
      </c>
      <c r="R488">
        <v>0.44</v>
      </c>
      <c r="S488">
        <v>0.32840000000000003</v>
      </c>
      <c r="T488">
        <v>1</v>
      </c>
      <c r="U488">
        <v>26</v>
      </c>
      <c r="V488">
        <v>27</v>
      </c>
    </row>
    <row r="489" spans="1:22" x14ac:dyDescent="0.3">
      <c r="A489">
        <v>488</v>
      </c>
      <c r="B489" s="1">
        <v>40565</v>
      </c>
      <c r="C489">
        <v>1</v>
      </c>
      <c r="D489">
        <v>0</v>
      </c>
      <c r="E489" t="str">
        <f>TEXT(Append1[[#This Row],[dteday]],"MMMM")</f>
        <v>January</v>
      </c>
      <c r="F489">
        <v>1</v>
      </c>
      <c r="G489">
        <v>9</v>
      </c>
      <c r="H489" t="b">
        <v>0</v>
      </c>
      <c r="I489" t="str">
        <f>TEXT(Append1[[#This Row],[dteday]],"DDDD")</f>
        <v>Saturday</v>
      </c>
      <c r="J489" t="str" cm="1">
        <f t="array" ref="J489">_xlfn.IFS(Append1[[#This Row],[weekday cnt]]=0,"Weekend",Append1[[#This Row],[weekday cnt]]=6,"Weekend",Append1[[#This Row],[weekday cnt]]&gt;0,"Weekday")</f>
        <v>Weekend</v>
      </c>
      <c r="K489">
        <v>6</v>
      </c>
      <c r="L489" t="str" cm="1">
        <f t="array" ref="L4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89">
        <v>1</v>
      </c>
      <c r="N489">
        <v>0.04</v>
      </c>
      <c r="O489">
        <v>487</v>
      </c>
      <c r="P489">
        <v>488</v>
      </c>
      <c r="Q489">
        <v>3.0300000000000001E-2</v>
      </c>
      <c r="R489">
        <v>0.41</v>
      </c>
      <c r="S489">
        <v>0.25369999999999998</v>
      </c>
      <c r="T489">
        <v>3</v>
      </c>
      <c r="U489">
        <v>37</v>
      </c>
      <c r="V489">
        <v>40</v>
      </c>
    </row>
    <row r="490" spans="1:22" x14ac:dyDescent="0.3">
      <c r="A490">
        <v>489</v>
      </c>
      <c r="B490" s="1">
        <v>40565</v>
      </c>
      <c r="C490">
        <v>1</v>
      </c>
      <c r="D490">
        <v>0</v>
      </c>
      <c r="E490" t="str">
        <f>TEXT(Append1[[#This Row],[dteday]],"MMMM")</f>
        <v>January</v>
      </c>
      <c r="F490">
        <v>1</v>
      </c>
      <c r="G490">
        <v>10</v>
      </c>
      <c r="H490" t="b">
        <v>0</v>
      </c>
      <c r="I490" t="str">
        <f>TEXT(Append1[[#This Row],[dteday]],"DDDD")</f>
        <v>Saturday</v>
      </c>
      <c r="J490" t="str" cm="1">
        <f t="array" ref="J490">_xlfn.IFS(Append1[[#This Row],[weekday cnt]]=0,"Weekend",Append1[[#This Row],[weekday cnt]]=6,"Weekend",Append1[[#This Row],[weekday cnt]]&gt;0,"Weekday")</f>
        <v>Weekend</v>
      </c>
      <c r="K490">
        <v>6</v>
      </c>
      <c r="L490" t="str" cm="1">
        <f t="array" ref="L4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90">
        <v>2</v>
      </c>
      <c r="N490">
        <v>0.04</v>
      </c>
      <c r="O490">
        <v>488</v>
      </c>
      <c r="P490">
        <v>489</v>
      </c>
      <c r="Q490">
        <v>6.0600000000000001E-2</v>
      </c>
      <c r="R490">
        <v>0.41</v>
      </c>
      <c r="S490">
        <v>0.16420000000000001</v>
      </c>
      <c r="T490">
        <v>3</v>
      </c>
      <c r="U490">
        <v>50</v>
      </c>
      <c r="V490">
        <v>53</v>
      </c>
    </row>
    <row r="491" spans="1:22" x14ac:dyDescent="0.3">
      <c r="A491">
        <v>490</v>
      </c>
      <c r="B491" s="1">
        <v>40565</v>
      </c>
      <c r="C491">
        <v>1</v>
      </c>
      <c r="D491">
        <v>0</v>
      </c>
      <c r="E491" t="str">
        <f>TEXT(Append1[[#This Row],[dteday]],"MMMM")</f>
        <v>January</v>
      </c>
      <c r="F491">
        <v>1</v>
      </c>
      <c r="G491">
        <v>11</v>
      </c>
      <c r="H491" t="b">
        <v>0</v>
      </c>
      <c r="I491" t="str">
        <f>TEXT(Append1[[#This Row],[dteday]],"DDDD")</f>
        <v>Saturday</v>
      </c>
      <c r="J491" t="str" cm="1">
        <f t="array" ref="J491">_xlfn.IFS(Append1[[#This Row],[weekday cnt]]=0,"Weekend",Append1[[#This Row],[weekday cnt]]=6,"Weekend",Append1[[#This Row],[weekday cnt]]&gt;0,"Weekday")</f>
        <v>Weekend</v>
      </c>
      <c r="K491">
        <v>6</v>
      </c>
      <c r="L491" t="str" cm="1">
        <f t="array" ref="L4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91">
        <v>2</v>
      </c>
      <c r="N491">
        <v>0.06</v>
      </c>
      <c r="O491">
        <v>489</v>
      </c>
      <c r="P491">
        <v>490</v>
      </c>
      <c r="Q491">
        <v>7.5800000000000006E-2</v>
      </c>
      <c r="R491">
        <v>0.38</v>
      </c>
      <c r="S491">
        <v>0.1343</v>
      </c>
      <c r="T491">
        <v>4</v>
      </c>
      <c r="U491">
        <v>59</v>
      </c>
      <c r="V491">
        <v>63</v>
      </c>
    </row>
    <row r="492" spans="1:22" x14ac:dyDescent="0.3">
      <c r="A492">
        <v>491</v>
      </c>
      <c r="B492" s="1">
        <v>40565</v>
      </c>
      <c r="C492">
        <v>1</v>
      </c>
      <c r="D492">
        <v>0</v>
      </c>
      <c r="E492" t="str">
        <f>TEXT(Append1[[#This Row],[dteday]],"MMMM")</f>
        <v>January</v>
      </c>
      <c r="F492">
        <v>1</v>
      </c>
      <c r="G492">
        <v>12</v>
      </c>
      <c r="H492" t="b">
        <v>0</v>
      </c>
      <c r="I492" t="str">
        <f>TEXT(Append1[[#This Row],[dteday]],"DDDD")</f>
        <v>Saturday</v>
      </c>
      <c r="J492" t="str" cm="1">
        <f t="array" ref="J492">_xlfn.IFS(Append1[[#This Row],[weekday cnt]]=0,"Weekend",Append1[[#This Row],[weekday cnt]]=6,"Weekend",Append1[[#This Row],[weekday cnt]]&gt;0,"Weekday")</f>
        <v>Weekend</v>
      </c>
      <c r="K492">
        <v>6</v>
      </c>
      <c r="L492" t="str" cm="1">
        <f t="array" ref="L4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492">
        <v>2</v>
      </c>
      <c r="N492">
        <v>0.06</v>
      </c>
      <c r="O492">
        <v>490</v>
      </c>
      <c r="P492">
        <v>491</v>
      </c>
      <c r="Q492">
        <v>0.1061</v>
      </c>
      <c r="R492">
        <v>0.38</v>
      </c>
      <c r="S492">
        <v>0.1045</v>
      </c>
      <c r="T492">
        <v>10</v>
      </c>
      <c r="U492">
        <v>60</v>
      </c>
      <c r="V492">
        <v>70</v>
      </c>
    </row>
    <row r="493" spans="1:22" x14ac:dyDescent="0.3">
      <c r="A493">
        <v>492</v>
      </c>
      <c r="B493" s="1">
        <v>40565</v>
      </c>
      <c r="C493">
        <v>1</v>
      </c>
      <c r="D493">
        <v>0</v>
      </c>
      <c r="E493" t="str">
        <f>TEXT(Append1[[#This Row],[dteday]],"MMMM")</f>
        <v>January</v>
      </c>
      <c r="F493">
        <v>1</v>
      </c>
      <c r="G493">
        <v>13</v>
      </c>
      <c r="H493" t="b">
        <v>0</v>
      </c>
      <c r="I493" t="str">
        <f>TEXT(Append1[[#This Row],[dteday]],"DDDD")</f>
        <v>Saturday</v>
      </c>
      <c r="J493" t="str" cm="1">
        <f t="array" ref="J493">_xlfn.IFS(Append1[[#This Row],[weekday cnt]]=0,"Weekend",Append1[[#This Row],[weekday cnt]]=6,"Weekend",Append1[[#This Row],[weekday cnt]]&gt;0,"Weekday")</f>
        <v>Weekend</v>
      </c>
      <c r="K493">
        <v>6</v>
      </c>
      <c r="L493" t="str" cm="1">
        <f t="array" ref="L4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93">
        <v>1</v>
      </c>
      <c r="N493">
        <v>0.08</v>
      </c>
      <c r="O493">
        <v>491</v>
      </c>
      <c r="P493">
        <v>492</v>
      </c>
      <c r="Q493">
        <v>0.16669999999999999</v>
      </c>
      <c r="R493">
        <v>0.35</v>
      </c>
      <c r="S493">
        <v>0</v>
      </c>
      <c r="T493">
        <v>12</v>
      </c>
      <c r="U493">
        <v>72</v>
      </c>
      <c r="V493">
        <v>84</v>
      </c>
    </row>
    <row r="494" spans="1:22" x14ac:dyDescent="0.3">
      <c r="A494">
        <v>493</v>
      </c>
      <c r="B494" s="1">
        <v>40565</v>
      </c>
      <c r="C494">
        <v>1</v>
      </c>
      <c r="D494">
        <v>0</v>
      </c>
      <c r="E494" t="str">
        <f>TEXT(Append1[[#This Row],[dteday]],"MMMM")</f>
        <v>January</v>
      </c>
      <c r="F494">
        <v>1</v>
      </c>
      <c r="G494">
        <v>14</v>
      </c>
      <c r="H494" t="b">
        <v>0</v>
      </c>
      <c r="I494" t="str">
        <f>TEXT(Append1[[#This Row],[dteday]],"DDDD")</f>
        <v>Saturday</v>
      </c>
      <c r="J494" t="str" cm="1">
        <f t="array" ref="J494">_xlfn.IFS(Append1[[#This Row],[weekday cnt]]=0,"Weekend",Append1[[#This Row],[weekday cnt]]=6,"Weekend",Append1[[#This Row],[weekday cnt]]&gt;0,"Weekday")</f>
        <v>Weekend</v>
      </c>
      <c r="K494">
        <v>6</v>
      </c>
      <c r="L494" t="str" cm="1">
        <f t="array" ref="L4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94">
        <v>1</v>
      </c>
      <c r="N494">
        <v>0.1</v>
      </c>
      <c r="O494">
        <v>492</v>
      </c>
      <c r="P494">
        <v>493</v>
      </c>
      <c r="Q494">
        <v>0.13639999999999999</v>
      </c>
      <c r="R494">
        <v>0.33</v>
      </c>
      <c r="S494">
        <v>0.1045</v>
      </c>
      <c r="T494">
        <v>11</v>
      </c>
      <c r="U494">
        <v>64</v>
      </c>
      <c r="V494">
        <v>75</v>
      </c>
    </row>
    <row r="495" spans="1:22" x14ac:dyDescent="0.3">
      <c r="A495">
        <v>494</v>
      </c>
      <c r="B495" s="1">
        <v>40565</v>
      </c>
      <c r="C495">
        <v>1</v>
      </c>
      <c r="D495">
        <v>0</v>
      </c>
      <c r="E495" t="str">
        <f>TEXT(Append1[[#This Row],[dteday]],"MMMM")</f>
        <v>January</v>
      </c>
      <c r="F495">
        <v>1</v>
      </c>
      <c r="G495">
        <v>15</v>
      </c>
      <c r="H495" t="b">
        <v>0</v>
      </c>
      <c r="I495" t="str">
        <f>TEXT(Append1[[#This Row],[dteday]],"DDDD")</f>
        <v>Saturday</v>
      </c>
      <c r="J495" t="str" cm="1">
        <f t="array" ref="J495">_xlfn.IFS(Append1[[#This Row],[weekday cnt]]=0,"Weekend",Append1[[#This Row],[weekday cnt]]=6,"Weekend",Append1[[#This Row],[weekday cnt]]&gt;0,"Weekday")</f>
        <v>Weekend</v>
      </c>
      <c r="K495">
        <v>6</v>
      </c>
      <c r="L495" t="str" cm="1">
        <f t="array" ref="L4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95">
        <v>1</v>
      </c>
      <c r="N495">
        <v>0.12</v>
      </c>
      <c r="O495">
        <v>493</v>
      </c>
      <c r="P495">
        <v>494</v>
      </c>
      <c r="Q495">
        <v>0.1515</v>
      </c>
      <c r="R495">
        <v>0.28000000000000003</v>
      </c>
      <c r="S495">
        <v>0</v>
      </c>
      <c r="T495">
        <v>10</v>
      </c>
      <c r="U495">
        <v>93</v>
      </c>
      <c r="V495">
        <v>103</v>
      </c>
    </row>
    <row r="496" spans="1:22" x14ac:dyDescent="0.3">
      <c r="A496">
        <v>495</v>
      </c>
      <c r="B496" s="1">
        <v>40565</v>
      </c>
      <c r="C496">
        <v>1</v>
      </c>
      <c r="D496">
        <v>0</v>
      </c>
      <c r="E496" t="str">
        <f>TEXT(Append1[[#This Row],[dteday]],"MMMM")</f>
        <v>January</v>
      </c>
      <c r="F496">
        <v>1</v>
      </c>
      <c r="G496">
        <v>16</v>
      </c>
      <c r="H496" t="b">
        <v>0</v>
      </c>
      <c r="I496" t="str">
        <f>TEXT(Append1[[#This Row],[dteday]],"DDDD")</f>
        <v>Saturday</v>
      </c>
      <c r="J496" t="str" cm="1">
        <f t="array" ref="J496">_xlfn.IFS(Append1[[#This Row],[weekday cnt]]=0,"Weekend",Append1[[#This Row],[weekday cnt]]=6,"Weekend",Append1[[#This Row],[weekday cnt]]&gt;0,"Weekday")</f>
        <v>Weekend</v>
      </c>
      <c r="K496">
        <v>6</v>
      </c>
      <c r="L496" t="str" cm="1">
        <f t="array" ref="L4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96">
        <v>1</v>
      </c>
      <c r="N496">
        <v>0.12</v>
      </c>
      <c r="O496">
        <v>494</v>
      </c>
      <c r="P496">
        <v>495</v>
      </c>
      <c r="Q496">
        <v>0.13639999999999999</v>
      </c>
      <c r="R496">
        <v>0.28000000000000003</v>
      </c>
      <c r="S496">
        <v>0.19400000000000001</v>
      </c>
      <c r="T496">
        <v>11</v>
      </c>
      <c r="U496">
        <v>72</v>
      </c>
      <c r="V496">
        <v>83</v>
      </c>
    </row>
    <row r="497" spans="1:22" x14ac:dyDescent="0.3">
      <c r="A497">
        <v>496</v>
      </c>
      <c r="B497" s="1">
        <v>40565</v>
      </c>
      <c r="C497">
        <v>1</v>
      </c>
      <c r="D497">
        <v>0</v>
      </c>
      <c r="E497" t="str">
        <f>TEXT(Append1[[#This Row],[dteday]],"MMMM")</f>
        <v>January</v>
      </c>
      <c r="F497">
        <v>1</v>
      </c>
      <c r="G497">
        <v>17</v>
      </c>
      <c r="H497" t="b">
        <v>0</v>
      </c>
      <c r="I497" t="str">
        <f>TEXT(Append1[[#This Row],[dteday]],"DDDD")</f>
        <v>Saturday</v>
      </c>
      <c r="J497" t="str" cm="1">
        <f t="array" ref="J497">_xlfn.IFS(Append1[[#This Row],[weekday cnt]]=0,"Weekend",Append1[[#This Row],[weekday cnt]]=6,"Weekend",Append1[[#This Row],[weekday cnt]]&gt;0,"Weekday")</f>
        <v>Weekend</v>
      </c>
      <c r="K497">
        <v>6</v>
      </c>
      <c r="L497" t="str" cm="1">
        <f t="array" ref="L4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97">
        <v>1</v>
      </c>
      <c r="N497">
        <v>0.12</v>
      </c>
      <c r="O497">
        <v>495</v>
      </c>
      <c r="P497">
        <v>496</v>
      </c>
      <c r="Q497">
        <v>0.19700000000000001</v>
      </c>
      <c r="R497">
        <v>0.28000000000000003</v>
      </c>
      <c r="S497">
        <v>0</v>
      </c>
      <c r="T497">
        <v>8</v>
      </c>
      <c r="U497">
        <v>59</v>
      </c>
      <c r="V497">
        <v>67</v>
      </c>
    </row>
    <row r="498" spans="1:22" x14ac:dyDescent="0.3">
      <c r="A498">
        <v>497</v>
      </c>
      <c r="B498" s="1">
        <v>40565</v>
      </c>
      <c r="C498">
        <v>1</v>
      </c>
      <c r="D498">
        <v>0</v>
      </c>
      <c r="E498" t="str">
        <f>TEXT(Append1[[#This Row],[dteday]],"MMMM")</f>
        <v>January</v>
      </c>
      <c r="F498">
        <v>1</v>
      </c>
      <c r="G498">
        <v>18</v>
      </c>
      <c r="H498" t="b">
        <v>0</v>
      </c>
      <c r="I498" t="str">
        <f>TEXT(Append1[[#This Row],[dteday]],"DDDD")</f>
        <v>Saturday</v>
      </c>
      <c r="J498" t="str" cm="1">
        <f t="array" ref="J498">_xlfn.IFS(Append1[[#This Row],[weekday cnt]]=0,"Weekend",Append1[[#This Row],[weekday cnt]]=6,"Weekend",Append1[[#This Row],[weekday cnt]]&gt;0,"Weekday")</f>
        <v>Weekend</v>
      </c>
      <c r="K498">
        <v>6</v>
      </c>
      <c r="L498" t="str" cm="1">
        <f t="array" ref="L4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98">
        <v>1</v>
      </c>
      <c r="N498">
        <v>0.08</v>
      </c>
      <c r="O498">
        <v>496</v>
      </c>
      <c r="P498">
        <v>497</v>
      </c>
      <c r="Q498">
        <v>9.0899999999999995E-2</v>
      </c>
      <c r="R498">
        <v>0.35</v>
      </c>
      <c r="S498">
        <v>0.19400000000000001</v>
      </c>
      <c r="T498">
        <v>0</v>
      </c>
      <c r="U498">
        <v>54</v>
      </c>
      <c r="V498">
        <v>54</v>
      </c>
    </row>
    <row r="499" spans="1:22" x14ac:dyDescent="0.3">
      <c r="A499">
        <v>498</v>
      </c>
      <c r="B499" s="1">
        <v>40565</v>
      </c>
      <c r="C499">
        <v>1</v>
      </c>
      <c r="D499">
        <v>0</v>
      </c>
      <c r="E499" t="str">
        <f>TEXT(Append1[[#This Row],[dteday]],"MMMM")</f>
        <v>January</v>
      </c>
      <c r="F499">
        <v>1</v>
      </c>
      <c r="G499">
        <v>19</v>
      </c>
      <c r="H499" t="b">
        <v>0</v>
      </c>
      <c r="I499" t="str">
        <f>TEXT(Append1[[#This Row],[dteday]],"DDDD")</f>
        <v>Saturday</v>
      </c>
      <c r="J499" t="str" cm="1">
        <f t="array" ref="J499">_xlfn.IFS(Append1[[#This Row],[weekday cnt]]=0,"Weekend",Append1[[#This Row],[weekday cnt]]=6,"Weekend",Append1[[#This Row],[weekday cnt]]&gt;0,"Weekday")</f>
        <v>Weekend</v>
      </c>
      <c r="K499">
        <v>6</v>
      </c>
      <c r="L499" t="str" cm="1">
        <f t="array" ref="L4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499">
        <v>1</v>
      </c>
      <c r="N499">
        <v>0.08</v>
      </c>
      <c r="O499">
        <v>497</v>
      </c>
      <c r="P499">
        <v>498</v>
      </c>
      <c r="Q499">
        <v>0.1061</v>
      </c>
      <c r="R499">
        <v>0.35</v>
      </c>
      <c r="S499">
        <v>0.1343</v>
      </c>
      <c r="T499">
        <v>6</v>
      </c>
      <c r="U499">
        <v>53</v>
      </c>
      <c r="V499">
        <v>59</v>
      </c>
    </row>
    <row r="500" spans="1:22" x14ac:dyDescent="0.3">
      <c r="A500">
        <v>499</v>
      </c>
      <c r="B500" s="1">
        <v>40565</v>
      </c>
      <c r="C500">
        <v>1</v>
      </c>
      <c r="D500">
        <v>0</v>
      </c>
      <c r="E500" t="str">
        <f>TEXT(Append1[[#This Row],[dteday]],"MMMM")</f>
        <v>January</v>
      </c>
      <c r="F500">
        <v>1</v>
      </c>
      <c r="G500">
        <v>20</v>
      </c>
      <c r="H500" t="b">
        <v>0</v>
      </c>
      <c r="I500" t="str">
        <f>TEXT(Append1[[#This Row],[dteday]],"DDDD")</f>
        <v>Saturday</v>
      </c>
      <c r="J500" t="str" cm="1">
        <f t="array" ref="J500">_xlfn.IFS(Append1[[#This Row],[weekday cnt]]=0,"Weekend",Append1[[#This Row],[weekday cnt]]=6,"Weekend",Append1[[#This Row],[weekday cnt]]&gt;0,"Weekday")</f>
        <v>Weekend</v>
      </c>
      <c r="K500">
        <v>6</v>
      </c>
      <c r="L500" t="str" cm="1">
        <f t="array" ref="L5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00">
        <v>1</v>
      </c>
      <c r="N500">
        <v>0.06</v>
      </c>
      <c r="O500">
        <v>498</v>
      </c>
      <c r="P500">
        <v>499</v>
      </c>
      <c r="Q500">
        <v>7.5800000000000006E-2</v>
      </c>
      <c r="R500">
        <v>0.45</v>
      </c>
      <c r="S500">
        <v>0.16420000000000001</v>
      </c>
      <c r="T500">
        <v>1</v>
      </c>
      <c r="U500">
        <v>44</v>
      </c>
      <c r="V500">
        <v>45</v>
      </c>
    </row>
    <row r="501" spans="1:22" x14ac:dyDescent="0.3">
      <c r="A501">
        <v>500</v>
      </c>
      <c r="B501" s="1">
        <v>40565</v>
      </c>
      <c r="C501">
        <v>1</v>
      </c>
      <c r="D501">
        <v>0</v>
      </c>
      <c r="E501" t="str">
        <f>TEXT(Append1[[#This Row],[dteday]],"MMMM")</f>
        <v>January</v>
      </c>
      <c r="F501">
        <v>1</v>
      </c>
      <c r="G501">
        <v>21</v>
      </c>
      <c r="H501" t="b">
        <v>0</v>
      </c>
      <c r="I501" t="str">
        <f>TEXT(Append1[[#This Row],[dteday]],"DDDD")</f>
        <v>Saturday</v>
      </c>
      <c r="J501" t="str" cm="1">
        <f t="array" ref="J501">_xlfn.IFS(Append1[[#This Row],[weekday cnt]]=0,"Weekend",Append1[[#This Row],[weekday cnt]]=6,"Weekend",Append1[[#This Row],[weekday cnt]]&gt;0,"Weekday")</f>
        <v>Weekend</v>
      </c>
      <c r="K501">
        <v>6</v>
      </c>
      <c r="L501" t="str" cm="1">
        <f t="array" ref="L5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01">
        <v>1</v>
      </c>
      <c r="N501">
        <v>0.06</v>
      </c>
      <c r="O501">
        <v>499</v>
      </c>
      <c r="P501">
        <v>500</v>
      </c>
      <c r="Q501">
        <v>0.1061</v>
      </c>
      <c r="R501">
        <v>0.41</v>
      </c>
      <c r="S501">
        <v>8.9599999999999999E-2</v>
      </c>
      <c r="T501">
        <v>0</v>
      </c>
      <c r="U501">
        <v>39</v>
      </c>
      <c r="V501">
        <v>39</v>
      </c>
    </row>
    <row r="502" spans="1:22" x14ac:dyDescent="0.3">
      <c r="A502">
        <v>501</v>
      </c>
      <c r="B502" s="1">
        <v>40565</v>
      </c>
      <c r="C502">
        <v>1</v>
      </c>
      <c r="D502">
        <v>0</v>
      </c>
      <c r="E502" t="str">
        <f>TEXT(Append1[[#This Row],[dteday]],"MMMM")</f>
        <v>January</v>
      </c>
      <c r="F502">
        <v>1</v>
      </c>
      <c r="G502">
        <v>22</v>
      </c>
      <c r="H502" t="b">
        <v>0</v>
      </c>
      <c r="I502" t="str">
        <f>TEXT(Append1[[#This Row],[dteday]],"DDDD")</f>
        <v>Saturday</v>
      </c>
      <c r="J502" t="str" cm="1">
        <f t="array" ref="J502">_xlfn.IFS(Append1[[#This Row],[weekday cnt]]=0,"Weekend",Append1[[#This Row],[weekday cnt]]=6,"Weekend",Append1[[#This Row],[weekday cnt]]&gt;0,"Weekday")</f>
        <v>Weekend</v>
      </c>
      <c r="K502">
        <v>6</v>
      </c>
      <c r="L502" t="str" cm="1">
        <f t="array" ref="L50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02">
        <v>1</v>
      </c>
      <c r="N502">
        <v>0.06</v>
      </c>
      <c r="O502">
        <v>500</v>
      </c>
      <c r="P502">
        <v>501</v>
      </c>
      <c r="Q502">
        <v>0.1515</v>
      </c>
      <c r="R502">
        <v>0.49</v>
      </c>
      <c r="S502">
        <v>0</v>
      </c>
      <c r="T502">
        <v>7</v>
      </c>
      <c r="U502">
        <v>23</v>
      </c>
      <c r="V502">
        <v>30</v>
      </c>
    </row>
    <row r="503" spans="1:22" x14ac:dyDescent="0.3">
      <c r="A503">
        <v>502</v>
      </c>
      <c r="B503" s="1">
        <v>40565</v>
      </c>
      <c r="C503">
        <v>1</v>
      </c>
      <c r="D503">
        <v>0</v>
      </c>
      <c r="E503" t="str">
        <f>TEXT(Append1[[#This Row],[dteday]],"MMMM")</f>
        <v>January</v>
      </c>
      <c r="F503">
        <v>1</v>
      </c>
      <c r="G503">
        <v>23</v>
      </c>
      <c r="H503" t="b">
        <v>0</v>
      </c>
      <c r="I503" t="str">
        <f>TEXT(Append1[[#This Row],[dteday]],"DDDD")</f>
        <v>Saturday</v>
      </c>
      <c r="J503" t="str" cm="1">
        <f t="array" ref="J503">_xlfn.IFS(Append1[[#This Row],[weekday cnt]]=0,"Weekend",Append1[[#This Row],[weekday cnt]]=6,"Weekend",Append1[[#This Row],[weekday cnt]]&gt;0,"Weekday")</f>
        <v>Weekend</v>
      </c>
      <c r="K503">
        <v>6</v>
      </c>
      <c r="L503" t="str" cm="1">
        <f t="array" ref="L50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03">
        <v>1</v>
      </c>
      <c r="N503">
        <v>0.04</v>
      </c>
      <c r="O503">
        <v>501</v>
      </c>
      <c r="P503">
        <v>502</v>
      </c>
      <c r="Q503">
        <v>7.5800000000000006E-2</v>
      </c>
      <c r="R503">
        <v>0.56999999999999995</v>
      </c>
      <c r="S503">
        <v>0.1045</v>
      </c>
      <c r="T503">
        <v>2</v>
      </c>
      <c r="U503">
        <v>31</v>
      </c>
      <c r="V503">
        <v>33</v>
      </c>
    </row>
    <row r="504" spans="1:22" x14ac:dyDescent="0.3">
      <c r="A504">
        <v>503</v>
      </c>
      <c r="B504" s="1">
        <v>40566</v>
      </c>
      <c r="C504">
        <v>1</v>
      </c>
      <c r="D504">
        <v>0</v>
      </c>
      <c r="E504" t="str">
        <f>TEXT(Append1[[#This Row],[dteday]],"MMMM")</f>
        <v>January</v>
      </c>
      <c r="F504">
        <v>1</v>
      </c>
      <c r="G504">
        <v>0</v>
      </c>
      <c r="H504" t="b">
        <v>0</v>
      </c>
      <c r="I504" t="str">
        <f>TEXT(Append1[[#This Row],[dteday]],"DDDD")</f>
        <v>Sunday</v>
      </c>
      <c r="J504" t="str" cm="1">
        <f t="array" ref="J504">_xlfn.IFS(Append1[[#This Row],[weekday cnt]]=0,"Weekend",Append1[[#This Row],[weekday cnt]]=6,"Weekend",Append1[[#This Row],[weekday cnt]]&gt;0,"Weekday")</f>
        <v>Weekend</v>
      </c>
      <c r="K504">
        <v>0</v>
      </c>
      <c r="L504" t="str" cm="1">
        <f t="array" ref="L50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04">
        <v>1</v>
      </c>
      <c r="N504">
        <v>0.04</v>
      </c>
      <c r="O504">
        <v>502</v>
      </c>
      <c r="P504">
        <v>503</v>
      </c>
      <c r="Q504">
        <v>7.5800000000000006E-2</v>
      </c>
      <c r="R504">
        <v>0.56999999999999995</v>
      </c>
      <c r="S504">
        <v>0.1045</v>
      </c>
      <c r="T504">
        <v>2</v>
      </c>
      <c r="U504">
        <v>20</v>
      </c>
      <c r="V504">
        <v>22</v>
      </c>
    </row>
    <row r="505" spans="1:22" x14ac:dyDescent="0.3">
      <c r="A505">
        <v>504</v>
      </c>
      <c r="B505" s="1">
        <v>40566</v>
      </c>
      <c r="C505">
        <v>1</v>
      </c>
      <c r="D505">
        <v>0</v>
      </c>
      <c r="E505" t="str">
        <f>TEXT(Append1[[#This Row],[dteday]],"MMMM")</f>
        <v>January</v>
      </c>
      <c r="F505">
        <v>1</v>
      </c>
      <c r="G505">
        <v>1</v>
      </c>
      <c r="H505" t="b">
        <v>0</v>
      </c>
      <c r="I505" t="str">
        <f>TEXT(Append1[[#This Row],[dteday]],"DDDD")</f>
        <v>Sunday</v>
      </c>
      <c r="J505" t="str" cm="1">
        <f t="array" ref="J505">_xlfn.IFS(Append1[[#This Row],[weekday cnt]]=0,"Weekend",Append1[[#This Row],[weekday cnt]]=6,"Weekend",Append1[[#This Row],[weekday cnt]]&gt;0,"Weekday")</f>
        <v>Weekend</v>
      </c>
      <c r="K505">
        <v>0</v>
      </c>
      <c r="L505" t="str" cm="1">
        <f t="array" ref="L50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05">
        <v>1</v>
      </c>
      <c r="N505">
        <v>0.04</v>
      </c>
      <c r="O505">
        <v>503</v>
      </c>
      <c r="P505">
        <v>504</v>
      </c>
      <c r="Q505">
        <v>7.5800000000000006E-2</v>
      </c>
      <c r="R505">
        <v>0.56999999999999995</v>
      </c>
      <c r="S505">
        <v>0.1045</v>
      </c>
      <c r="T505">
        <v>1</v>
      </c>
      <c r="U505">
        <v>12</v>
      </c>
      <c r="V505">
        <v>13</v>
      </c>
    </row>
    <row r="506" spans="1:22" x14ac:dyDescent="0.3">
      <c r="A506">
        <v>505</v>
      </c>
      <c r="B506" s="1">
        <v>40566</v>
      </c>
      <c r="C506">
        <v>1</v>
      </c>
      <c r="D506">
        <v>0</v>
      </c>
      <c r="E506" t="str">
        <f>TEXT(Append1[[#This Row],[dteday]],"MMMM")</f>
        <v>January</v>
      </c>
      <c r="F506">
        <v>1</v>
      </c>
      <c r="G506">
        <v>2</v>
      </c>
      <c r="H506" t="b">
        <v>0</v>
      </c>
      <c r="I506" t="str">
        <f>TEXT(Append1[[#This Row],[dteday]],"DDDD")</f>
        <v>Sunday</v>
      </c>
      <c r="J506" t="str" cm="1">
        <f t="array" ref="J506">_xlfn.IFS(Append1[[#This Row],[weekday cnt]]=0,"Weekend",Append1[[#This Row],[weekday cnt]]=6,"Weekend",Append1[[#This Row],[weekday cnt]]&gt;0,"Weekday")</f>
        <v>Weekend</v>
      </c>
      <c r="K506">
        <v>0</v>
      </c>
      <c r="L506" t="str" cm="1">
        <f t="array" ref="L50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06">
        <v>1</v>
      </c>
      <c r="N506">
        <v>0.02</v>
      </c>
      <c r="O506">
        <v>504</v>
      </c>
      <c r="P506">
        <v>505</v>
      </c>
      <c r="Q506">
        <v>6.0600000000000001E-2</v>
      </c>
      <c r="R506">
        <v>0.62</v>
      </c>
      <c r="S506">
        <v>0.1343</v>
      </c>
      <c r="T506">
        <v>3</v>
      </c>
      <c r="U506">
        <v>15</v>
      </c>
      <c r="V506">
        <v>18</v>
      </c>
    </row>
    <row r="507" spans="1:22" x14ac:dyDescent="0.3">
      <c r="A507">
        <v>506</v>
      </c>
      <c r="B507" s="1">
        <v>40566</v>
      </c>
      <c r="C507">
        <v>1</v>
      </c>
      <c r="D507">
        <v>0</v>
      </c>
      <c r="E507" t="str">
        <f>TEXT(Append1[[#This Row],[dteday]],"MMMM")</f>
        <v>January</v>
      </c>
      <c r="F507">
        <v>1</v>
      </c>
      <c r="G507">
        <v>3</v>
      </c>
      <c r="H507" t="b">
        <v>0</v>
      </c>
      <c r="I507" t="str">
        <f>TEXT(Append1[[#This Row],[dteday]],"DDDD")</f>
        <v>Sunday</v>
      </c>
      <c r="J507" t="str" cm="1">
        <f t="array" ref="J507">_xlfn.IFS(Append1[[#This Row],[weekday cnt]]=0,"Weekend",Append1[[#This Row],[weekday cnt]]=6,"Weekend",Append1[[#This Row],[weekday cnt]]&gt;0,"Weekday")</f>
        <v>Weekend</v>
      </c>
      <c r="K507">
        <v>0</v>
      </c>
      <c r="L507" t="str" cm="1">
        <f t="array" ref="L50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07">
        <v>1</v>
      </c>
      <c r="N507">
        <v>0.02</v>
      </c>
      <c r="O507">
        <v>505</v>
      </c>
      <c r="P507">
        <v>506</v>
      </c>
      <c r="Q507">
        <v>6.0600000000000001E-2</v>
      </c>
      <c r="R507">
        <v>0.62</v>
      </c>
      <c r="S507">
        <v>0.1343</v>
      </c>
      <c r="T507">
        <v>1</v>
      </c>
      <c r="U507">
        <v>4</v>
      </c>
      <c r="V507">
        <v>5</v>
      </c>
    </row>
    <row r="508" spans="1:22" x14ac:dyDescent="0.3">
      <c r="A508">
        <v>507</v>
      </c>
      <c r="B508" s="1">
        <v>40566</v>
      </c>
      <c r="C508">
        <v>1</v>
      </c>
      <c r="D508">
        <v>0</v>
      </c>
      <c r="E508" t="str">
        <f>TEXT(Append1[[#This Row],[dteday]],"MMMM")</f>
        <v>January</v>
      </c>
      <c r="F508">
        <v>1</v>
      </c>
      <c r="G508">
        <v>5</v>
      </c>
      <c r="H508" t="b">
        <v>0</v>
      </c>
      <c r="I508" t="str">
        <f>TEXT(Append1[[#This Row],[dteday]],"DDDD")</f>
        <v>Sunday</v>
      </c>
      <c r="J508" t="str" cm="1">
        <f t="array" ref="J508">_xlfn.IFS(Append1[[#This Row],[weekday cnt]]=0,"Weekend",Append1[[#This Row],[weekday cnt]]=6,"Weekend",Append1[[#This Row],[weekday cnt]]&gt;0,"Weekday")</f>
        <v>Weekend</v>
      </c>
      <c r="K508">
        <v>0</v>
      </c>
      <c r="L508" t="str" cm="1">
        <f t="array" ref="L50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08">
        <v>2</v>
      </c>
      <c r="N508">
        <v>0.04</v>
      </c>
      <c r="O508">
        <v>506</v>
      </c>
      <c r="P508">
        <v>507</v>
      </c>
      <c r="Q508">
        <v>7.5800000000000006E-2</v>
      </c>
      <c r="R508">
        <v>0.56999999999999995</v>
      </c>
      <c r="S508">
        <v>0.1045</v>
      </c>
      <c r="T508">
        <v>0</v>
      </c>
      <c r="U508">
        <v>3</v>
      </c>
      <c r="V508">
        <v>3</v>
      </c>
    </row>
    <row r="509" spans="1:22" x14ac:dyDescent="0.3">
      <c r="A509">
        <v>508</v>
      </c>
      <c r="B509" s="1">
        <v>40566</v>
      </c>
      <c r="C509">
        <v>1</v>
      </c>
      <c r="D509">
        <v>0</v>
      </c>
      <c r="E509" t="str">
        <f>TEXT(Append1[[#This Row],[dteday]],"MMMM")</f>
        <v>January</v>
      </c>
      <c r="F509">
        <v>1</v>
      </c>
      <c r="G509">
        <v>6</v>
      </c>
      <c r="H509" t="b">
        <v>0</v>
      </c>
      <c r="I509" t="str">
        <f>TEXT(Append1[[#This Row],[dteday]],"DDDD")</f>
        <v>Sunday</v>
      </c>
      <c r="J509" t="str" cm="1">
        <f t="array" ref="J509">_xlfn.IFS(Append1[[#This Row],[weekday cnt]]=0,"Weekend",Append1[[#This Row],[weekday cnt]]=6,"Weekend",Append1[[#This Row],[weekday cnt]]&gt;0,"Weekday")</f>
        <v>Weekend</v>
      </c>
      <c r="K509">
        <v>0</v>
      </c>
      <c r="L509" t="str" cm="1">
        <f t="array" ref="L50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09">
        <v>2</v>
      </c>
      <c r="N509">
        <v>0.04</v>
      </c>
      <c r="O509">
        <v>507</v>
      </c>
      <c r="P509">
        <v>508</v>
      </c>
      <c r="Q509">
        <v>7.5800000000000006E-2</v>
      </c>
      <c r="R509">
        <v>0.56999999999999995</v>
      </c>
      <c r="S509">
        <v>0.1045</v>
      </c>
      <c r="T509">
        <v>0</v>
      </c>
      <c r="U509">
        <v>1</v>
      </c>
      <c r="V509">
        <v>1</v>
      </c>
    </row>
    <row r="510" spans="1:22" x14ac:dyDescent="0.3">
      <c r="A510">
        <v>509</v>
      </c>
      <c r="B510" s="1">
        <v>40566</v>
      </c>
      <c r="C510">
        <v>1</v>
      </c>
      <c r="D510">
        <v>0</v>
      </c>
      <c r="E510" t="str">
        <f>TEXT(Append1[[#This Row],[dteday]],"MMMM")</f>
        <v>January</v>
      </c>
      <c r="F510">
        <v>1</v>
      </c>
      <c r="G510">
        <v>7</v>
      </c>
      <c r="H510" t="b">
        <v>0</v>
      </c>
      <c r="I510" t="str">
        <f>TEXT(Append1[[#This Row],[dteday]],"DDDD")</f>
        <v>Sunday</v>
      </c>
      <c r="J510" t="str" cm="1">
        <f t="array" ref="J510">_xlfn.IFS(Append1[[#This Row],[weekday cnt]]=0,"Weekend",Append1[[#This Row],[weekday cnt]]=6,"Weekend",Append1[[#This Row],[weekday cnt]]&gt;0,"Weekday")</f>
        <v>Weekend</v>
      </c>
      <c r="K510">
        <v>0</v>
      </c>
      <c r="L510" t="str" cm="1">
        <f t="array" ref="L5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0">
        <v>1</v>
      </c>
      <c r="N510">
        <v>0.08</v>
      </c>
      <c r="O510">
        <v>508</v>
      </c>
      <c r="P510">
        <v>509</v>
      </c>
      <c r="Q510">
        <v>0.1061</v>
      </c>
      <c r="R510">
        <v>0.57999999999999996</v>
      </c>
      <c r="S510">
        <v>0.16420000000000001</v>
      </c>
      <c r="T510">
        <v>1</v>
      </c>
      <c r="U510">
        <v>1</v>
      </c>
      <c r="V510">
        <v>2</v>
      </c>
    </row>
    <row r="511" spans="1:22" x14ac:dyDescent="0.3">
      <c r="A511">
        <v>510</v>
      </c>
      <c r="B511" s="1">
        <v>40566</v>
      </c>
      <c r="C511">
        <v>1</v>
      </c>
      <c r="D511">
        <v>0</v>
      </c>
      <c r="E511" t="str">
        <f>TEXT(Append1[[#This Row],[dteday]],"MMMM")</f>
        <v>January</v>
      </c>
      <c r="F511">
        <v>1</v>
      </c>
      <c r="G511">
        <v>8</v>
      </c>
      <c r="H511" t="b">
        <v>0</v>
      </c>
      <c r="I511" t="str">
        <f>TEXT(Append1[[#This Row],[dteday]],"DDDD")</f>
        <v>Sunday</v>
      </c>
      <c r="J511" t="str" cm="1">
        <f t="array" ref="J511">_xlfn.IFS(Append1[[#This Row],[weekday cnt]]=0,"Weekend",Append1[[#This Row],[weekday cnt]]=6,"Weekend",Append1[[#This Row],[weekday cnt]]&gt;0,"Weekday")</f>
        <v>Weekend</v>
      </c>
      <c r="K511">
        <v>0</v>
      </c>
      <c r="L511" t="str" cm="1">
        <f t="array" ref="L5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1">
        <v>1</v>
      </c>
      <c r="N511">
        <v>0.06</v>
      </c>
      <c r="O511">
        <v>509</v>
      </c>
      <c r="P511">
        <v>510</v>
      </c>
      <c r="Q511">
        <v>7.5800000000000006E-2</v>
      </c>
      <c r="R511">
        <v>0.62</v>
      </c>
      <c r="S511">
        <v>0.16420000000000001</v>
      </c>
      <c r="T511">
        <v>2</v>
      </c>
      <c r="U511">
        <v>17</v>
      </c>
      <c r="V511">
        <v>19</v>
      </c>
    </row>
    <row r="512" spans="1:22" x14ac:dyDescent="0.3">
      <c r="A512">
        <v>511</v>
      </c>
      <c r="B512" s="1">
        <v>40566</v>
      </c>
      <c r="C512">
        <v>1</v>
      </c>
      <c r="D512">
        <v>0</v>
      </c>
      <c r="E512" t="str">
        <f>TEXT(Append1[[#This Row],[dteday]],"MMMM")</f>
        <v>January</v>
      </c>
      <c r="F512">
        <v>1</v>
      </c>
      <c r="G512">
        <v>9</v>
      </c>
      <c r="H512" t="b">
        <v>0</v>
      </c>
      <c r="I512" t="str">
        <f>TEXT(Append1[[#This Row],[dteday]],"DDDD")</f>
        <v>Sunday</v>
      </c>
      <c r="J512" t="str" cm="1">
        <f t="array" ref="J512">_xlfn.IFS(Append1[[#This Row],[weekday cnt]]=0,"Weekend",Append1[[#This Row],[weekday cnt]]=6,"Weekend",Append1[[#This Row],[weekday cnt]]&gt;0,"Weekday")</f>
        <v>Weekend</v>
      </c>
      <c r="K512">
        <v>0</v>
      </c>
      <c r="L512" t="str" cm="1">
        <f t="array" ref="L5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2">
        <v>1</v>
      </c>
      <c r="N512">
        <v>0.1</v>
      </c>
      <c r="O512">
        <v>510</v>
      </c>
      <c r="P512">
        <v>511</v>
      </c>
      <c r="Q512">
        <v>7.5800000000000006E-2</v>
      </c>
      <c r="R512">
        <v>0.54</v>
      </c>
      <c r="S512">
        <v>0.35820000000000002</v>
      </c>
      <c r="T512">
        <v>3</v>
      </c>
      <c r="U512">
        <v>25</v>
      </c>
      <c r="V512">
        <v>28</v>
      </c>
    </row>
    <row r="513" spans="1:22" x14ac:dyDescent="0.3">
      <c r="A513">
        <v>512</v>
      </c>
      <c r="B513" s="1">
        <v>40566</v>
      </c>
      <c r="C513">
        <v>1</v>
      </c>
      <c r="D513">
        <v>0</v>
      </c>
      <c r="E513" t="str">
        <f>TEXT(Append1[[#This Row],[dteday]],"MMMM")</f>
        <v>January</v>
      </c>
      <c r="F513">
        <v>1</v>
      </c>
      <c r="G513">
        <v>10</v>
      </c>
      <c r="H513" t="b">
        <v>0</v>
      </c>
      <c r="I513" t="str">
        <f>TEXT(Append1[[#This Row],[dteday]],"DDDD")</f>
        <v>Sunday</v>
      </c>
      <c r="J513" t="str" cm="1">
        <f t="array" ref="J513">_xlfn.IFS(Append1[[#This Row],[weekday cnt]]=0,"Weekend",Append1[[#This Row],[weekday cnt]]=6,"Weekend",Append1[[#This Row],[weekday cnt]]&gt;0,"Weekday")</f>
        <v>Weekend</v>
      </c>
      <c r="K513">
        <v>0</v>
      </c>
      <c r="L513" t="str" cm="1">
        <f t="array" ref="L5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3">
        <v>1</v>
      </c>
      <c r="N513">
        <v>0.14000000000000001</v>
      </c>
      <c r="O513">
        <v>511</v>
      </c>
      <c r="P513">
        <v>512</v>
      </c>
      <c r="Q513">
        <v>0.1061</v>
      </c>
      <c r="R513">
        <v>0.46</v>
      </c>
      <c r="S513">
        <v>0.3881</v>
      </c>
      <c r="T513">
        <v>7</v>
      </c>
      <c r="U513">
        <v>51</v>
      </c>
      <c r="V513">
        <v>58</v>
      </c>
    </row>
    <row r="514" spans="1:22" x14ac:dyDescent="0.3">
      <c r="A514">
        <v>513</v>
      </c>
      <c r="B514" s="1">
        <v>40566</v>
      </c>
      <c r="C514">
        <v>1</v>
      </c>
      <c r="D514">
        <v>0</v>
      </c>
      <c r="E514" t="str">
        <f>TEXT(Append1[[#This Row],[dteday]],"MMMM")</f>
        <v>January</v>
      </c>
      <c r="F514">
        <v>1</v>
      </c>
      <c r="G514">
        <v>11</v>
      </c>
      <c r="H514" t="b">
        <v>0</v>
      </c>
      <c r="I514" t="str">
        <f>TEXT(Append1[[#This Row],[dteday]],"DDDD")</f>
        <v>Sunday</v>
      </c>
      <c r="J514" t="str" cm="1">
        <f t="array" ref="J514">_xlfn.IFS(Append1[[#This Row],[weekday cnt]]=0,"Weekend",Append1[[#This Row],[weekday cnt]]=6,"Weekend",Append1[[#This Row],[weekday cnt]]&gt;0,"Weekday")</f>
        <v>Weekend</v>
      </c>
      <c r="K514">
        <v>0</v>
      </c>
      <c r="L514" t="str" cm="1">
        <f t="array" ref="L5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4">
        <v>1</v>
      </c>
      <c r="N514">
        <v>0.14000000000000001</v>
      </c>
      <c r="O514">
        <v>512</v>
      </c>
      <c r="P514">
        <v>513</v>
      </c>
      <c r="Q514">
        <v>0.13639999999999999</v>
      </c>
      <c r="R514">
        <v>0.43</v>
      </c>
      <c r="S514">
        <v>0.22389999999999999</v>
      </c>
      <c r="T514">
        <v>22</v>
      </c>
      <c r="U514">
        <v>77</v>
      </c>
      <c r="V514">
        <v>99</v>
      </c>
    </row>
    <row r="515" spans="1:22" x14ac:dyDescent="0.3">
      <c r="A515">
        <v>514</v>
      </c>
      <c r="B515" s="1">
        <v>40566</v>
      </c>
      <c r="C515">
        <v>1</v>
      </c>
      <c r="D515">
        <v>0</v>
      </c>
      <c r="E515" t="str">
        <f>TEXT(Append1[[#This Row],[dteday]],"MMMM")</f>
        <v>January</v>
      </c>
      <c r="F515">
        <v>1</v>
      </c>
      <c r="G515">
        <v>12</v>
      </c>
      <c r="H515" t="b">
        <v>0</v>
      </c>
      <c r="I515" t="str">
        <f>TEXT(Append1[[#This Row],[dteday]],"DDDD")</f>
        <v>Sunday</v>
      </c>
      <c r="J515" t="str" cm="1">
        <f t="array" ref="J515">_xlfn.IFS(Append1[[#This Row],[weekday cnt]]=0,"Weekend",Append1[[#This Row],[weekday cnt]]=6,"Weekend",Append1[[#This Row],[weekday cnt]]&gt;0,"Weekday")</f>
        <v>Weekend</v>
      </c>
      <c r="K515">
        <v>0</v>
      </c>
      <c r="L515" t="str" cm="1">
        <f t="array" ref="L5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5">
        <v>1</v>
      </c>
      <c r="N515">
        <v>0.16</v>
      </c>
      <c r="O515">
        <v>513</v>
      </c>
      <c r="P515">
        <v>514</v>
      </c>
      <c r="Q515">
        <v>0.1212</v>
      </c>
      <c r="R515">
        <v>0.37</v>
      </c>
      <c r="S515">
        <v>0.4627</v>
      </c>
      <c r="T515">
        <v>24</v>
      </c>
      <c r="U515">
        <v>92</v>
      </c>
      <c r="V515">
        <v>116</v>
      </c>
    </row>
    <row r="516" spans="1:22" x14ac:dyDescent="0.3">
      <c r="A516">
        <v>515</v>
      </c>
      <c r="B516" s="1">
        <v>40566</v>
      </c>
      <c r="C516">
        <v>1</v>
      </c>
      <c r="D516">
        <v>0</v>
      </c>
      <c r="E516" t="str">
        <f>TEXT(Append1[[#This Row],[dteday]],"MMMM")</f>
        <v>January</v>
      </c>
      <c r="F516">
        <v>1</v>
      </c>
      <c r="G516">
        <v>13</v>
      </c>
      <c r="H516" t="b">
        <v>0</v>
      </c>
      <c r="I516" t="str">
        <f>TEXT(Append1[[#This Row],[dteday]],"DDDD")</f>
        <v>Sunday</v>
      </c>
      <c r="J516" t="str" cm="1">
        <f t="array" ref="J516">_xlfn.IFS(Append1[[#This Row],[weekday cnt]]=0,"Weekend",Append1[[#This Row],[weekday cnt]]=6,"Weekend",Append1[[#This Row],[weekday cnt]]&gt;0,"Weekday")</f>
        <v>Weekend</v>
      </c>
      <c r="K516">
        <v>0</v>
      </c>
      <c r="L516" t="str" cm="1">
        <f t="array" ref="L5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6">
        <v>1</v>
      </c>
      <c r="N516">
        <v>0.14000000000000001</v>
      </c>
      <c r="O516">
        <v>514</v>
      </c>
      <c r="P516">
        <v>515</v>
      </c>
      <c r="Q516">
        <v>0.1061</v>
      </c>
      <c r="R516">
        <v>0.33</v>
      </c>
      <c r="S516">
        <v>0.3881</v>
      </c>
      <c r="T516">
        <v>12</v>
      </c>
      <c r="U516">
        <v>75</v>
      </c>
      <c r="V516">
        <v>87</v>
      </c>
    </row>
    <row r="517" spans="1:22" x14ac:dyDescent="0.3">
      <c r="A517">
        <v>516</v>
      </c>
      <c r="B517" s="1">
        <v>40566</v>
      </c>
      <c r="C517">
        <v>1</v>
      </c>
      <c r="D517">
        <v>0</v>
      </c>
      <c r="E517" t="str">
        <f>TEXT(Append1[[#This Row],[dteday]],"MMMM")</f>
        <v>January</v>
      </c>
      <c r="F517">
        <v>1</v>
      </c>
      <c r="G517">
        <v>14</v>
      </c>
      <c r="H517" t="b">
        <v>0</v>
      </c>
      <c r="I517" t="str">
        <f>TEXT(Append1[[#This Row],[dteday]],"DDDD")</f>
        <v>Sunday</v>
      </c>
      <c r="J517" t="str" cm="1">
        <f t="array" ref="J517">_xlfn.IFS(Append1[[#This Row],[weekday cnt]]=0,"Weekend",Append1[[#This Row],[weekday cnt]]=6,"Weekend",Append1[[#This Row],[weekday cnt]]&gt;0,"Weekday")</f>
        <v>Weekend</v>
      </c>
      <c r="K517">
        <v>0</v>
      </c>
      <c r="L517" t="str" cm="1">
        <f t="array" ref="L5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7">
        <v>1</v>
      </c>
      <c r="N517">
        <v>0.16</v>
      </c>
      <c r="O517">
        <v>515</v>
      </c>
      <c r="P517">
        <v>516</v>
      </c>
      <c r="Q517">
        <v>0.13639999999999999</v>
      </c>
      <c r="R517">
        <v>0.28000000000000003</v>
      </c>
      <c r="S517">
        <v>0.35820000000000002</v>
      </c>
      <c r="T517">
        <v>17</v>
      </c>
      <c r="U517">
        <v>93</v>
      </c>
      <c r="V517">
        <v>110</v>
      </c>
    </row>
    <row r="518" spans="1:22" x14ac:dyDescent="0.3">
      <c r="A518">
        <v>517</v>
      </c>
      <c r="B518" s="1">
        <v>40566</v>
      </c>
      <c r="C518">
        <v>1</v>
      </c>
      <c r="D518">
        <v>0</v>
      </c>
      <c r="E518" t="str">
        <f>TEXT(Append1[[#This Row],[dteday]],"MMMM")</f>
        <v>January</v>
      </c>
      <c r="F518">
        <v>1</v>
      </c>
      <c r="G518">
        <v>15</v>
      </c>
      <c r="H518" t="b">
        <v>0</v>
      </c>
      <c r="I518" t="str">
        <f>TEXT(Append1[[#This Row],[dteday]],"DDDD")</f>
        <v>Sunday</v>
      </c>
      <c r="J518" t="str" cm="1">
        <f t="array" ref="J518">_xlfn.IFS(Append1[[#This Row],[weekday cnt]]=0,"Weekend",Append1[[#This Row],[weekday cnt]]=6,"Weekend",Append1[[#This Row],[weekday cnt]]&gt;0,"Weekday")</f>
        <v>Weekend</v>
      </c>
      <c r="K518">
        <v>0</v>
      </c>
      <c r="L518" t="str" cm="1">
        <f t="array" ref="L5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8">
        <v>1</v>
      </c>
      <c r="N518">
        <v>0.16</v>
      </c>
      <c r="O518">
        <v>516</v>
      </c>
      <c r="P518">
        <v>517</v>
      </c>
      <c r="Q518">
        <v>0.13639999999999999</v>
      </c>
      <c r="R518">
        <v>0.28000000000000003</v>
      </c>
      <c r="S518">
        <v>0.35820000000000002</v>
      </c>
      <c r="T518">
        <v>13</v>
      </c>
      <c r="U518">
        <v>64</v>
      </c>
      <c r="V518">
        <v>77</v>
      </c>
    </row>
    <row r="519" spans="1:22" x14ac:dyDescent="0.3">
      <c r="A519">
        <v>518</v>
      </c>
      <c r="B519" s="1">
        <v>40566</v>
      </c>
      <c r="C519">
        <v>1</v>
      </c>
      <c r="D519">
        <v>0</v>
      </c>
      <c r="E519" t="str">
        <f>TEXT(Append1[[#This Row],[dteday]],"MMMM")</f>
        <v>January</v>
      </c>
      <c r="F519">
        <v>1</v>
      </c>
      <c r="G519">
        <v>16</v>
      </c>
      <c r="H519" t="b">
        <v>0</v>
      </c>
      <c r="I519" t="str">
        <f>TEXT(Append1[[#This Row],[dteday]],"DDDD")</f>
        <v>Sunday</v>
      </c>
      <c r="J519" t="str" cm="1">
        <f t="array" ref="J519">_xlfn.IFS(Append1[[#This Row],[weekday cnt]]=0,"Weekend",Append1[[#This Row],[weekday cnt]]=6,"Weekend",Append1[[#This Row],[weekday cnt]]&gt;0,"Weekday")</f>
        <v>Weekend</v>
      </c>
      <c r="K519">
        <v>0</v>
      </c>
      <c r="L519" t="str" cm="1">
        <f t="array" ref="L5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19">
        <v>1</v>
      </c>
      <c r="N519">
        <v>0.16</v>
      </c>
      <c r="O519">
        <v>517</v>
      </c>
      <c r="P519">
        <v>518</v>
      </c>
      <c r="Q519">
        <v>0.13639999999999999</v>
      </c>
      <c r="R519">
        <v>0.26</v>
      </c>
      <c r="S519">
        <v>0.32840000000000003</v>
      </c>
      <c r="T519">
        <v>9</v>
      </c>
      <c r="U519">
        <v>56</v>
      </c>
      <c r="V519">
        <v>65</v>
      </c>
    </row>
    <row r="520" spans="1:22" x14ac:dyDescent="0.3">
      <c r="A520">
        <v>519</v>
      </c>
      <c r="B520" s="1">
        <v>40566</v>
      </c>
      <c r="C520">
        <v>1</v>
      </c>
      <c r="D520">
        <v>0</v>
      </c>
      <c r="E520" t="str">
        <f>TEXT(Append1[[#This Row],[dteday]],"MMMM")</f>
        <v>January</v>
      </c>
      <c r="F520">
        <v>1</v>
      </c>
      <c r="G520">
        <v>17</v>
      </c>
      <c r="H520" t="b">
        <v>0</v>
      </c>
      <c r="I520" t="str">
        <f>TEXT(Append1[[#This Row],[dteday]],"DDDD")</f>
        <v>Sunday</v>
      </c>
      <c r="J520" t="str" cm="1">
        <f t="array" ref="J520">_xlfn.IFS(Append1[[#This Row],[weekday cnt]]=0,"Weekend",Append1[[#This Row],[weekday cnt]]=6,"Weekend",Append1[[#This Row],[weekday cnt]]&gt;0,"Weekday")</f>
        <v>Weekend</v>
      </c>
      <c r="K520">
        <v>0</v>
      </c>
      <c r="L520" t="str" cm="1">
        <f t="array" ref="L5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0">
        <v>1</v>
      </c>
      <c r="N520">
        <v>0.14000000000000001</v>
      </c>
      <c r="O520">
        <v>518</v>
      </c>
      <c r="P520">
        <v>519</v>
      </c>
      <c r="Q520">
        <v>0.1061</v>
      </c>
      <c r="R520">
        <v>0.26</v>
      </c>
      <c r="S520">
        <v>0.3881</v>
      </c>
      <c r="T520">
        <v>5</v>
      </c>
      <c r="U520">
        <v>50</v>
      </c>
      <c r="V520">
        <v>55</v>
      </c>
    </row>
    <row r="521" spans="1:22" x14ac:dyDescent="0.3">
      <c r="A521">
        <v>520</v>
      </c>
      <c r="B521" s="1">
        <v>40566</v>
      </c>
      <c r="C521">
        <v>1</v>
      </c>
      <c r="D521">
        <v>0</v>
      </c>
      <c r="E521" t="str">
        <f>TEXT(Append1[[#This Row],[dteday]],"MMMM")</f>
        <v>January</v>
      </c>
      <c r="F521">
        <v>1</v>
      </c>
      <c r="G521">
        <v>18</v>
      </c>
      <c r="H521" t="b">
        <v>0</v>
      </c>
      <c r="I521" t="str">
        <f>TEXT(Append1[[#This Row],[dteday]],"DDDD")</f>
        <v>Sunday</v>
      </c>
      <c r="J521" t="str" cm="1">
        <f t="array" ref="J521">_xlfn.IFS(Append1[[#This Row],[weekday cnt]]=0,"Weekend",Append1[[#This Row],[weekday cnt]]=6,"Weekend",Append1[[#This Row],[weekday cnt]]&gt;0,"Weekday")</f>
        <v>Weekend</v>
      </c>
      <c r="K521">
        <v>0</v>
      </c>
      <c r="L521" t="str" cm="1">
        <f t="array" ref="L5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1">
        <v>1</v>
      </c>
      <c r="N521">
        <v>0.12</v>
      </c>
      <c r="O521">
        <v>519</v>
      </c>
      <c r="P521">
        <v>520</v>
      </c>
      <c r="Q521">
        <v>0.1212</v>
      </c>
      <c r="R521">
        <v>0.3</v>
      </c>
      <c r="S521">
        <v>0.25369999999999998</v>
      </c>
      <c r="T521">
        <v>5</v>
      </c>
      <c r="U521">
        <v>44</v>
      </c>
      <c r="V521">
        <v>49</v>
      </c>
    </row>
    <row r="522" spans="1:22" x14ac:dyDescent="0.3">
      <c r="A522">
        <v>521</v>
      </c>
      <c r="B522" s="1">
        <v>40566</v>
      </c>
      <c r="C522">
        <v>1</v>
      </c>
      <c r="D522">
        <v>0</v>
      </c>
      <c r="E522" t="str">
        <f>TEXT(Append1[[#This Row],[dteday]],"MMMM")</f>
        <v>January</v>
      </c>
      <c r="F522">
        <v>1</v>
      </c>
      <c r="G522">
        <v>19</v>
      </c>
      <c r="H522" t="b">
        <v>0</v>
      </c>
      <c r="I522" t="str">
        <f>TEXT(Append1[[#This Row],[dteday]],"DDDD")</f>
        <v>Sunday</v>
      </c>
      <c r="J522" t="str" cm="1">
        <f t="array" ref="J522">_xlfn.IFS(Append1[[#This Row],[weekday cnt]]=0,"Weekend",Append1[[#This Row],[weekday cnt]]=6,"Weekend",Append1[[#This Row],[weekday cnt]]&gt;0,"Weekday")</f>
        <v>Weekend</v>
      </c>
      <c r="K522">
        <v>0</v>
      </c>
      <c r="L522" t="str" cm="1">
        <f t="array" ref="L5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2">
        <v>1</v>
      </c>
      <c r="N522">
        <v>0.12</v>
      </c>
      <c r="O522">
        <v>520</v>
      </c>
      <c r="P522">
        <v>521</v>
      </c>
      <c r="Q522">
        <v>0.1212</v>
      </c>
      <c r="R522">
        <v>0.3</v>
      </c>
      <c r="S522">
        <v>0.28360000000000002</v>
      </c>
      <c r="T522">
        <v>5</v>
      </c>
      <c r="U522">
        <v>45</v>
      </c>
      <c r="V522">
        <v>50</v>
      </c>
    </row>
    <row r="523" spans="1:22" x14ac:dyDescent="0.3">
      <c r="A523">
        <v>522</v>
      </c>
      <c r="B523" s="1">
        <v>40566</v>
      </c>
      <c r="C523">
        <v>1</v>
      </c>
      <c r="D523">
        <v>0</v>
      </c>
      <c r="E523" t="str">
        <f>TEXT(Append1[[#This Row],[dteday]],"MMMM")</f>
        <v>January</v>
      </c>
      <c r="F523">
        <v>1</v>
      </c>
      <c r="G523">
        <v>20</v>
      </c>
      <c r="H523" t="b">
        <v>0</v>
      </c>
      <c r="I523" t="str">
        <f>TEXT(Append1[[#This Row],[dteday]],"DDDD")</f>
        <v>Sunday</v>
      </c>
      <c r="J523" t="str" cm="1">
        <f t="array" ref="J523">_xlfn.IFS(Append1[[#This Row],[weekday cnt]]=0,"Weekend",Append1[[#This Row],[weekday cnt]]=6,"Weekend",Append1[[#This Row],[weekday cnt]]&gt;0,"Weekday")</f>
        <v>Weekend</v>
      </c>
      <c r="K523">
        <v>0</v>
      </c>
      <c r="L523" t="str" cm="1">
        <f t="array" ref="L5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3">
        <v>1</v>
      </c>
      <c r="N523">
        <v>0.1</v>
      </c>
      <c r="O523">
        <v>521</v>
      </c>
      <c r="P523">
        <v>522</v>
      </c>
      <c r="Q523">
        <v>0.1061</v>
      </c>
      <c r="R523">
        <v>0.36</v>
      </c>
      <c r="S523">
        <v>0.25369999999999998</v>
      </c>
      <c r="T523">
        <v>4</v>
      </c>
      <c r="U523">
        <v>31</v>
      </c>
      <c r="V523">
        <v>35</v>
      </c>
    </row>
    <row r="524" spans="1:22" x14ac:dyDescent="0.3">
      <c r="A524">
        <v>523</v>
      </c>
      <c r="B524" s="1">
        <v>40566</v>
      </c>
      <c r="C524">
        <v>1</v>
      </c>
      <c r="D524">
        <v>0</v>
      </c>
      <c r="E524" t="str">
        <f>TEXT(Append1[[#This Row],[dteday]],"MMMM")</f>
        <v>January</v>
      </c>
      <c r="F524">
        <v>1</v>
      </c>
      <c r="G524">
        <v>21</v>
      </c>
      <c r="H524" t="b">
        <v>0</v>
      </c>
      <c r="I524" t="str">
        <f>TEXT(Append1[[#This Row],[dteday]],"DDDD")</f>
        <v>Sunday</v>
      </c>
      <c r="J524" t="str" cm="1">
        <f t="array" ref="J524">_xlfn.IFS(Append1[[#This Row],[weekday cnt]]=0,"Weekend",Append1[[#This Row],[weekday cnt]]=6,"Weekend",Append1[[#This Row],[weekday cnt]]&gt;0,"Weekday")</f>
        <v>Weekend</v>
      </c>
      <c r="K524">
        <v>0</v>
      </c>
      <c r="L524" t="str" cm="1">
        <f t="array" ref="L5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4">
        <v>1</v>
      </c>
      <c r="N524">
        <v>0.1</v>
      </c>
      <c r="O524">
        <v>522</v>
      </c>
      <c r="P524">
        <v>523</v>
      </c>
      <c r="Q524">
        <v>0.1061</v>
      </c>
      <c r="R524">
        <v>0.36</v>
      </c>
      <c r="S524">
        <v>0.19400000000000001</v>
      </c>
      <c r="T524">
        <v>5</v>
      </c>
      <c r="U524">
        <v>20</v>
      </c>
      <c r="V524">
        <v>25</v>
      </c>
    </row>
    <row r="525" spans="1:22" x14ac:dyDescent="0.3">
      <c r="A525">
        <v>524</v>
      </c>
      <c r="B525" s="1">
        <v>40566</v>
      </c>
      <c r="C525">
        <v>1</v>
      </c>
      <c r="D525">
        <v>0</v>
      </c>
      <c r="E525" t="str">
        <f>TEXT(Append1[[#This Row],[dteday]],"MMMM")</f>
        <v>January</v>
      </c>
      <c r="F525">
        <v>1</v>
      </c>
      <c r="G525">
        <v>22</v>
      </c>
      <c r="H525" t="b">
        <v>0</v>
      </c>
      <c r="I525" t="str">
        <f>TEXT(Append1[[#This Row],[dteday]],"DDDD")</f>
        <v>Sunday</v>
      </c>
      <c r="J525" t="str" cm="1">
        <f t="array" ref="J525">_xlfn.IFS(Append1[[#This Row],[weekday cnt]]=0,"Weekend",Append1[[#This Row],[weekday cnt]]=6,"Weekend",Append1[[#This Row],[weekday cnt]]&gt;0,"Weekday")</f>
        <v>Weekend</v>
      </c>
      <c r="K525">
        <v>0</v>
      </c>
      <c r="L525" t="str" cm="1">
        <f t="array" ref="L5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5">
        <v>1</v>
      </c>
      <c r="N525">
        <v>0.08</v>
      </c>
      <c r="O525">
        <v>523</v>
      </c>
      <c r="P525">
        <v>524</v>
      </c>
      <c r="Q525">
        <v>9.0899999999999995E-2</v>
      </c>
      <c r="R525">
        <v>0.38</v>
      </c>
      <c r="S525">
        <v>0.19400000000000001</v>
      </c>
      <c r="T525">
        <v>5</v>
      </c>
      <c r="U525">
        <v>23</v>
      </c>
      <c r="V525">
        <v>28</v>
      </c>
    </row>
    <row r="526" spans="1:22" x14ac:dyDescent="0.3">
      <c r="A526">
        <v>525</v>
      </c>
      <c r="B526" s="1">
        <v>40566</v>
      </c>
      <c r="C526">
        <v>1</v>
      </c>
      <c r="D526">
        <v>0</v>
      </c>
      <c r="E526" t="str">
        <f>TEXT(Append1[[#This Row],[dteday]],"MMMM")</f>
        <v>January</v>
      </c>
      <c r="F526">
        <v>1</v>
      </c>
      <c r="G526">
        <v>23</v>
      </c>
      <c r="H526" t="b">
        <v>0</v>
      </c>
      <c r="I526" t="str">
        <f>TEXT(Append1[[#This Row],[dteday]],"DDDD")</f>
        <v>Sunday</v>
      </c>
      <c r="J526" t="str" cm="1">
        <f t="array" ref="J526">_xlfn.IFS(Append1[[#This Row],[weekday cnt]]=0,"Weekend",Append1[[#This Row],[weekday cnt]]=6,"Weekend",Append1[[#This Row],[weekday cnt]]&gt;0,"Weekday")</f>
        <v>Weekend</v>
      </c>
      <c r="K526">
        <v>0</v>
      </c>
      <c r="L526" t="str" cm="1">
        <f t="array" ref="L5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6">
        <v>1</v>
      </c>
      <c r="N526">
        <v>0.06</v>
      </c>
      <c r="O526">
        <v>524</v>
      </c>
      <c r="P526">
        <v>525</v>
      </c>
      <c r="Q526">
        <v>6.0600000000000001E-2</v>
      </c>
      <c r="R526">
        <v>0.41</v>
      </c>
      <c r="S526">
        <v>0.22389999999999999</v>
      </c>
      <c r="T526">
        <v>4</v>
      </c>
      <c r="U526">
        <v>17</v>
      </c>
      <c r="V526">
        <v>21</v>
      </c>
    </row>
    <row r="527" spans="1:22" x14ac:dyDescent="0.3">
      <c r="A527">
        <v>526</v>
      </c>
      <c r="B527" s="1">
        <v>40567</v>
      </c>
      <c r="C527">
        <v>1</v>
      </c>
      <c r="D527">
        <v>0</v>
      </c>
      <c r="E527" t="str">
        <f>TEXT(Append1[[#This Row],[dteday]],"MMMM")</f>
        <v>January</v>
      </c>
      <c r="F527">
        <v>1</v>
      </c>
      <c r="G527">
        <v>0</v>
      </c>
      <c r="H527" t="b">
        <v>0</v>
      </c>
      <c r="I527" t="str">
        <f>TEXT(Append1[[#This Row],[dteday]],"DDDD")</f>
        <v>Monday</v>
      </c>
      <c r="J527" t="str" cm="1">
        <f t="array" ref="J527">_xlfn.IFS(Append1[[#This Row],[weekday cnt]]=0,"Weekend",Append1[[#This Row],[weekday cnt]]=6,"Weekend",Append1[[#This Row],[weekday cnt]]&gt;0,"Weekday")</f>
        <v>Weekday</v>
      </c>
      <c r="K527">
        <v>1</v>
      </c>
      <c r="L527" t="str" cm="1">
        <f t="array" ref="L5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7">
        <v>1</v>
      </c>
      <c r="N527">
        <v>0.06</v>
      </c>
      <c r="O527">
        <v>525</v>
      </c>
      <c r="P527">
        <v>526</v>
      </c>
      <c r="Q527">
        <v>6.0600000000000001E-2</v>
      </c>
      <c r="R527">
        <v>0.41</v>
      </c>
      <c r="S527">
        <v>0.19400000000000001</v>
      </c>
      <c r="T527">
        <v>0</v>
      </c>
      <c r="U527">
        <v>7</v>
      </c>
      <c r="V527">
        <v>7</v>
      </c>
    </row>
    <row r="528" spans="1:22" x14ac:dyDescent="0.3">
      <c r="A528">
        <v>527</v>
      </c>
      <c r="B528" s="1">
        <v>40567</v>
      </c>
      <c r="C528">
        <v>1</v>
      </c>
      <c r="D528">
        <v>0</v>
      </c>
      <c r="E528" t="str">
        <f>TEXT(Append1[[#This Row],[dteday]],"MMMM")</f>
        <v>January</v>
      </c>
      <c r="F528">
        <v>1</v>
      </c>
      <c r="G528">
        <v>1</v>
      </c>
      <c r="H528" t="b">
        <v>0</v>
      </c>
      <c r="I528" t="str">
        <f>TEXT(Append1[[#This Row],[dteday]],"DDDD")</f>
        <v>Monday</v>
      </c>
      <c r="J528" t="str" cm="1">
        <f t="array" ref="J528">_xlfn.IFS(Append1[[#This Row],[weekday cnt]]=0,"Weekend",Append1[[#This Row],[weekday cnt]]=6,"Weekend",Append1[[#This Row],[weekday cnt]]&gt;0,"Weekday")</f>
        <v>Weekday</v>
      </c>
      <c r="K528">
        <v>1</v>
      </c>
      <c r="L528" t="str" cm="1">
        <f t="array" ref="L5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8">
        <v>1</v>
      </c>
      <c r="N528">
        <v>0.04</v>
      </c>
      <c r="O528">
        <v>526</v>
      </c>
      <c r="P528">
        <v>527</v>
      </c>
      <c r="Q528">
        <v>4.5499999999999999E-2</v>
      </c>
      <c r="R528">
        <v>0.45</v>
      </c>
      <c r="S528">
        <v>0.19400000000000001</v>
      </c>
      <c r="T528">
        <v>0</v>
      </c>
      <c r="U528">
        <v>1</v>
      </c>
      <c r="V528">
        <v>1</v>
      </c>
    </row>
    <row r="529" spans="1:22" x14ac:dyDescent="0.3">
      <c r="A529">
        <v>528</v>
      </c>
      <c r="B529" s="1">
        <v>40567</v>
      </c>
      <c r="C529">
        <v>1</v>
      </c>
      <c r="D529">
        <v>0</v>
      </c>
      <c r="E529" t="str">
        <f>TEXT(Append1[[#This Row],[dteday]],"MMMM")</f>
        <v>January</v>
      </c>
      <c r="F529">
        <v>1</v>
      </c>
      <c r="G529">
        <v>3</v>
      </c>
      <c r="H529" t="b">
        <v>0</v>
      </c>
      <c r="I529" t="str">
        <f>TEXT(Append1[[#This Row],[dteday]],"DDDD")</f>
        <v>Monday</v>
      </c>
      <c r="J529" t="str" cm="1">
        <f t="array" ref="J529">_xlfn.IFS(Append1[[#This Row],[weekday cnt]]=0,"Weekend",Append1[[#This Row],[weekday cnt]]=6,"Weekend",Append1[[#This Row],[weekday cnt]]&gt;0,"Weekday")</f>
        <v>Weekday</v>
      </c>
      <c r="K529">
        <v>1</v>
      </c>
      <c r="L529" t="str" cm="1">
        <f t="array" ref="L5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29">
        <v>1</v>
      </c>
      <c r="N529">
        <v>0.04</v>
      </c>
      <c r="O529">
        <v>527</v>
      </c>
      <c r="P529">
        <v>528</v>
      </c>
      <c r="Q529">
        <v>3.0300000000000001E-2</v>
      </c>
      <c r="R529">
        <v>0.45</v>
      </c>
      <c r="S529">
        <v>0.25369999999999998</v>
      </c>
      <c r="T529">
        <v>0</v>
      </c>
      <c r="U529">
        <v>1</v>
      </c>
      <c r="V529">
        <v>1</v>
      </c>
    </row>
    <row r="530" spans="1:22" x14ac:dyDescent="0.3">
      <c r="A530">
        <v>529</v>
      </c>
      <c r="B530" s="1">
        <v>40567</v>
      </c>
      <c r="C530">
        <v>1</v>
      </c>
      <c r="D530">
        <v>0</v>
      </c>
      <c r="E530" t="str">
        <f>TEXT(Append1[[#This Row],[dteday]],"MMMM")</f>
        <v>January</v>
      </c>
      <c r="F530">
        <v>1</v>
      </c>
      <c r="G530">
        <v>4</v>
      </c>
      <c r="H530" t="b">
        <v>0</v>
      </c>
      <c r="I530" t="str">
        <f>TEXT(Append1[[#This Row],[dteday]],"DDDD")</f>
        <v>Monday</v>
      </c>
      <c r="J530" t="str" cm="1">
        <f t="array" ref="J530">_xlfn.IFS(Append1[[#This Row],[weekday cnt]]=0,"Weekend",Append1[[#This Row],[weekday cnt]]=6,"Weekend",Append1[[#This Row],[weekday cnt]]&gt;0,"Weekday")</f>
        <v>Weekday</v>
      </c>
      <c r="K530">
        <v>1</v>
      </c>
      <c r="L530" t="str" cm="1">
        <f t="array" ref="L5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30">
        <v>1</v>
      </c>
      <c r="N530">
        <v>0.02</v>
      </c>
      <c r="O530">
        <v>528</v>
      </c>
      <c r="P530">
        <v>529</v>
      </c>
      <c r="Q530">
        <v>6.0600000000000001E-2</v>
      </c>
      <c r="R530">
        <v>0.48</v>
      </c>
      <c r="S530">
        <v>0.1343</v>
      </c>
      <c r="T530">
        <v>0</v>
      </c>
      <c r="U530">
        <v>1</v>
      </c>
      <c r="V530">
        <v>1</v>
      </c>
    </row>
    <row r="531" spans="1:22" x14ac:dyDescent="0.3">
      <c r="A531">
        <v>530</v>
      </c>
      <c r="B531" s="1">
        <v>40567</v>
      </c>
      <c r="C531">
        <v>1</v>
      </c>
      <c r="D531">
        <v>0</v>
      </c>
      <c r="E531" t="str">
        <f>TEXT(Append1[[#This Row],[dteday]],"MMMM")</f>
        <v>January</v>
      </c>
      <c r="F531">
        <v>1</v>
      </c>
      <c r="G531">
        <v>5</v>
      </c>
      <c r="H531" t="b">
        <v>0</v>
      </c>
      <c r="I531" t="str">
        <f>TEXT(Append1[[#This Row],[dteday]],"DDDD")</f>
        <v>Monday</v>
      </c>
      <c r="J531" t="str" cm="1">
        <f t="array" ref="J531">_xlfn.IFS(Append1[[#This Row],[weekday cnt]]=0,"Weekend",Append1[[#This Row],[weekday cnt]]=6,"Weekend",Append1[[#This Row],[weekday cnt]]&gt;0,"Weekday")</f>
        <v>Weekday</v>
      </c>
      <c r="K531">
        <v>1</v>
      </c>
      <c r="L531" t="str" cm="1">
        <f t="array" ref="L5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31">
        <v>1</v>
      </c>
      <c r="N531">
        <v>0.02</v>
      </c>
      <c r="O531">
        <v>529</v>
      </c>
      <c r="P531">
        <v>530</v>
      </c>
      <c r="Q531">
        <v>6.0600000000000001E-2</v>
      </c>
      <c r="R531">
        <v>0.48</v>
      </c>
      <c r="S531">
        <v>0.1343</v>
      </c>
      <c r="T531">
        <v>0</v>
      </c>
      <c r="U531">
        <v>5</v>
      </c>
      <c r="V531">
        <v>5</v>
      </c>
    </row>
    <row r="532" spans="1:22" x14ac:dyDescent="0.3">
      <c r="A532">
        <v>531</v>
      </c>
      <c r="B532" s="1">
        <v>40567</v>
      </c>
      <c r="C532">
        <v>1</v>
      </c>
      <c r="D532">
        <v>0</v>
      </c>
      <c r="E532" t="str">
        <f>TEXT(Append1[[#This Row],[dteday]],"MMMM")</f>
        <v>January</v>
      </c>
      <c r="F532">
        <v>1</v>
      </c>
      <c r="G532">
        <v>6</v>
      </c>
      <c r="H532" t="b">
        <v>0</v>
      </c>
      <c r="I532" t="str">
        <f>TEXT(Append1[[#This Row],[dteday]],"DDDD")</f>
        <v>Monday</v>
      </c>
      <c r="J532" t="str" cm="1">
        <f t="array" ref="J532">_xlfn.IFS(Append1[[#This Row],[weekday cnt]]=0,"Weekend",Append1[[#This Row],[weekday cnt]]=6,"Weekend",Append1[[#This Row],[weekday cnt]]&gt;0,"Weekday")</f>
        <v>Weekday</v>
      </c>
      <c r="K532">
        <v>1</v>
      </c>
      <c r="L532" t="str" cm="1">
        <f t="array" ref="L5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32">
        <v>1</v>
      </c>
      <c r="N532">
        <v>0.02</v>
      </c>
      <c r="O532">
        <v>530</v>
      </c>
      <c r="P532">
        <v>531</v>
      </c>
      <c r="Q532">
        <v>7.5800000000000006E-2</v>
      </c>
      <c r="R532">
        <v>0.48</v>
      </c>
      <c r="S532">
        <v>8.9599999999999999E-2</v>
      </c>
      <c r="T532">
        <v>0</v>
      </c>
      <c r="U532">
        <v>15</v>
      </c>
      <c r="V532">
        <v>15</v>
      </c>
    </row>
    <row r="533" spans="1:22" x14ac:dyDescent="0.3">
      <c r="A533">
        <v>532</v>
      </c>
      <c r="B533" s="1">
        <v>40567</v>
      </c>
      <c r="C533">
        <v>1</v>
      </c>
      <c r="D533">
        <v>0</v>
      </c>
      <c r="E533" t="str">
        <f>TEXT(Append1[[#This Row],[dteday]],"MMMM")</f>
        <v>January</v>
      </c>
      <c r="F533">
        <v>1</v>
      </c>
      <c r="G533">
        <v>7</v>
      </c>
      <c r="H533" t="b">
        <v>0</v>
      </c>
      <c r="I533" t="str">
        <f>TEXT(Append1[[#This Row],[dteday]],"DDDD")</f>
        <v>Monday</v>
      </c>
      <c r="J533" t="str" cm="1">
        <f t="array" ref="J533">_xlfn.IFS(Append1[[#This Row],[weekday cnt]]=0,"Weekend",Append1[[#This Row],[weekday cnt]]=6,"Weekend",Append1[[#This Row],[weekday cnt]]&gt;0,"Weekday")</f>
        <v>Weekday</v>
      </c>
      <c r="K533">
        <v>1</v>
      </c>
      <c r="L533" t="str" cm="1">
        <f t="array" ref="L5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33">
        <v>1</v>
      </c>
      <c r="N533">
        <v>0.02</v>
      </c>
      <c r="O533">
        <v>531</v>
      </c>
      <c r="P533">
        <v>532</v>
      </c>
      <c r="Q533">
        <v>0.1212</v>
      </c>
      <c r="R533">
        <v>0.48</v>
      </c>
      <c r="S533">
        <v>0</v>
      </c>
      <c r="T533">
        <v>5</v>
      </c>
      <c r="U533">
        <v>79</v>
      </c>
      <c r="V533">
        <v>84</v>
      </c>
    </row>
    <row r="534" spans="1:22" x14ac:dyDescent="0.3">
      <c r="A534">
        <v>533</v>
      </c>
      <c r="B534" s="1">
        <v>40567</v>
      </c>
      <c r="C534">
        <v>1</v>
      </c>
      <c r="D534">
        <v>0</v>
      </c>
      <c r="E534" t="str">
        <f>TEXT(Append1[[#This Row],[dteday]],"MMMM")</f>
        <v>January</v>
      </c>
      <c r="F534">
        <v>1</v>
      </c>
      <c r="G534">
        <v>8</v>
      </c>
      <c r="H534" t="b">
        <v>0</v>
      </c>
      <c r="I534" t="str">
        <f>TEXT(Append1[[#This Row],[dteday]],"DDDD")</f>
        <v>Monday</v>
      </c>
      <c r="J534" t="str" cm="1">
        <f t="array" ref="J534">_xlfn.IFS(Append1[[#This Row],[weekday cnt]]=0,"Weekend",Append1[[#This Row],[weekday cnt]]=6,"Weekend",Append1[[#This Row],[weekday cnt]]&gt;0,"Weekday")</f>
        <v>Weekday</v>
      </c>
      <c r="K534">
        <v>1</v>
      </c>
      <c r="L534" t="str" cm="1">
        <f t="array" ref="L5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34">
        <v>1</v>
      </c>
      <c r="N534">
        <v>0.04</v>
      </c>
      <c r="O534">
        <v>532</v>
      </c>
      <c r="P534">
        <v>533</v>
      </c>
      <c r="Q534">
        <v>0.13639999999999999</v>
      </c>
      <c r="R534">
        <v>0.49</v>
      </c>
      <c r="S534">
        <v>0</v>
      </c>
      <c r="T534">
        <v>6</v>
      </c>
      <c r="U534">
        <v>171</v>
      </c>
      <c r="V534">
        <v>177</v>
      </c>
    </row>
    <row r="535" spans="1:22" x14ac:dyDescent="0.3">
      <c r="A535">
        <v>534</v>
      </c>
      <c r="B535" s="1">
        <v>40567</v>
      </c>
      <c r="C535">
        <v>1</v>
      </c>
      <c r="D535">
        <v>0</v>
      </c>
      <c r="E535" t="str">
        <f>TEXT(Append1[[#This Row],[dteday]],"MMMM")</f>
        <v>January</v>
      </c>
      <c r="F535">
        <v>1</v>
      </c>
      <c r="G535">
        <v>9</v>
      </c>
      <c r="H535" t="b">
        <v>0</v>
      </c>
      <c r="I535" t="str">
        <f>TEXT(Append1[[#This Row],[dteday]],"DDDD")</f>
        <v>Monday</v>
      </c>
      <c r="J535" t="str" cm="1">
        <f t="array" ref="J535">_xlfn.IFS(Append1[[#This Row],[weekday cnt]]=0,"Weekend",Append1[[#This Row],[weekday cnt]]=6,"Weekend",Append1[[#This Row],[weekday cnt]]&gt;0,"Weekday")</f>
        <v>Weekday</v>
      </c>
      <c r="K535">
        <v>1</v>
      </c>
      <c r="L535" t="str" cm="1">
        <f t="array" ref="L5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35">
        <v>1</v>
      </c>
      <c r="N535">
        <v>0.06</v>
      </c>
      <c r="O535">
        <v>533</v>
      </c>
      <c r="P535">
        <v>534</v>
      </c>
      <c r="Q535">
        <v>0.1515</v>
      </c>
      <c r="R535">
        <v>0.41</v>
      </c>
      <c r="S535">
        <v>0</v>
      </c>
      <c r="T535">
        <v>4</v>
      </c>
      <c r="U535">
        <v>98</v>
      </c>
      <c r="V535">
        <v>102</v>
      </c>
    </row>
    <row r="536" spans="1:22" x14ac:dyDescent="0.3">
      <c r="A536">
        <v>535</v>
      </c>
      <c r="B536" s="1">
        <v>40567</v>
      </c>
      <c r="C536">
        <v>1</v>
      </c>
      <c r="D536">
        <v>0</v>
      </c>
      <c r="E536" t="str">
        <f>TEXT(Append1[[#This Row],[dteday]],"MMMM")</f>
        <v>January</v>
      </c>
      <c r="F536">
        <v>1</v>
      </c>
      <c r="G536">
        <v>10</v>
      </c>
      <c r="H536" t="b">
        <v>0</v>
      </c>
      <c r="I536" t="str">
        <f>TEXT(Append1[[#This Row],[dteday]],"DDDD")</f>
        <v>Monday</v>
      </c>
      <c r="J536" t="str" cm="1">
        <f t="array" ref="J536">_xlfn.IFS(Append1[[#This Row],[weekday cnt]]=0,"Weekend",Append1[[#This Row],[weekday cnt]]=6,"Weekend",Append1[[#This Row],[weekday cnt]]&gt;0,"Weekday")</f>
        <v>Weekday</v>
      </c>
      <c r="K536">
        <v>1</v>
      </c>
      <c r="L536" t="str" cm="1">
        <f t="array" ref="L5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36">
        <v>1</v>
      </c>
      <c r="N536">
        <v>0.1</v>
      </c>
      <c r="O536">
        <v>534</v>
      </c>
      <c r="P536">
        <v>535</v>
      </c>
      <c r="Q536">
        <v>0.13639999999999999</v>
      </c>
      <c r="R536">
        <v>0.42</v>
      </c>
      <c r="S536">
        <v>0</v>
      </c>
      <c r="T536">
        <v>6</v>
      </c>
      <c r="U536">
        <v>34</v>
      </c>
      <c r="V536">
        <v>40</v>
      </c>
    </row>
    <row r="537" spans="1:22" x14ac:dyDescent="0.3">
      <c r="A537">
        <v>536</v>
      </c>
      <c r="B537" s="1">
        <v>40567</v>
      </c>
      <c r="C537">
        <v>1</v>
      </c>
      <c r="D537">
        <v>0</v>
      </c>
      <c r="E537" t="str">
        <f>TEXT(Append1[[#This Row],[dteday]],"MMMM")</f>
        <v>January</v>
      </c>
      <c r="F537">
        <v>1</v>
      </c>
      <c r="G537">
        <v>11</v>
      </c>
      <c r="H537" t="b">
        <v>0</v>
      </c>
      <c r="I537" t="str">
        <f>TEXT(Append1[[#This Row],[dteday]],"DDDD")</f>
        <v>Monday</v>
      </c>
      <c r="J537" t="str" cm="1">
        <f t="array" ref="J537">_xlfn.IFS(Append1[[#This Row],[weekday cnt]]=0,"Weekend",Append1[[#This Row],[weekday cnt]]=6,"Weekend",Append1[[#This Row],[weekday cnt]]&gt;0,"Weekday")</f>
        <v>Weekday</v>
      </c>
      <c r="K537">
        <v>1</v>
      </c>
      <c r="L537" t="str" cm="1">
        <f t="array" ref="L5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37">
        <v>1</v>
      </c>
      <c r="N537">
        <v>0.1</v>
      </c>
      <c r="O537">
        <v>535</v>
      </c>
      <c r="P537">
        <v>536</v>
      </c>
      <c r="Q537">
        <v>0.1212</v>
      </c>
      <c r="R537">
        <v>0.46</v>
      </c>
      <c r="S537">
        <v>0.1343</v>
      </c>
      <c r="T537">
        <v>3</v>
      </c>
      <c r="U537">
        <v>43</v>
      </c>
      <c r="V537">
        <v>46</v>
      </c>
    </row>
    <row r="538" spans="1:22" x14ac:dyDescent="0.3">
      <c r="A538">
        <v>537</v>
      </c>
      <c r="B538" s="1">
        <v>40567</v>
      </c>
      <c r="C538">
        <v>1</v>
      </c>
      <c r="D538">
        <v>0</v>
      </c>
      <c r="E538" t="str">
        <f>TEXT(Append1[[#This Row],[dteday]],"MMMM")</f>
        <v>January</v>
      </c>
      <c r="F538">
        <v>1</v>
      </c>
      <c r="G538">
        <v>12</v>
      </c>
      <c r="H538" t="b">
        <v>0</v>
      </c>
      <c r="I538" t="str">
        <f>TEXT(Append1[[#This Row],[dteday]],"DDDD")</f>
        <v>Monday</v>
      </c>
      <c r="J538" t="str" cm="1">
        <f t="array" ref="J538">_xlfn.IFS(Append1[[#This Row],[weekday cnt]]=0,"Weekend",Append1[[#This Row],[weekday cnt]]=6,"Weekend",Append1[[#This Row],[weekday cnt]]&gt;0,"Weekday")</f>
        <v>Weekday</v>
      </c>
      <c r="K538">
        <v>1</v>
      </c>
      <c r="L538" t="str" cm="1">
        <f t="array" ref="L5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38">
        <v>2</v>
      </c>
      <c r="N538">
        <v>0.12</v>
      </c>
      <c r="O538">
        <v>536</v>
      </c>
      <c r="P538">
        <v>537</v>
      </c>
      <c r="Q538">
        <v>0.13639999999999999</v>
      </c>
      <c r="R538">
        <v>0.42</v>
      </c>
      <c r="S538">
        <v>0.19400000000000001</v>
      </c>
      <c r="T538">
        <v>11</v>
      </c>
      <c r="U538">
        <v>52</v>
      </c>
      <c r="V538">
        <v>63</v>
      </c>
    </row>
    <row r="539" spans="1:22" x14ac:dyDescent="0.3">
      <c r="A539">
        <v>538</v>
      </c>
      <c r="B539" s="1">
        <v>40567</v>
      </c>
      <c r="C539">
        <v>1</v>
      </c>
      <c r="D539">
        <v>0</v>
      </c>
      <c r="E539" t="str">
        <f>TEXT(Append1[[#This Row],[dteday]],"MMMM")</f>
        <v>January</v>
      </c>
      <c r="F539">
        <v>1</v>
      </c>
      <c r="G539">
        <v>13</v>
      </c>
      <c r="H539" t="b">
        <v>0</v>
      </c>
      <c r="I539" t="str">
        <f>TEXT(Append1[[#This Row],[dteday]],"DDDD")</f>
        <v>Monday</v>
      </c>
      <c r="J539" t="str" cm="1">
        <f t="array" ref="J539">_xlfn.IFS(Append1[[#This Row],[weekday cnt]]=0,"Weekend",Append1[[#This Row],[weekday cnt]]=6,"Weekend",Append1[[#This Row],[weekday cnt]]&gt;0,"Weekday")</f>
        <v>Weekday</v>
      </c>
      <c r="K539">
        <v>1</v>
      </c>
      <c r="L539" t="str" cm="1">
        <f t="array" ref="L5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39">
        <v>2</v>
      </c>
      <c r="N539">
        <v>0.14000000000000001</v>
      </c>
      <c r="O539">
        <v>537</v>
      </c>
      <c r="P539">
        <v>538</v>
      </c>
      <c r="Q539">
        <v>0.13639999999999999</v>
      </c>
      <c r="R539">
        <v>0.43</v>
      </c>
      <c r="S539">
        <v>0.22389999999999999</v>
      </c>
      <c r="T539">
        <v>6</v>
      </c>
      <c r="U539">
        <v>54</v>
      </c>
      <c r="V539">
        <v>60</v>
      </c>
    </row>
    <row r="540" spans="1:22" x14ac:dyDescent="0.3">
      <c r="A540">
        <v>539</v>
      </c>
      <c r="B540" s="1">
        <v>40567</v>
      </c>
      <c r="C540">
        <v>1</v>
      </c>
      <c r="D540">
        <v>0</v>
      </c>
      <c r="E540" t="str">
        <f>TEXT(Append1[[#This Row],[dteday]],"MMMM")</f>
        <v>January</v>
      </c>
      <c r="F540">
        <v>1</v>
      </c>
      <c r="G540">
        <v>14</v>
      </c>
      <c r="H540" t="b">
        <v>0</v>
      </c>
      <c r="I540" t="str">
        <f>TEXT(Append1[[#This Row],[dteday]],"DDDD")</f>
        <v>Monday</v>
      </c>
      <c r="J540" t="str" cm="1">
        <f t="array" ref="J540">_xlfn.IFS(Append1[[#This Row],[weekday cnt]]=0,"Weekend",Append1[[#This Row],[weekday cnt]]=6,"Weekend",Append1[[#This Row],[weekday cnt]]&gt;0,"Weekday")</f>
        <v>Weekday</v>
      </c>
      <c r="K540">
        <v>1</v>
      </c>
      <c r="L540" t="str" cm="1">
        <f t="array" ref="L5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40">
        <v>2</v>
      </c>
      <c r="N540">
        <v>0.14000000000000001</v>
      </c>
      <c r="O540">
        <v>538</v>
      </c>
      <c r="P540">
        <v>539</v>
      </c>
      <c r="Q540">
        <v>0.13639999999999999</v>
      </c>
      <c r="R540">
        <v>0.46</v>
      </c>
      <c r="S540">
        <v>0.22389999999999999</v>
      </c>
      <c r="T540">
        <v>2</v>
      </c>
      <c r="U540">
        <v>43</v>
      </c>
      <c r="V540">
        <v>45</v>
      </c>
    </row>
    <row r="541" spans="1:22" x14ac:dyDescent="0.3">
      <c r="A541">
        <v>540</v>
      </c>
      <c r="B541" s="1">
        <v>40567</v>
      </c>
      <c r="C541">
        <v>1</v>
      </c>
      <c r="D541">
        <v>0</v>
      </c>
      <c r="E541" t="str">
        <f>TEXT(Append1[[#This Row],[dteday]],"MMMM")</f>
        <v>January</v>
      </c>
      <c r="F541">
        <v>1</v>
      </c>
      <c r="G541">
        <v>15</v>
      </c>
      <c r="H541" t="b">
        <v>0</v>
      </c>
      <c r="I541" t="str">
        <f>TEXT(Append1[[#This Row],[dteday]],"DDDD")</f>
        <v>Monday</v>
      </c>
      <c r="J541" t="str" cm="1">
        <f t="array" ref="J541">_xlfn.IFS(Append1[[#This Row],[weekday cnt]]=0,"Weekend",Append1[[#This Row],[weekday cnt]]=6,"Weekend",Append1[[#This Row],[weekday cnt]]&gt;0,"Weekday")</f>
        <v>Weekday</v>
      </c>
      <c r="K541">
        <v>1</v>
      </c>
      <c r="L541" t="str" cm="1">
        <f t="array" ref="L5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41">
        <v>1</v>
      </c>
      <c r="N541">
        <v>0.16</v>
      </c>
      <c r="O541">
        <v>539</v>
      </c>
      <c r="P541">
        <v>540</v>
      </c>
      <c r="Q541">
        <v>0.16669999999999999</v>
      </c>
      <c r="R541">
        <v>0.4</v>
      </c>
      <c r="S541">
        <v>0.16420000000000001</v>
      </c>
      <c r="T541">
        <v>7</v>
      </c>
      <c r="U541">
        <v>50</v>
      </c>
      <c r="V541">
        <v>57</v>
      </c>
    </row>
    <row r="542" spans="1:22" x14ac:dyDescent="0.3">
      <c r="A542">
        <v>541</v>
      </c>
      <c r="B542" s="1">
        <v>40567</v>
      </c>
      <c r="C542">
        <v>1</v>
      </c>
      <c r="D542">
        <v>0</v>
      </c>
      <c r="E542" t="str">
        <f>TEXT(Append1[[#This Row],[dteday]],"MMMM")</f>
        <v>January</v>
      </c>
      <c r="F542">
        <v>1</v>
      </c>
      <c r="G542">
        <v>16</v>
      </c>
      <c r="H542" t="b">
        <v>0</v>
      </c>
      <c r="I542" t="str">
        <f>TEXT(Append1[[#This Row],[dteday]],"DDDD")</f>
        <v>Monday</v>
      </c>
      <c r="J542" t="str" cm="1">
        <f t="array" ref="J542">_xlfn.IFS(Append1[[#This Row],[weekday cnt]]=0,"Weekend",Append1[[#This Row],[weekday cnt]]=6,"Weekend",Append1[[#This Row],[weekday cnt]]&gt;0,"Weekday")</f>
        <v>Weekday</v>
      </c>
      <c r="K542">
        <v>1</v>
      </c>
      <c r="L542" t="str" cm="1">
        <f t="array" ref="L5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42">
        <v>1</v>
      </c>
      <c r="N542">
        <v>0.16</v>
      </c>
      <c r="O542">
        <v>540</v>
      </c>
      <c r="P542">
        <v>541</v>
      </c>
      <c r="Q542">
        <v>0.1515</v>
      </c>
      <c r="R542">
        <v>0.47</v>
      </c>
      <c r="S542">
        <v>0.25369999999999998</v>
      </c>
      <c r="T542">
        <v>4</v>
      </c>
      <c r="U542">
        <v>66</v>
      </c>
      <c r="V542">
        <v>70</v>
      </c>
    </row>
    <row r="543" spans="1:22" x14ac:dyDescent="0.3">
      <c r="A543">
        <v>542</v>
      </c>
      <c r="B543" s="1">
        <v>40567</v>
      </c>
      <c r="C543">
        <v>1</v>
      </c>
      <c r="D543">
        <v>0</v>
      </c>
      <c r="E543" t="str">
        <f>TEXT(Append1[[#This Row],[dteday]],"MMMM")</f>
        <v>January</v>
      </c>
      <c r="F543">
        <v>1</v>
      </c>
      <c r="G543">
        <v>17</v>
      </c>
      <c r="H543" t="b">
        <v>0</v>
      </c>
      <c r="I543" t="str">
        <f>TEXT(Append1[[#This Row],[dteday]],"DDDD")</f>
        <v>Monday</v>
      </c>
      <c r="J543" t="str" cm="1">
        <f t="array" ref="J543">_xlfn.IFS(Append1[[#This Row],[weekday cnt]]=0,"Weekend",Append1[[#This Row],[weekday cnt]]=6,"Weekend",Append1[[#This Row],[weekday cnt]]&gt;0,"Weekday")</f>
        <v>Weekday</v>
      </c>
      <c r="K543">
        <v>1</v>
      </c>
      <c r="L543" t="str" cm="1">
        <f t="array" ref="L5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43">
        <v>1</v>
      </c>
      <c r="N543">
        <v>0.14000000000000001</v>
      </c>
      <c r="O543">
        <v>541</v>
      </c>
      <c r="P543">
        <v>542</v>
      </c>
      <c r="Q543">
        <v>0.1212</v>
      </c>
      <c r="R543">
        <v>0.5</v>
      </c>
      <c r="S543">
        <v>0.25369999999999998</v>
      </c>
      <c r="T543">
        <v>6</v>
      </c>
      <c r="U543">
        <v>178</v>
      </c>
      <c r="V543">
        <v>184</v>
      </c>
    </row>
    <row r="544" spans="1:22" x14ac:dyDescent="0.3">
      <c r="A544">
        <v>543</v>
      </c>
      <c r="B544" s="1">
        <v>40567</v>
      </c>
      <c r="C544">
        <v>1</v>
      </c>
      <c r="D544">
        <v>0</v>
      </c>
      <c r="E544" t="str">
        <f>TEXT(Append1[[#This Row],[dteday]],"MMMM")</f>
        <v>January</v>
      </c>
      <c r="F544">
        <v>1</v>
      </c>
      <c r="G544">
        <v>18</v>
      </c>
      <c r="H544" t="b">
        <v>0</v>
      </c>
      <c r="I544" t="str">
        <f>TEXT(Append1[[#This Row],[dteday]],"DDDD")</f>
        <v>Monday</v>
      </c>
      <c r="J544" t="str" cm="1">
        <f t="array" ref="J544">_xlfn.IFS(Append1[[#This Row],[weekday cnt]]=0,"Weekend",Append1[[#This Row],[weekday cnt]]=6,"Weekend",Append1[[#This Row],[weekday cnt]]&gt;0,"Weekday")</f>
        <v>Weekday</v>
      </c>
      <c r="K544">
        <v>1</v>
      </c>
      <c r="L544" t="str" cm="1">
        <f t="array" ref="L5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44">
        <v>1</v>
      </c>
      <c r="N544">
        <v>0.14000000000000001</v>
      </c>
      <c r="O544">
        <v>542</v>
      </c>
      <c r="P544">
        <v>543</v>
      </c>
      <c r="Q544">
        <v>0.13639999999999999</v>
      </c>
      <c r="R544">
        <v>0.59</v>
      </c>
      <c r="S544">
        <v>0.19400000000000001</v>
      </c>
      <c r="T544">
        <v>8</v>
      </c>
      <c r="U544">
        <v>145</v>
      </c>
      <c r="V544">
        <v>153</v>
      </c>
    </row>
    <row r="545" spans="1:22" x14ac:dyDescent="0.3">
      <c r="A545">
        <v>544</v>
      </c>
      <c r="B545" s="1">
        <v>40567</v>
      </c>
      <c r="C545">
        <v>1</v>
      </c>
      <c r="D545">
        <v>0</v>
      </c>
      <c r="E545" t="str">
        <f>TEXT(Append1[[#This Row],[dteday]],"MMMM")</f>
        <v>January</v>
      </c>
      <c r="F545">
        <v>1</v>
      </c>
      <c r="G545">
        <v>19</v>
      </c>
      <c r="H545" t="b">
        <v>0</v>
      </c>
      <c r="I545" t="str">
        <f>TEXT(Append1[[#This Row],[dteday]],"DDDD")</f>
        <v>Monday</v>
      </c>
      <c r="J545" t="str" cm="1">
        <f t="array" ref="J545">_xlfn.IFS(Append1[[#This Row],[weekday cnt]]=0,"Weekend",Append1[[#This Row],[weekday cnt]]=6,"Weekend",Append1[[#This Row],[weekday cnt]]&gt;0,"Weekday")</f>
        <v>Weekday</v>
      </c>
      <c r="K545">
        <v>1</v>
      </c>
      <c r="L545" t="str" cm="1">
        <f t="array" ref="L5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45">
        <v>1</v>
      </c>
      <c r="N545">
        <v>0.14000000000000001</v>
      </c>
      <c r="O545">
        <v>543</v>
      </c>
      <c r="P545">
        <v>544</v>
      </c>
      <c r="Q545">
        <v>0.1515</v>
      </c>
      <c r="R545">
        <v>0.54</v>
      </c>
      <c r="S545">
        <v>0.16420000000000001</v>
      </c>
      <c r="T545">
        <v>5</v>
      </c>
      <c r="U545">
        <v>101</v>
      </c>
      <c r="V545">
        <v>106</v>
      </c>
    </row>
    <row r="546" spans="1:22" x14ac:dyDescent="0.3">
      <c r="A546">
        <v>545</v>
      </c>
      <c r="B546" s="1">
        <v>40567</v>
      </c>
      <c r="C546">
        <v>1</v>
      </c>
      <c r="D546">
        <v>0</v>
      </c>
      <c r="E546" t="str">
        <f>TEXT(Append1[[#This Row],[dteday]],"MMMM")</f>
        <v>January</v>
      </c>
      <c r="F546">
        <v>1</v>
      </c>
      <c r="G546">
        <v>20</v>
      </c>
      <c r="H546" t="b">
        <v>0</v>
      </c>
      <c r="I546" t="str">
        <f>TEXT(Append1[[#This Row],[dteday]],"DDDD")</f>
        <v>Monday</v>
      </c>
      <c r="J546" t="str" cm="1">
        <f t="array" ref="J546">_xlfn.IFS(Append1[[#This Row],[weekday cnt]]=0,"Weekend",Append1[[#This Row],[weekday cnt]]=6,"Weekend",Append1[[#This Row],[weekday cnt]]&gt;0,"Weekday")</f>
        <v>Weekday</v>
      </c>
      <c r="K546">
        <v>1</v>
      </c>
      <c r="L546" t="str" cm="1">
        <f t="array" ref="L5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46">
        <v>1</v>
      </c>
      <c r="N546">
        <v>0.14000000000000001</v>
      </c>
      <c r="O546">
        <v>544</v>
      </c>
      <c r="P546">
        <v>545</v>
      </c>
      <c r="Q546">
        <v>0.13639999999999999</v>
      </c>
      <c r="R546">
        <v>0.59</v>
      </c>
      <c r="S546">
        <v>0.19400000000000001</v>
      </c>
      <c r="T546">
        <v>1</v>
      </c>
      <c r="U546">
        <v>80</v>
      </c>
      <c r="V546">
        <v>81</v>
      </c>
    </row>
    <row r="547" spans="1:22" x14ac:dyDescent="0.3">
      <c r="A547">
        <v>546</v>
      </c>
      <c r="B547" s="1">
        <v>40567</v>
      </c>
      <c r="C547">
        <v>1</v>
      </c>
      <c r="D547">
        <v>0</v>
      </c>
      <c r="E547" t="str">
        <f>TEXT(Append1[[#This Row],[dteday]],"MMMM")</f>
        <v>January</v>
      </c>
      <c r="F547">
        <v>1</v>
      </c>
      <c r="G547">
        <v>21</v>
      </c>
      <c r="H547" t="b">
        <v>0</v>
      </c>
      <c r="I547" t="str">
        <f>TEXT(Append1[[#This Row],[dteday]],"DDDD")</f>
        <v>Monday</v>
      </c>
      <c r="J547" t="str" cm="1">
        <f t="array" ref="J547">_xlfn.IFS(Append1[[#This Row],[weekday cnt]]=0,"Weekend",Append1[[#This Row],[weekday cnt]]=6,"Weekend",Append1[[#This Row],[weekday cnt]]&gt;0,"Weekday")</f>
        <v>Weekday</v>
      </c>
      <c r="K547">
        <v>1</v>
      </c>
      <c r="L547" t="str" cm="1">
        <f t="array" ref="L5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47">
        <v>1</v>
      </c>
      <c r="N547">
        <v>0.14000000000000001</v>
      </c>
      <c r="O547">
        <v>545</v>
      </c>
      <c r="P547">
        <v>546</v>
      </c>
      <c r="Q547">
        <v>0.1515</v>
      </c>
      <c r="R547">
        <v>0.63</v>
      </c>
      <c r="S547">
        <v>0.16420000000000001</v>
      </c>
      <c r="T547">
        <v>6</v>
      </c>
      <c r="U547">
        <v>53</v>
      </c>
      <c r="V547">
        <v>59</v>
      </c>
    </row>
    <row r="548" spans="1:22" x14ac:dyDescent="0.3">
      <c r="A548">
        <v>547</v>
      </c>
      <c r="B548" s="1">
        <v>40567</v>
      </c>
      <c r="C548">
        <v>1</v>
      </c>
      <c r="D548">
        <v>0</v>
      </c>
      <c r="E548" t="str">
        <f>TEXT(Append1[[#This Row],[dteday]],"MMMM")</f>
        <v>January</v>
      </c>
      <c r="F548">
        <v>1</v>
      </c>
      <c r="G548">
        <v>22</v>
      </c>
      <c r="H548" t="b">
        <v>0</v>
      </c>
      <c r="I548" t="str">
        <f>TEXT(Append1[[#This Row],[dteday]],"DDDD")</f>
        <v>Monday</v>
      </c>
      <c r="J548" t="str" cm="1">
        <f t="array" ref="J548">_xlfn.IFS(Append1[[#This Row],[weekday cnt]]=0,"Weekend",Append1[[#This Row],[weekday cnt]]=6,"Weekend",Append1[[#This Row],[weekday cnt]]&gt;0,"Weekday")</f>
        <v>Weekday</v>
      </c>
      <c r="K548">
        <v>1</v>
      </c>
      <c r="L548" t="str" cm="1">
        <f t="array" ref="L5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48">
        <v>2</v>
      </c>
      <c r="N548">
        <v>0.14000000000000001</v>
      </c>
      <c r="O548">
        <v>546</v>
      </c>
      <c r="P548">
        <v>547</v>
      </c>
      <c r="Q548">
        <v>0.13639999999999999</v>
      </c>
      <c r="R548">
        <v>0.63</v>
      </c>
      <c r="S548">
        <v>0.22389999999999999</v>
      </c>
      <c r="T548">
        <v>3</v>
      </c>
      <c r="U548">
        <v>32</v>
      </c>
      <c r="V548">
        <v>35</v>
      </c>
    </row>
    <row r="549" spans="1:22" x14ac:dyDescent="0.3">
      <c r="A549">
        <v>548</v>
      </c>
      <c r="B549" s="1">
        <v>40567</v>
      </c>
      <c r="C549">
        <v>1</v>
      </c>
      <c r="D549">
        <v>0</v>
      </c>
      <c r="E549" t="str">
        <f>TEXT(Append1[[#This Row],[dteday]],"MMMM")</f>
        <v>January</v>
      </c>
      <c r="F549">
        <v>1</v>
      </c>
      <c r="G549">
        <v>23</v>
      </c>
      <c r="H549" t="b">
        <v>0</v>
      </c>
      <c r="I549" t="str">
        <f>TEXT(Append1[[#This Row],[dteday]],"DDDD")</f>
        <v>Monday</v>
      </c>
      <c r="J549" t="str" cm="1">
        <f t="array" ref="J549">_xlfn.IFS(Append1[[#This Row],[weekday cnt]]=0,"Weekend",Append1[[#This Row],[weekday cnt]]=6,"Weekend",Append1[[#This Row],[weekday cnt]]&gt;0,"Weekday")</f>
        <v>Weekday</v>
      </c>
      <c r="K549">
        <v>1</v>
      </c>
      <c r="L549" t="str" cm="1">
        <f t="array" ref="L5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49">
        <v>2</v>
      </c>
      <c r="N549">
        <v>0.16</v>
      </c>
      <c r="O549">
        <v>547</v>
      </c>
      <c r="P549">
        <v>548</v>
      </c>
      <c r="Q549">
        <v>0.1515</v>
      </c>
      <c r="R549">
        <v>0.64</v>
      </c>
      <c r="S549">
        <v>0.25369999999999998</v>
      </c>
      <c r="T549">
        <v>3</v>
      </c>
      <c r="U549">
        <v>21</v>
      </c>
      <c r="V549">
        <v>24</v>
      </c>
    </row>
    <row r="550" spans="1:22" x14ac:dyDescent="0.3">
      <c r="A550">
        <v>549</v>
      </c>
      <c r="B550" s="1">
        <v>40568</v>
      </c>
      <c r="C550">
        <v>1</v>
      </c>
      <c r="D550">
        <v>0</v>
      </c>
      <c r="E550" t="str">
        <f>TEXT(Append1[[#This Row],[dteday]],"MMMM")</f>
        <v>January</v>
      </c>
      <c r="F550">
        <v>1</v>
      </c>
      <c r="G550">
        <v>0</v>
      </c>
      <c r="H550" t="b">
        <v>0</v>
      </c>
      <c r="I550" t="str">
        <f>TEXT(Append1[[#This Row],[dteday]],"DDDD")</f>
        <v>Tuesday</v>
      </c>
      <c r="J550" t="str" cm="1">
        <f t="array" ref="J550">_xlfn.IFS(Append1[[#This Row],[weekday cnt]]=0,"Weekend",Append1[[#This Row],[weekday cnt]]=6,"Weekend",Append1[[#This Row],[weekday cnt]]&gt;0,"Weekday")</f>
        <v>Weekday</v>
      </c>
      <c r="K550">
        <v>2</v>
      </c>
      <c r="L550" t="str" cm="1">
        <f t="array" ref="L5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50">
        <v>2</v>
      </c>
      <c r="N550">
        <v>0.16</v>
      </c>
      <c r="O550">
        <v>548</v>
      </c>
      <c r="P550">
        <v>549</v>
      </c>
      <c r="Q550">
        <v>0.13639999999999999</v>
      </c>
      <c r="R550">
        <v>0.69</v>
      </c>
      <c r="S550">
        <v>0.28360000000000002</v>
      </c>
      <c r="T550">
        <v>3</v>
      </c>
      <c r="U550">
        <v>6</v>
      </c>
      <c r="V550">
        <v>9</v>
      </c>
    </row>
    <row r="551" spans="1:22" x14ac:dyDescent="0.3">
      <c r="A551">
        <v>550</v>
      </c>
      <c r="B551" s="1">
        <v>40568</v>
      </c>
      <c r="C551">
        <v>1</v>
      </c>
      <c r="D551">
        <v>0</v>
      </c>
      <c r="E551" t="str">
        <f>TEXT(Append1[[#This Row],[dteday]],"MMMM")</f>
        <v>January</v>
      </c>
      <c r="F551">
        <v>1</v>
      </c>
      <c r="G551">
        <v>1</v>
      </c>
      <c r="H551" t="b">
        <v>0</v>
      </c>
      <c r="I551" t="str">
        <f>TEXT(Append1[[#This Row],[dteday]],"DDDD")</f>
        <v>Tuesday</v>
      </c>
      <c r="J551" t="str" cm="1">
        <f t="array" ref="J551">_xlfn.IFS(Append1[[#This Row],[weekday cnt]]=0,"Weekend",Append1[[#This Row],[weekday cnt]]=6,"Weekend",Append1[[#This Row],[weekday cnt]]&gt;0,"Weekday")</f>
        <v>Weekday</v>
      </c>
      <c r="K551">
        <v>2</v>
      </c>
      <c r="L551" t="str" cm="1">
        <f t="array" ref="L5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51">
        <v>2</v>
      </c>
      <c r="N551">
        <v>0.16</v>
      </c>
      <c r="O551">
        <v>549</v>
      </c>
      <c r="P551">
        <v>550</v>
      </c>
      <c r="Q551">
        <v>0.16669999999999999</v>
      </c>
      <c r="R551">
        <v>0.69</v>
      </c>
      <c r="S551">
        <v>0.16420000000000001</v>
      </c>
      <c r="T551">
        <v>0</v>
      </c>
      <c r="U551">
        <v>5</v>
      </c>
      <c r="V551">
        <v>5</v>
      </c>
    </row>
    <row r="552" spans="1:22" x14ac:dyDescent="0.3">
      <c r="A552">
        <v>551</v>
      </c>
      <c r="B552" s="1">
        <v>40568</v>
      </c>
      <c r="C552">
        <v>1</v>
      </c>
      <c r="D552">
        <v>0</v>
      </c>
      <c r="E552" t="str">
        <f>TEXT(Append1[[#This Row],[dteday]],"MMMM")</f>
        <v>January</v>
      </c>
      <c r="F552">
        <v>1</v>
      </c>
      <c r="G552">
        <v>2</v>
      </c>
      <c r="H552" t="b">
        <v>0</v>
      </c>
      <c r="I552" t="str">
        <f>TEXT(Append1[[#This Row],[dteday]],"DDDD")</f>
        <v>Tuesday</v>
      </c>
      <c r="J552" t="str" cm="1">
        <f t="array" ref="J552">_xlfn.IFS(Append1[[#This Row],[weekday cnt]]=0,"Weekend",Append1[[#This Row],[weekday cnt]]=6,"Weekend",Append1[[#This Row],[weekday cnt]]&gt;0,"Weekday")</f>
        <v>Weekday</v>
      </c>
      <c r="K552">
        <v>2</v>
      </c>
      <c r="L552" t="str" cm="1">
        <f t="array" ref="L5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52">
        <v>1</v>
      </c>
      <c r="N552">
        <v>0.16</v>
      </c>
      <c r="O552">
        <v>550</v>
      </c>
      <c r="P552">
        <v>551</v>
      </c>
      <c r="Q552">
        <v>0.1515</v>
      </c>
      <c r="R552">
        <v>0.69</v>
      </c>
      <c r="S552">
        <v>0.22389999999999999</v>
      </c>
      <c r="T552">
        <v>0</v>
      </c>
      <c r="U552">
        <v>2</v>
      </c>
      <c r="V552">
        <v>2</v>
      </c>
    </row>
    <row r="553" spans="1:22" x14ac:dyDescent="0.3">
      <c r="A553">
        <v>552</v>
      </c>
      <c r="B553" s="1">
        <v>40568</v>
      </c>
      <c r="C553">
        <v>1</v>
      </c>
      <c r="D553">
        <v>0</v>
      </c>
      <c r="E553" t="str">
        <f>TEXT(Append1[[#This Row],[dteday]],"MMMM")</f>
        <v>January</v>
      </c>
      <c r="F553">
        <v>1</v>
      </c>
      <c r="G553">
        <v>4</v>
      </c>
      <c r="H553" t="b">
        <v>0</v>
      </c>
      <c r="I553" t="str">
        <f>TEXT(Append1[[#This Row],[dteday]],"DDDD")</f>
        <v>Tuesday</v>
      </c>
      <c r="J553" t="str" cm="1">
        <f t="array" ref="J553">_xlfn.IFS(Append1[[#This Row],[weekday cnt]]=0,"Weekend",Append1[[#This Row],[weekday cnt]]=6,"Weekend",Append1[[#This Row],[weekday cnt]]&gt;0,"Weekday")</f>
        <v>Weekday</v>
      </c>
      <c r="K553">
        <v>2</v>
      </c>
      <c r="L553" t="str" cm="1">
        <f t="array" ref="L5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53">
        <v>1</v>
      </c>
      <c r="N553">
        <v>0.14000000000000001</v>
      </c>
      <c r="O553">
        <v>551</v>
      </c>
      <c r="P553">
        <v>552</v>
      </c>
      <c r="Q553">
        <v>0.16669999999999999</v>
      </c>
      <c r="R553">
        <v>0.74</v>
      </c>
      <c r="S553">
        <v>0.1045</v>
      </c>
      <c r="T553">
        <v>0</v>
      </c>
      <c r="U553">
        <v>1</v>
      </c>
      <c r="V553">
        <v>1</v>
      </c>
    </row>
    <row r="554" spans="1:22" x14ac:dyDescent="0.3">
      <c r="A554">
        <v>553</v>
      </c>
      <c r="B554" s="1">
        <v>40568</v>
      </c>
      <c r="C554">
        <v>1</v>
      </c>
      <c r="D554">
        <v>0</v>
      </c>
      <c r="E554" t="str">
        <f>TEXT(Append1[[#This Row],[dteday]],"MMMM")</f>
        <v>January</v>
      </c>
      <c r="F554">
        <v>1</v>
      </c>
      <c r="G554">
        <v>5</v>
      </c>
      <c r="H554" t="b">
        <v>0</v>
      </c>
      <c r="I554" t="str">
        <f>TEXT(Append1[[#This Row],[dteday]],"DDDD")</f>
        <v>Tuesday</v>
      </c>
      <c r="J554" t="str" cm="1">
        <f t="array" ref="J554">_xlfn.IFS(Append1[[#This Row],[weekday cnt]]=0,"Weekend",Append1[[#This Row],[weekday cnt]]=6,"Weekend",Append1[[#This Row],[weekday cnt]]&gt;0,"Weekday")</f>
        <v>Weekday</v>
      </c>
      <c r="K554">
        <v>2</v>
      </c>
      <c r="L554" t="str" cm="1">
        <f t="array" ref="L5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54">
        <v>1</v>
      </c>
      <c r="N554">
        <v>0.14000000000000001</v>
      </c>
      <c r="O554">
        <v>552</v>
      </c>
      <c r="P554">
        <v>553</v>
      </c>
      <c r="Q554">
        <v>0.13639999999999999</v>
      </c>
      <c r="R554">
        <v>0.74</v>
      </c>
      <c r="S554">
        <v>0.22389999999999999</v>
      </c>
      <c r="T554">
        <v>0</v>
      </c>
      <c r="U554">
        <v>9</v>
      </c>
      <c r="V554">
        <v>9</v>
      </c>
    </row>
    <row r="555" spans="1:22" x14ac:dyDescent="0.3">
      <c r="A555">
        <v>554</v>
      </c>
      <c r="B555" s="1">
        <v>40568</v>
      </c>
      <c r="C555">
        <v>1</v>
      </c>
      <c r="D555">
        <v>0</v>
      </c>
      <c r="E555" t="str">
        <f>TEXT(Append1[[#This Row],[dteday]],"MMMM")</f>
        <v>January</v>
      </c>
      <c r="F555">
        <v>1</v>
      </c>
      <c r="G555">
        <v>6</v>
      </c>
      <c r="H555" t="b">
        <v>0</v>
      </c>
      <c r="I555" t="str">
        <f>TEXT(Append1[[#This Row],[dteday]],"DDDD")</f>
        <v>Tuesday</v>
      </c>
      <c r="J555" t="str" cm="1">
        <f t="array" ref="J555">_xlfn.IFS(Append1[[#This Row],[weekday cnt]]=0,"Weekend",Append1[[#This Row],[weekday cnt]]=6,"Weekend",Append1[[#This Row],[weekday cnt]]&gt;0,"Weekday")</f>
        <v>Weekday</v>
      </c>
      <c r="K555">
        <v>2</v>
      </c>
      <c r="L555" t="str" cm="1">
        <f t="array" ref="L5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55">
        <v>1</v>
      </c>
      <c r="N555">
        <v>0.16</v>
      </c>
      <c r="O555">
        <v>553</v>
      </c>
      <c r="P555">
        <v>554</v>
      </c>
      <c r="Q555">
        <v>0.18179999999999999</v>
      </c>
      <c r="R555">
        <v>0.74</v>
      </c>
      <c r="S555">
        <v>0.1045</v>
      </c>
      <c r="T555">
        <v>1</v>
      </c>
      <c r="U555">
        <v>35</v>
      </c>
      <c r="V555">
        <v>36</v>
      </c>
    </row>
    <row r="556" spans="1:22" x14ac:dyDescent="0.3">
      <c r="A556">
        <v>555</v>
      </c>
      <c r="B556" s="1">
        <v>40568</v>
      </c>
      <c r="C556">
        <v>1</v>
      </c>
      <c r="D556">
        <v>0</v>
      </c>
      <c r="E556" t="str">
        <f>TEXT(Append1[[#This Row],[dteday]],"MMMM")</f>
        <v>January</v>
      </c>
      <c r="F556">
        <v>1</v>
      </c>
      <c r="G556">
        <v>7</v>
      </c>
      <c r="H556" t="b">
        <v>0</v>
      </c>
      <c r="I556" t="str">
        <f>TEXT(Append1[[#This Row],[dteday]],"DDDD")</f>
        <v>Tuesday</v>
      </c>
      <c r="J556" t="str" cm="1">
        <f t="array" ref="J556">_xlfn.IFS(Append1[[#This Row],[weekday cnt]]=0,"Weekend",Append1[[#This Row],[weekday cnt]]=6,"Weekend",Append1[[#This Row],[weekday cnt]]&gt;0,"Weekday")</f>
        <v>Weekday</v>
      </c>
      <c r="K556">
        <v>2</v>
      </c>
      <c r="L556" t="str" cm="1">
        <f t="array" ref="L5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56">
        <v>1</v>
      </c>
      <c r="N556">
        <v>0.16</v>
      </c>
      <c r="O556">
        <v>554</v>
      </c>
      <c r="P556">
        <v>555</v>
      </c>
      <c r="Q556">
        <v>0.1515</v>
      </c>
      <c r="R556">
        <v>0.74</v>
      </c>
      <c r="S556">
        <v>0.22389999999999999</v>
      </c>
      <c r="T556">
        <v>5</v>
      </c>
      <c r="U556">
        <v>103</v>
      </c>
      <c r="V556">
        <v>108</v>
      </c>
    </row>
    <row r="557" spans="1:22" x14ac:dyDescent="0.3">
      <c r="A557">
        <v>556</v>
      </c>
      <c r="B557" s="1">
        <v>40568</v>
      </c>
      <c r="C557">
        <v>1</v>
      </c>
      <c r="D557">
        <v>0</v>
      </c>
      <c r="E557" t="str">
        <f>TEXT(Append1[[#This Row],[dteday]],"MMMM")</f>
        <v>January</v>
      </c>
      <c r="F557">
        <v>1</v>
      </c>
      <c r="G557">
        <v>8</v>
      </c>
      <c r="H557" t="b">
        <v>0</v>
      </c>
      <c r="I557" t="str">
        <f>TEXT(Append1[[#This Row],[dteday]],"DDDD")</f>
        <v>Tuesday</v>
      </c>
      <c r="J557" t="str" cm="1">
        <f t="array" ref="J557">_xlfn.IFS(Append1[[#This Row],[weekday cnt]]=0,"Weekend",Append1[[#This Row],[weekday cnt]]=6,"Weekend",Append1[[#This Row],[weekday cnt]]&gt;0,"Weekday")</f>
        <v>Weekday</v>
      </c>
      <c r="K557">
        <v>2</v>
      </c>
      <c r="L557" t="str" cm="1">
        <f t="array" ref="L5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57">
        <v>2</v>
      </c>
      <c r="N557">
        <v>0.16</v>
      </c>
      <c r="O557">
        <v>555</v>
      </c>
      <c r="P557">
        <v>556</v>
      </c>
      <c r="Q557">
        <v>0.18179999999999999</v>
      </c>
      <c r="R557">
        <v>0.74</v>
      </c>
      <c r="S557">
        <v>0.1343</v>
      </c>
      <c r="T557">
        <v>5</v>
      </c>
      <c r="U557">
        <v>233</v>
      </c>
      <c r="V557">
        <v>238</v>
      </c>
    </row>
    <row r="558" spans="1:22" x14ac:dyDescent="0.3">
      <c r="A558">
        <v>557</v>
      </c>
      <c r="B558" s="1">
        <v>40568</v>
      </c>
      <c r="C558">
        <v>1</v>
      </c>
      <c r="D558">
        <v>0</v>
      </c>
      <c r="E558" t="str">
        <f>TEXT(Append1[[#This Row],[dteday]],"MMMM")</f>
        <v>January</v>
      </c>
      <c r="F558">
        <v>1</v>
      </c>
      <c r="G558">
        <v>9</v>
      </c>
      <c r="H558" t="b">
        <v>0</v>
      </c>
      <c r="I558" t="str">
        <f>TEXT(Append1[[#This Row],[dteday]],"DDDD")</f>
        <v>Tuesday</v>
      </c>
      <c r="J558" t="str" cm="1">
        <f t="array" ref="J558">_xlfn.IFS(Append1[[#This Row],[weekday cnt]]=0,"Weekend",Append1[[#This Row],[weekday cnt]]=6,"Weekend",Append1[[#This Row],[weekday cnt]]&gt;0,"Weekday")</f>
        <v>Weekday</v>
      </c>
      <c r="K558">
        <v>2</v>
      </c>
      <c r="L558" t="str" cm="1">
        <f t="array" ref="L5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58">
        <v>2</v>
      </c>
      <c r="N558">
        <v>0.2</v>
      </c>
      <c r="O558">
        <v>556</v>
      </c>
      <c r="P558">
        <v>557</v>
      </c>
      <c r="Q558">
        <v>0.2273</v>
      </c>
      <c r="R558">
        <v>0.64</v>
      </c>
      <c r="S558">
        <v>8.9599999999999999E-2</v>
      </c>
      <c r="T558">
        <v>10</v>
      </c>
      <c r="U558">
        <v>134</v>
      </c>
      <c r="V558">
        <v>144</v>
      </c>
    </row>
    <row r="559" spans="1:22" x14ac:dyDescent="0.3">
      <c r="A559">
        <v>558</v>
      </c>
      <c r="B559" s="1">
        <v>40568</v>
      </c>
      <c r="C559">
        <v>1</v>
      </c>
      <c r="D559">
        <v>0</v>
      </c>
      <c r="E559" t="str">
        <f>TEXT(Append1[[#This Row],[dteday]],"MMMM")</f>
        <v>January</v>
      </c>
      <c r="F559">
        <v>1</v>
      </c>
      <c r="G559">
        <v>10</v>
      </c>
      <c r="H559" t="b">
        <v>0</v>
      </c>
      <c r="I559" t="str">
        <f>TEXT(Append1[[#This Row],[dteday]],"DDDD")</f>
        <v>Tuesday</v>
      </c>
      <c r="J559" t="str" cm="1">
        <f t="array" ref="J559">_xlfn.IFS(Append1[[#This Row],[weekday cnt]]=0,"Weekend",Append1[[#This Row],[weekday cnt]]=6,"Weekend",Append1[[#This Row],[weekday cnt]]&gt;0,"Weekday")</f>
        <v>Weekday</v>
      </c>
      <c r="K559">
        <v>2</v>
      </c>
      <c r="L559" t="str" cm="1">
        <f t="array" ref="L5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59">
        <v>2</v>
      </c>
      <c r="N559">
        <v>0.22</v>
      </c>
      <c r="O559">
        <v>557</v>
      </c>
      <c r="P559">
        <v>558</v>
      </c>
      <c r="Q559">
        <v>0.2424</v>
      </c>
      <c r="R559">
        <v>0.6</v>
      </c>
      <c r="S559">
        <v>0.1045</v>
      </c>
      <c r="T559">
        <v>6</v>
      </c>
      <c r="U559">
        <v>49</v>
      </c>
      <c r="V559">
        <v>55</v>
      </c>
    </row>
    <row r="560" spans="1:22" x14ac:dyDescent="0.3">
      <c r="A560">
        <v>559</v>
      </c>
      <c r="B560" s="1">
        <v>40568</v>
      </c>
      <c r="C560">
        <v>1</v>
      </c>
      <c r="D560">
        <v>0</v>
      </c>
      <c r="E560" t="str">
        <f>TEXT(Append1[[#This Row],[dteday]],"MMMM")</f>
        <v>January</v>
      </c>
      <c r="F560">
        <v>1</v>
      </c>
      <c r="G560">
        <v>11</v>
      </c>
      <c r="H560" t="b">
        <v>0</v>
      </c>
      <c r="I560" t="str">
        <f>TEXT(Append1[[#This Row],[dteday]],"DDDD")</f>
        <v>Tuesday</v>
      </c>
      <c r="J560" t="str" cm="1">
        <f t="array" ref="J560">_xlfn.IFS(Append1[[#This Row],[weekday cnt]]=0,"Weekend",Append1[[#This Row],[weekday cnt]]=6,"Weekend",Append1[[#This Row],[weekday cnt]]&gt;0,"Weekday")</f>
        <v>Weekday</v>
      </c>
      <c r="K560">
        <v>2</v>
      </c>
      <c r="L560" t="str" cm="1">
        <f t="array" ref="L5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60">
        <v>2</v>
      </c>
      <c r="N560">
        <v>0.24</v>
      </c>
      <c r="O560">
        <v>558</v>
      </c>
      <c r="P560">
        <v>559</v>
      </c>
      <c r="Q560">
        <v>0.2424</v>
      </c>
      <c r="R560">
        <v>0.6</v>
      </c>
      <c r="S560">
        <v>0.1343</v>
      </c>
      <c r="T560">
        <v>6</v>
      </c>
      <c r="U560">
        <v>55</v>
      </c>
      <c r="V560">
        <v>61</v>
      </c>
    </row>
    <row r="561" spans="1:22" x14ac:dyDescent="0.3">
      <c r="A561">
        <v>560</v>
      </c>
      <c r="B561" s="1">
        <v>40568</v>
      </c>
      <c r="C561">
        <v>1</v>
      </c>
      <c r="D561">
        <v>0</v>
      </c>
      <c r="E561" t="str">
        <f>TEXT(Append1[[#This Row],[dteday]],"MMMM")</f>
        <v>January</v>
      </c>
      <c r="F561">
        <v>1</v>
      </c>
      <c r="G561">
        <v>12</v>
      </c>
      <c r="H561" t="b">
        <v>0</v>
      </c>
      <c r="I561" t="str">
        <f>TEXT(Append1[[#This Row],[dteday]],"DDDD")</f>
        <v>Tuesday</v>
      </c>
      <c r="J561" t="str" cm="1">
        <f t="array" ref="J561">_xlfn.IFS(Append1[[#This Row],[weekday cnt]]=0,"Weekend",Append1[[#This Row],[weekday cnt]]=6,"Weekend",Append1[[#This Row],[weekday cnt]]&gt;0,"Weekday")</f>
        <v>Weekday</v>
      </c>
      <c r="K561">
        <v>2</v>
      </c>
      <c r="L561" t="str" cm="1">
        <f t="array" ref="L5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61">
        <v>2</v>
      </c>
      <c r="N561">
        <v>0.26</v>
      </c>
      <c r="O561">
        <v>559</v>
      </c>
      <c r="P561">
        <v>560</v>
      </c>
      <c r="Q561">
        <v>0.28789999999999999</v>
      </c>
      <c r="R561">
        <v>0.56000000000000005</v>
      </c>
      <c r="S561">
        <v>8.9599999999999999E-2</v>
      </c>
      <c r="T561">
        <v>21</v>
      </c>
      <c r="U561">
        <v>85</v>
      </c>
      <c r="V561">
        <v>106</v>
      </c>
    </row>
    <row r="562" spans="1:22" x14ac:dyDescent="0.3">
      <c r="A562">
        <v>561</v>
      </c>
      <c r="B562" s="1">
        <v>40568</v>
      </c>
      <c r="C562">
        <v>1</v>
      </c>
      <c r="D562">
        <v>0</v>
      </c>
      <c r="E562" t="str">
        <f>TEXT(Append1[[#This Row],[dteday]],"MMMM")</f>
        <v>January</v>
      </c>
      <c r="F562">
        <v>1</v>
      </c>
      <c r="G562">
        <v>13</v>
      </c>
      <c r="H562" t="b">
        <v>0</v>
      </c>
      <c r="I562" t="str">
        <f>TEXT(Append1[[#This Row],[dteday]],"DDDD")</f>
        <v>Tuesday</v>
      </c>
      <c r="J562" t="str" cm="1">
        <f t="array" ref="J562">_xlfn.IFS(Append1[[#This Row],[weekday cnt]]=0,"Weekend",Append1[[#This Row],[weekday cnt]]=6,"Weekend",Append1[[#This Row],[weekday cnt]]&gt;0,"Weekday")</f>
        <v>Weekday</v>
      </c>
      <c r="K562">
        <v>2</v>
      </c>
      <c r="L562" t="str" cm="1">
        <f t="array" ref="L5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62">
        <v>2</v>
      </c>
      <c r="N562">
        <v>0.26</v>
      </c>
      <c r="O562">
        <v>560</v>
      </c>
      <c r="P562">
        <v>561</v>
      </c>
      <c r="Q562">
        <v>0.2727</v>
      </c>
      <c r="R562">
        <v>0.56000000000000005</v>
      </c>
      <c r="S562">
        <v>0.1343</v>
      </c>
      <c r="T562">
        <v>21</v>
      </c>
      <c r="U562">
        <v>72</v>
      </c>
      <c r="V562">
        <v>93</v>
      </c>
    </row>
    <row r="563" spans="1:22" x14ac:dyDescent="0.3">
      <c r="A563">
        <v>562</v>
      </c>
      <c r="B563" s="1">
        <v>40568</v>
      </c>
      <c r="C563">
        <v>1</v>
      </c>
      <c r="D563">
        <v>0</v>
      </c>
      <c r="E563" t="str">
        <f>TEXT(Append1[[#This Row],[dteday]],"MMMM")</f>
        <v>January</v>
      </c>
      <c r="F563">
        <v>1</v>
      </c>
      <c r="G563">
        <v>14</v>
      </c>
      <c r="H563" t="b">
        <v>0</v>
      </c>
      <c r="I563" t="str">
        <f>TEXT(Append1[[#This Row],[dteday]],"DDDD")</f>
        <v>Tuesday</v>
      </c>
      <c r="J563" t="str" cm="1">
        <f t="array" ref="J563">_xlfn.IFS(Append1[[#This Row],[weekday cnt]]=0,"Weekend",Append1[[#This Row],[weekday cnt]]=6,"Weekend",Append1[[#This Row],[weekday cnt]]&gt;0,"Weekday")</f>
        <v>Weekday</v>
      </c>
      <c r="K563">
        <v>2</v>
      </c>
      <c r="L563" t="str" cm="1">
        <f t="array" ref="L5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63">
        <v>2</v>
      </c>
      <c r="N563">
        <v>0.3</v>
      </c>
      <c r="O563">
        <v>561</v>
      </c>
      <c r="P563">
        <v>562</v>
      </c>
      <c r="Q563">
        <v>0.33329999999999999</v>
      </c>
      <c r="R563">
        <v>0.45</v>
      </c>
      <c r="S563">
        <v>0</v>
      </c>
      <c r="T563">
        <v>11</v>
      </c>
      <c r="U563">
        <v>57</v>
      </c>
      <c r="V563">
        <v>68</v>
      </c>
    </row>
    <row r="564" spans="1:22" x14ac:dyDescent="0.3">
      <c r="A564">
        <v>563</v>
      </c>
      <c r="B564" s="1">
        <v>40568</v>
      </c>
      <c r="C564">
        <v>1</v>
      </c>
      <c r="D564">
        <v>0</v>
      </c>
      <c r="E564" t="str">
        <f>TEXT(Append1[[#This Row],[dteday]],"MMMM")</f>
        <v>January</v>
      </c>
      <c r="F564">
        <v>1</v>
      </c>
      <c r="G564">
        <v>15</v>
      </c>
      <c r="H564" t="b">
        <v>0</v>
      </c>
      <c r="I564" t="str">
        <f>TEXT(Append1[[#This Row],[dteday]],"DDDD")</f>
        <v>Tuesday</v>
      </c>
      <c r="J564" t="str" cm="1">
        <f t="array" ref="J564">_xlfn.IFS(Append1[[#This Row],[weekday cnt]]=0,"Weekend",Append1[[#This Row],[weekday cnt]]=6,"Weekend",Append1[[#This Row],[weekday cnt]]&gt;0,"Weekday")</f>
        <v>Weekday</v>
      </c>
      <c r="K564">
        <v>2</v>
      </c>
      <c r="L564" t="str" cm="1">
        <f t="array" ref="L5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64">
        <v>2</v>
      </c>
      <c r="N564">
        <v>0.32</v>
      </c>
      <c r="O564">
        <v>562</v>
      </c>
      <c r="P564">
        <v>563</v>
      </c>
      <c r="Q564">
        <v>0.34849999999999998</v>
      </c>
      <c r="R564">
        <v>0.42</v>
      </c>
      <c r="S564">
        <v>0</v>
      </c>
      <c r="T564">
        <v>21</v>
      </c>
      <c r="U564">
        <v>63</v>
      </c>
      <c r="V564">
        <v>84</v>
      </c>
    </row>
    <row r="565" spans="1:22" x14ac:dyDescent="0.3">
      <c r="A565">
        <v>564</v>
      </c>
      <c r="B565" s="1">
        <v>40568</v>
      </c>
      <c r="C565">
        <v>1</v>
      </c>
      <c r="D565">
        <v>0</v>
      </c>
      <c r="E565" t="str">
        <f>TEXT(Append1[[#This Row],[dteday]],"MMMM")</f>
        <v>January</v>
      </c>
      <c r="F565">
        <v>1</v>
      </c>
      <c r="G565">
        <v>16</v>
      </c>
      <c r="H565" t="b">
        <v>0</v>
      </c>
      <c r="I565" t="str">
        <f>TEXT(Append1[[#This Row],[dteday]],"DDDD")</f>
        <v>Tuesday</v>
      </c>
      <c r="J565" t="str" cm="1">
        <f t="array" ref="J565">_xlfn.IFS(Append1[[#This Row],[weekday cnt]]=0,"Weekend",Append1[[#This Row],[weekday cnt]]=6,"Weekend",Append1[[#This Row],[weekday cnt]]&gt;0,"Weekday")</f>
        <v>Weekday</v>
      </c>
      <c r="K565">
        <v>2</v>
      </c>
      <c r="L565" t="str" cm="1">
        <f t="array" ref="L5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65">
        <v>2</v>
      </c>
      <c r="N565">
        <v>0.32</v>
      </c>
      <c r="O565">
        <v>563</v>
      </c>
      <c r="P565">
        <v>564</v>
      </c>
      <c r="Q565">
        <v>0.34849999999999998</v>
      </c>
      <c r="R565">
        <v>0.42</v>
      </c>
      <c r="S565">
        <v>0</v>
      </c>
      <c r="T565">
        <v>14</v>
      </c>
      <c r="U565">
        <v>102</v>
      </c>
      <c r="V565">
        <v>116</v>
      </c>
    </row>
    <row r="566" spans="1:22" x14ac:dyDescent="0.3">
      <c r="A566">
        <v>565</v>
      </c>
      <c r="B566" s="1">
        <v>40568</v>
      </c>
      <c r="C566">
        <v>1</v>
      </c>
      <c r="D566">
        <v>0</v>
      </c>
      <c r="E566" t="str">
        <f>TEXT(Append1[[#This Row],[dteday]],"MMMM")</f>
        <v>January</v>
      </c>
      <c r="F566">
        <v>1</v>
      </c>
      <c r="G566">
        <v>17</v>
      </c>
      <c r="H566" t="b">
        <v>0</v>
      </c>
      <c r="I566" t="str">
        <f>TEXT(Append1[[#This Row],[dteday]],"DDDD")</f>
        <v>Tuesday</v>
      </c>
      <c r="J566" t="str" cm="1">
        <f t="array" ref="J566">_xlfn.IFS(Append1[[#This Row],[weekday cnt]]=0,"Weekend",Append1[[#This Row],[weekday cnt]]=6,"Weekend",Append1[[#This Row],[weekday cnt]]&gt;0,"Weekday")</f>
        <v>Weekday</v>
      </c>
      <c r="K566">
        <v>2</v>
      </c>
      <c r="L566" t="str" cm="1">
        <f t="array" ref="L5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66">
        <v>1</v>
      </c>
      <c r="N566">
        <v>0.3</v>
      </c>
      <c r="O566">
        <v>564</v>
      </c>
      <c r="P566">
        <v>565</v>
      </c>
      <c r="Q566">
        <v>0.33329999999999999</v>
      </c>
      <c r="R566">
        <v>0.45</v>
      </c>
      <c r="S566">
        <v>0</v>
      </c>
      <c r="T566">
        <v>14</v>
      </c>
      <c r="U566">
        <v>208</v>
      </c>
      <c r="V566">
        <v>222</v>
      </c>
    </row>
    <row r="567" spans="1:22" x14ac:dyDescent="0.3">
      <c r="A567">
        <v>566</v>
      </c>
      <c r="B567" s="1">
        <v>40568</v>
      </c>
      <c r="C567">
        <v>1</v>
      </c>
      <c r="D567">
        <v>0</v>
      </c>
      <c r="E567" t="str">
        <f>TEXT(Append1[[#This Row],[dteday]],"MMMM")</f>
        <v>January</v>
      </c>
      <c r="F567">
        <v>1</v>
      </c>
      <c r="G567">
        <v>18</v>
      </c>
      <c r="H567" t="b">
        <v>0</v>
      </c>
      <c r="I567" t="str">
        <f>TEXT(Append1[[#This Row],[dteday]],"DDDD")</f>
        <v>Tuesday</v>
      </c>
      <c r="J567" t="str" cm="1">
        <f t="array" ref="J567">_xlfn.IFS(Append1[[#This Row],[weekday cnt]]=0,"Weekend",Append1[[#This Row],[weekday cnt]]=6,"Weekend",Append1[[#This Row],[weekday cnt]]&gt;0,"Weekday")</f>
        <v>Weekday</v>
      </c>
      <c r="K567">
        <v>2</v>
      </c>
      <c r="L567" t="str" cm="1">
        <f t="array" ref="L5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67">
        <v>2</v>
      </c>
      <c r="N567">
        <v>0.3</v>
      </c>
      <c r="O567">
        <v>565</v>
      </c>
      <c r="P567">
        <v>566</v>
      </c>
      <c r="Q567">
        <v>0.31819999999999998</v>
      </c>
      <c r="R567">
        <v>0.49</v>
      </c>
      <c r="S567">
        <v>8.9599999999999999E-2</v>
      </c>
      <c r="T567">
        <v>7</v>
      </c>
      <c r="U567">
        <v>218</v>
      </c>
      <c r="V567">
        <v>225</v>
      </c>
    </row>
    <row r="568" spans="1:22" x14ac:dyDescent="0.3">
      <c r="A568">
        <v>567</v>
      </c>
      <c r="B568" s="1">
        <v>40568</v>
      </c>
      <c r="C568">
        <v>1</v>
      </c>
      <c r="D568">
        <v>0</v>
      </c>
      <c r="E568" t="str">
        <f>TEXT(Append1[[#This Row],[dteday]],"MMMM")</f>
        <v>January</v>
      </c>
      <c r="F568">
        <v>1</v>
      </c>
      <c r="G568">
        <v>19</v>
      </c>
      <c r="H568" t="b">
        <v>0</v>
      </c>
      <c r="I568" t="str">
        <f>TEXT(Append1[[#This Row],[dteday]],"DDDD")</f>
        <v>Tuesday</v>
      </c>
      <c r="J568" t="str" cm="1">
        <f t="array" ref="J568">_xlfn.IFS(Append1[[#This Row],[weekday cnt]]=0,"Weekend",Append1[[#This Row],[weekday cnt]]=6,"Weekend",Append1[[#This Row],[weekday cnt]]&gt;0,"Weekday")</f>
        <v>Weekday</v>
      </c>
      <c r="K568">
        <v>2</v>
      </c>
      <c r="L568" t="str" cm="1">
        <f t="array" ref="L5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68">
        <v>2</v>
      </c>
      <c r="N568">
        <v>0.26</v>
      </c>
      <c r="O568">
        <v>566</v>
      </c>
      <c r="P568">
        <v>567</v>
      </c>
      <c r="Q568">
        <v>0.2576</v>
      </c>
      <c r="R568">
        <v>0.65</v>
      </c>
      <c r="S568">
        <v>0.16420000000000001</v>
      </c>
      <c r="T568">
        <v>13</v>
      </c>
      <c r="U568">
        <v>133</v>
      </c>
      <c r="V568">
        <v>146</v>
      </c>
    </row>
    <row r="569" spans="1:22" x14ac:dyDescent="0.3">
      <c r="A569">
        <v>568</v>
      </c>
      <c r="B569" s="1">
        <v>40568</v>
      </c>
      <c r="C569">
        <v>1</v>
      </c>
      <c r="D569">
        <v>0</v>
      </c>
      <c r="E569" t="str">
        <f>TEXT(Append1[[#This Row],[dteday]],"MMMM")</f>
        <v>January</v>
      </c>
      <c r="F569">
        <v>1</v>
      </c>
      <c r="G569">
        <v>20</v>
      </c>
      <c r="H569" t="b">
        <v>0</v>
      </c>
      <c r="I569" t="str">
        <f>TEXT(Append1[[#This Row],[dteday]],"DDDD")</f>
        <v>Tuesday</v>
      </c>
      <c r="J569" t="str" cm="1">
        <f t="array" ref="J569">_xlfn.IFS(Append1[[#This Row],[weekday cnt]]=0,"Weekend",Append1[[#This Row],[weekday cnt]]=6,"Weekend",Append1[[#This Row],[weekday cnt]]&gt;0,"Weekday")</f>
        <v>Weekday</v>
      </c>
      <c r="K569">
        <v>2</v>
      </c>
      <c r="L569" t="str" cm="1">
        <f t="array" ref="L5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69">
        <v>1</v>
      </c>
      <c r="N569">
        <v>0.24</v>
      </c>
      <c r="O569">
        <v>567</v>
      </c>
      <c r="P569">
        <v>568</v>
      </c>
      <c r="Q569">
        <v>0.2273</v>
      </c>
      <c r="R569">
        <v>0.65</v>
      </c>
      <c r="S569">
        <v>0.19400000000000001</v>
      </c>
      <c r="T569">
        <v>16</v>
      </c>
      <c r="U569">
        <v>103</v>
      </c>
      <c r="V569">
        <v>119</v>
      </c>
    </row>
    <row r="570" spans="1:22" x14ac:dyDescent="0.3">
      <c r="A570">
        <v>569</v>
      </c>
      <c r="B570" s="1">
        <v>40568</v>
      </c>
      <c r="C570">
        <v>1</v>
      </c>
      <c r="D570">
        <v>0</v>
      </c>
      <c r="E570" t="str">
        <f>TEXT(Append1[[#This Row],[dteday]],"MMMM")</f>
        <v>January</v>
      </c>
      <c r="F570">
        <v>1</v>
      </c>
      <c r="G570">
        <v>21</v>
      </c>
      <c r="H570" t="b">
        <v>0</v>
      </c>
      <c r="I570" t="str">
        <f>TEXT(Append1[[#This Row],[dteday]],"DDDD")</f>
        <v>Tuesday</v>
      </c>
      <c r="J570" t="str" cm="1">
        <f t="array" ref="J570">_xlfn.IFS(Append1[[#This Row],[weekday cnt]]=0,"Weekend",Append1[[#This Row],[weekday cnt]]=6,"Weekend",Append1[[#This Row],[weekday cnt]]&gt;0,"Weekday")</f>
        <v>Weekday</v>
      </c>
      <c r="K570">
        <v>2</v>
      </c>
      <c r="L570" t="str" cm="1">
        <f t="array" ref="L5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70">
        <v>1</v>
      </c>
      <c r="N570">
        <v>0.24</v>
      </c>
      <c r="O570">
        <v>568</v>
      </c>
      <c r="P570">
        <v>569</v>
      </c>
      <c r="Q570">
        <v>0.2273</v>
      </c>
      <c r="R570">
        <v>0.65</v>
      </c>
      <c r="S570">
        <v>0.19400000000000001</v>
      </c>
      <c r="T570">
        <v>5</v>
      </c>
      <c r="U570">
        <v>40</v>
      </c>
      <c r="V570">
        <v>45</v>
      </c>
    </row>
    <row r="571" spans="1:22" x14ac:dyDescent="0.3">
      <c r="A571">
        <v>570</v>
      </c>
      <c r="B571" s="1">
        <v>40568</v>
      </c>
      <c r="C571">
        <v>1</v>
      </c>
      <c r="D571">
        <v>0</v>
      </c>
      <c r="E571" t="str">
        <f>TEXT(Append1[[#This Row],[dteday]],"MMMM")</f>
        <v>January</v>
      </c>
      <c r="F571">
        <v>1</v>
      </c>
      <c r="G571">
        <v>22</v>
      </c>
      <c r="H571" t="b">
        <v>0</v>
      </c>
      <c r="I571" t="str">
        <f>TEXT(Append1[[#This Row],[dteday]],"DDDD")</f>
        <v>Tuesday</v>
      </c>
      <c r="J571" t="str" cm="1">
        <f t="array" ref="J571">_xlfn.IFS(Append1[[#This Row],[weekday cnt]]=0,"Weekend",Append1[[#This Row],[weekday cnt]]=6,"Weekend",Append1[[#This Row],[weekday cnt]]&gt;0,"Weekday")</f>
        <v>Weekday</v>
      </c>
      <c r="K571">
        <v>2</v>
      </c>
      <c r="L571" t="str" cm="1">
        <f t="array" ref="L5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71">
        <v>1</v>
      </c>
      <c r="N571">
        <v>0.22</v>
      </c>
      <c r="O571">
        <v>569</v>
      </c>
      <c r="P571">
        <v>570</v>
      </c>
      <c r="Q571">
        <v>0.2273</v>
      </c>
      <c r="R571">
        <v>0.64</v>
      </c>
      <c r="S571">
        <v>0.16420000000000001</v>
      </c>
      <c r="T571">
        <v>4</v>
      </c>
      <c r="U571">
        <v>49</v>
      </c>
      <c r="V571">
        <v>53</v>
      </c>
    </row>
    <row r="572" spans="1:22" x14ac:dyDescent="0.3">
      <c r="A572">
        <v>571</v>
      </c>
      <c r="B572" s="1">
        <v>40568</v>
      </c>
      <c r="C572">
        <v>1</v>
      </c>
      <c r="D572">
        <v>0</v>
      </c>
      <c r="E572" t="str">
        <f>TEXT(Append1[[#This Row],[dteday]],"MMMM")</f>
        <v>January</v>
      </c>
      <c r="F572">
        <v>1</v>
      </c>
      <c r="G572">
        <v>23</v>
      </c>
      <c r="H572" t="b">
        <v>0</v>
      </c>
      <c r="I572" t="str">
        <f>TEXT(Append1[[#This Row],[dteday]],"DDDD")</f>
        <v>Tuesday</v>
      </c>
      <c r="J572" t="str" cm="1">
        <f t="array" ref="J572">_xlfn.IFS(Append1[[#This Row],[weekday cnt]]=0,"Weekend",Append1[[#This Row],[weekday cnt]]=6,"Weekend",Append1[[#This Row],[weekday cnt]]&gt;0,"Weekday")</f>
        <v>Weekday</v>
      </c>
      <c r="K572">
        <v>2</v>
      </c>
      <c r="L572" t="str" cm="1">
        <f t="array" ref="L5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72">
        <v>2</v>
      </c>
      <c r="N572">
        <v>0.22</v>
      </c>
      <c r="O572">
        <v>570</v>
      </c>
      <c r="P572">
        <v>571</v>
      </c>
      <c r="Q572">
        <v>0.2273</v>
      </c>
      <c r="R572">
        <v>0.64</v>
      </c>
      <c r="S572">
        <v>0.16420000000000001</v>
      </c>
      <c r="T572">
        <v>3</v>
      </c>
      <c r="U572">
        <v>37</v>
      </c>
      <c r="V572">
        <v>40</v>
      </c>
    </row>
    <row r="573" spans="1:22" x14ac:dyDescent="0.3">
      <c r="A573">
        <v>572</v>
      </c>
      <c r="B573" s="1">
        <v>40569</v>
      </c>
      <c r="C573">
        <v>1</v>
      </c>
      <c r="D573">
        <v>0</v>
      </c>
      <c r="E573" t="str">
        <f>TEXT(Append1[[#This Row],[dteday]],"MMMM")</f>
        <v>January</v>
      </c>
      <c r="F573">
        <v>1</v>
      </c>
      <c r="G573">
        <v>0</v>
      </c>
      <c r="H573" t="b">
        <v>0</v>
      </c>
      <c r="I573" t="str">
        <f>TEXT(Append1[[#This Row],[dteday]],"DDDD")</f>
        <v>Wednesday</v>
      </c>
      <c r="J573" t="str" cm="1">
        <f t="array" ref="J573">_xlfn.IFS(Append1[[#This Row],[weekday cnt]]=0,"Weekend",Append1[[#This Row],[weekday cnt]]=6,"Weekend",Append1[[#This Row],[weekday cnt]]&gt;0,"Weekday")</f>
        <v>Weekday</v>
      </c>
      <c r="K573">
        <v>3</v>
      </c>
      <c r="L573" t="str" cm="1">
        <f t="array" ref="L5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73">
        <v>2</v>
      </c>
      <c r="N573">
        <v>0.22</v>
      </c>
      <c r="O573">
        <v>571</v>
      </c>
      <c r="P573">
        <v>572</v>
      </c>
      <c r="Q573">
        <v>0.2273</v>
      </c>
      <c r="R573">
        <v>0.69</v>
      </c>
      <c r="S573">
        <v>0.1343</v>
      </c>
      <c r="T573">
        <v>3</v>
      </c>
      <c r="U573">
        <v>14</v>
      </c>
      <c r="V573">
        <v>17</v>
      </c>
    </row>
    <row r="574" spans="1:22" x14ac:dyDescent="0.3">
      <c r="A574">
        <v>573</v>
      </c>
      <c r="B574" s="1">
        <v>40569</v>
      </c>
      <c r="C574">
        <v>1</v>
      </c>
      <c r="D574">
        <v>0</v>
      </c>
      <c r="E574" t="str">
        <f>TEXT(Append1[[#This Row],[dteday]],"MMMM")</f>
        <v>January</v>
      </c>
      <c r="F574">
        <v>1</v>
      </c>
      <c r="G574">
        <v>1</v>
      </c>
      <c r="H574" t="b">
        <v>0</v>
      </c>
      <c r="I574" t="str">
        <f>TEXT(Append1[[#This Row],[dteday]],"DDDD")</f>
        <v>Wednesday</v>
      </c>
      <c r="J574" t="str" cm="1">
        <f t="array" ref="J574">_xlfn.IFS(Append1[[#This Row],[weekday cnt]]=0,"Weekend",Append1[[#This Row],[weekday cnt]]=6,"Weekend",Append1[[#This Row],[weekday cnt]]&gt;0,"Weekday")</f>
        <v>Weekday</v>
      </c>
      <c r="K574">
        <v>3</v>
      </c>
      <c r="L574" t="str" cm="1">
        <f t="array" ref="L5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74">
        <v>2</v>
      </c>
      <c r="N574">
        <v>0.24</v>
      </c>
      <c r="O574">
        <v>572</v>
      </c>
      <c r="P574">
        <v>573</v>
      </c>
      <c r="Q574">
        <v>0.2424</v>
      </c>
      <c r="R574">
        <v>0.65</v>
      </c>
      <c r="S574">
        <v>0.1343</v>
      </c>
      <c r="T574">
        <v>0</v>
      </c>
      <c r="U574">
        <v>5</v>
      </c>
      <c r="V574">
        <v>5</v>
      </c>
    </row>
    <row r="575" spans="1:22" x14ac:dyDescent="0.3">
      <c r="A575">
        <v>574</v>
      </c>
      <c r="B575" s="1">
        <v>40569</v>
      </c>
      <c r="C575">
        <v>1</v>
      </c>
      <c r="D575">
        <v>0</v>
      </c>
      <c r="E575" t="str">
        <f>TEXT(Append1[[#This Row],[dteday]],"MMMM")</f>
        <v>January</v>
      </c>
      <c r="F575">
        <v>1</v>
      </c>
      <c r="G575">
        <v>2</v>
      </c>
      <c r="H575" t="b">
        <v>0</v>
      </c>
      <c r="I575" t="str">
        <f>TEXT(Append1[[#This Row],[dteday]],"DDDD")</f>
        <v>Wednesday</v>
      </c>
      <c r="J575" t="str" cm="1">
        <f t="array" ref="J575">_xlfn.IFS(Append1[[#This Row],[weekday cnt]]=0,"Weekend",Append1[[#This Row],[weekday cnt]]=6,"Weekend",Append1[[#This Row],[weekday cnt]]&gt;0,"Weekday")</f>
        <v>Weekday</v>
      </c>
      <c r="K575">
        <v>3</v>
      </c>
      <c r="L575" t="str" cm="1">
        <f t="array" ref="L5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75">
        <v>3</v>
      </c>
      <c r="N575">
        <v>0.22</v>
      </c>
      <c r="O575">
        <v>573</v>
      </c>
      <c r="P575">
        <v>574</v>
      </c>
      <c r="Q575">
        <v>0.2273</v>
      </c>
      <c r="R575">
        <v>0.69</v>
      </c>
      <c r="S575">
        <v>0.19400000000000001</v>
      </c>
      <c r="T575">
        <v>3</v>
      </c>
      <c r="U575">
        <v>7</v>
      </c>
      <c r="V575">
        <v>10</v>
      </c>
    </row>
    <row r="576" spans="1:22" x14ac:dyDescent="0.3">
      <c r="A576">
        <v>575</v>
      </c>
      <c r="B576" s="1">
        <v>40569</v>
      </c>
      <c r="C576">
        <v>1</v>
      </c>
      <c r="D576">
        <v>0</v>
      </c>
      <c r="E576" t="str">
        <f>TEXT(Append1[[#This Row],[dteday]],"MMMM")</f>
        <v>January</v>
      </c>
      <c r="F576">
        <v>1</v>
      </c>
      <c r="G576">
        <v>5</v>
      </c>
      <c r="H576" t="b">
        <v>0</v>
      </c>
      <c r="I576" t="str">
        <f>TEXT(Append1[[#This Row],[dteday]],"DDDD")</f>
        <v>Wednesday</v>
      </c>
      <c r="J576" t="str" cm="1">
        <f t="array" ref="J576">_xlfn.IFS(Append1[[#This Row],[weekday cnt]]=0,"Weekend",Append1[[#This Row],[weekday cnt]]=6,"Weekend",Append1[[#This Row],[weekday cnt]]&gt;0,"Weekday")</f>
        <v>Weekday</v>
      </c>
      <c r="K576">
        <v>3</v>
      </c>
      <c r="L576" t="str" cm="1">
        <f t="array" ref="L5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76">
        <v>3</v>
      </c>
      <c r="N576">
        <v>0.2</v>
      </c>
      <c r="O576">
        <v>574</v>
      </c>
      <c r="P576">
        <v>575</v>
      </c>
      <c r="Q576">
        <v>0.18179999999999999</v>
      </c>
      <c r="R576">
        <v>0.86</v>
      </c>
      <c r="S576">
        <v>0.28360000000000002</v>
      </c>
      <c r="T576">
        <v>0</v>
      </c>
      <c r="U576">
        <v>1</v>
      </c>
      <c r="V576">
        <v>1</v>
      </c>
    </row>
    <row r="577" spans="1:22" x14ac:dyDescent="0.3">
      <c r="A577">
        <v>576</v>
      </c>
      <c r="B577" s="1">
        <v>40569</v>
      </c>
      <c r="C577">
        <v>1</v>
      </c>
      <c r="D577">
        <v>0</v>
      </c>
      <c r="E577" t="str">
        <f>TEXT(Append1[[#This Row],[dteday]],"MMMM")</f>
        <v>January</v>
      </c>
      <c r="F577">
        <v>1</v>
      </c>
      <c r="G577">
        <v>6</v>
      </c>
      <c r="H577" t="b">
        <v>0</v>
      </c>
      <c r="I577" t="str">
        <f>TEXT(Append1[[#This Row],[dteday]],"DDDD")</f>
        <v>Wednesday</v>
      </c>
      <c r="J577" t="str" cm="1">
        <f t="array" ref="J577">_xlfn.IFS(Append1[[#This Row],[weekday cnt]]=0,"Weekend",Append1[[#This Row],[weekday cnt]]=6,"Weekend",Append1[[#This Row],[weekday cnt]]&gt;0,"Weekday")</f>
        <v>Weekday</v>
      </c>
      <c r="K577">
        <v>3</v>
      </c>
      <c r="L577" t="str" cm="1">
        <f t="array" ref="L5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77">
        <v>3</v>
      </c>
      <c r="N577">
        <v>0.2</v>
      </c>
      <c r="O577">
        <v>575</v>
      </c>
      <c r="P577">
        <v>576</v>
      </c>
      <c r="Q577">
        <v>0.18179999999999999</v>
      </c>
      <c r="R577">
        <v>0.86</v>
      </c>
      <c r="S577">
        <v>0.28360000000000002</v>
      </c>
      <c r="T577">
        <v>0</v>
      </c>
      <c r="U577">
        <v>8</v>
      </c>
      <c r="V577">
        <v>8</v>
      </c>
    </row>
    <row r="578" spans="1:22" x14ac:dyDescent="0.3">
      <c r="A578">
        <v>577</v>
      </c>
      <c r="B578" s="1">
        <v>40569</v>
      </c>
      <c r="C578">
        <v>1</v>
      </c>
      <c r="D578">
        <v>0</v>
      </c>
      <c r="E578" t="str">
        <f>TEXT(Append1[[#This Row],[dteday]],"MMMM")</f>
        <v>January</v>
      </c>
      <c r="F578">
        <v>1</v>
      </c>
      <c r="G578">
        <v>7</v>
      </c>
      <c r="H578" t="b">
        <v>0</v>
      </c>
      <c r="I578" t="str">
        <f>TEXT(Append1[[#This Row],[dteday]],"DDDD")</f>
        <v>Wednesday</v>
      </c>
      <c r="J578" t="str" cm="1">
        <f t="array" ref="J578">_xlfn.IFS(Append1[[#This Row],[weekday cnt]]=0,"Weekend",Append1[[#This Row],[weekday cnt]]=6,"Weekend",Append1[[#This Row],[weekday cnt]]&gt;0,"Weekday")</f>
        <v>Weekday</v>
      </c>
      <c r="K578">
        <v>3</v>
      </c>
      <c r="L578" t="str" cm="1">
        <f t="array" ref="L5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78">
        <v>3</v>
      </c>
      <c r="N578">
        <v>0.22</v>
      </c>
      <c r="O578">
        <v>576</v>
      </c>
      <c r="P578">
        <v>577</v>
      </c>
      <c r="Q578">
        <v>0.21210000000000001</v>
      </c>
      <c r="R578">
        <v>0.87</v>
      </c>
      <c r="S578">
        <v>0.29849999999999999</v>
      </c>
      <c r="T578">
        <v>1</v>
      </c>
      <c r="U578">
        <v>29</v>
      </c>
      <c r="V578">
        <v>30</v>
      </c>
    </row>
    <row r="579" spans="1:22" x14ac:dyDescent="0.3">
      <c r="A579">
        <v>578</v>
      </c>
      <c r="B579" s="1">
        <v>40569</v>
      </c>
      <c r="C579">
        <v>1</v>
      </c>
      <c r="D579">
        <v>0</v>
      </c>
      <c r="E579" t="str">
        <f>TEXT(Append1[[#This Row],[dteday]],"MMMM")</f>
        <v>January</v>
      </c>
      <c r="F579">
        <v>1</v>
      </c>
      <c r="G579">
        <v>8</v>
      </c>
      <c r="H579" t="b">
        <v>0</v>
      </c>
      <c r="I579" t="str">
        <f>TEXT(Append1[[#This Row],[dteday]],"DDDD")</f>
        <v>Wednesday</v>
      </c>
      <c r="J579" t="str" cm="1">
        <f t="array" ref="J579">_xlfn.IFS(Append1[[#This Row],[weekday cnt]]=0,"Weekend",Append1[[#This Row],[weekday cnt]]=6,"Weekend",Append1[[#This Row],[weekday cnt]]&gt;0,"Weekday")</f>
        <v>Weekday</v>
      </c>
      <c r="K579">
        <v>3</v>
      </c>
      <c r="L579" t="str" cm="1">
        <f t="array" ref="L5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79">
        <v>3</v>
      </c>
      <c r="N579">
        <v>0.22</v>
      </c>
      <c r="O579">
        <v>577</v>
      </c>
      <c r="P579">
        <v>578</v>
      </c>
      <c r="Q579">
        <v>0.21210000000000001</v>
      </c>
      <c r="R579">
        <v>0.87</v>
      </c>
      <c r="S579">
        <v>0.29849999999999999</v>
      </c>
      <c r="T579">
        <v>3</v>
      </c>
      <c r="U579">
        <v>69</v>
      </c>
      <c r="V579">
        <v>72</v>
      </c>
    </row>
    <row r="580" spans="1:22" x14ac:dyDescent="0.3">
      <c r="A580">
        <v>579</v>
      </c>
      <c r="B580" s="1">
        <v>40569</v>
      </c>
      <c r="C580">
        <v>1</v>
      </c>
      <c r="D580">
        <v>0</v>
      </c>
      <c r="E580" t="str">
        <f>TEXT(Append1[[#This Row],[dteday]],"MMMM")</f>
        <v>January</v>
      </c>
      <c r="F580">
        <v>1</v>
      </c>
      <c r="G580">
        <v>9</v>
      </c>
      <c r="H580" t="b">
        <v>0</v>
      </c>
      <c r="I580" t="str">
        <f>TEXT(Append1[[#This Row],[dteday]],"DDDD")</f>
        <v>Wednesday</v>
      </c>
      <c r="J580" t="str" cm="1">
        <f t="array" ref="J580">_xlfn.IFS(Append1[[#This Row],[weekday cnt]]=0,"Weekend",Append1[[#This Row],[weekday cnt]]=6,"Weekend",Append1[[#This Row],[weekday cnt]]&gt;0,"Weekday")</f>
        <v>Weekday</v>
      </c>
      <c r="K580">
        <v>3</v>
      </c>
      <c r="L580" t="str" cm="1">
        <f t="array" ref="L5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80">
        <v>3</v>
      </c>
      <c r="N580">
        <v>0.22</v>
      </c>
      <c r="O580">
        <v>578</v>
      </c>
      <c r="P580">
        <v>579</v>
      </c>
      <c r="Q580">
        <v>0.21210000000000001</v>
      </c>
      <c r="R580">
        <v>0.87</v>
      </c>
      <c r="S580">
        <v>0.29849999999999999</v>
      </c>
      <c r="T580">
        <v>3</v>
      </c>
      <c r="U580">
        <v>55</v>
      </c>
      <c r="V580">
        <v>58</v>
      </c>
    </row>
    <row r="581" spans="1:22" x14ac:dyDescent="0.3">
      <c r="A581">
        <v>580</v>
      </c>
      <c r="B581" s="1">
        <v>40569</v>
      </c>
      <c r="C581">
        <v>1</v>
      </c>
      <c r="D581">
        <v>0</v>
      </c>
      <c r="E581" t="str">
        <f>TEXT(Append1[[#This Row],[dteday]],"MMMM")</f>
        <v>January</v>
      </c>
      <c r="F581">
        <v>1</v>
      </c>
      <c r="G581">
        <v>10</v>
      </c>
      <c r="H581" t="b">
        <v>0</v>
      </c>
      <c r="I581" t="str">
        <f>TEXT(Append1[[#This Row],[dteday]],"DDDD")</f>
        <v>Wednesday</v>
      </c>
      <c r="J581" t="str" cm="1">
        <f t="array" ref="J581">_xlfn.IFS(Append1[[#This Row],[weekday cnt]]=0,"Weekend",Append1[[#This Row],[weekday cnt]]=6,"Weekend",Append1[[#This Row],[weekday cnt]]&gt;0,"Weekday")</f>
        <v>Weekday</v>
      </c>
      <c r="K581">
        <v>3</v>
      </c>
      <c r="L581" t="str" cm="1">
        <f t="array" ref="L5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81">
        <v>3</v>
      </c>
      <c r="N581">
        <v>0.22</v>
      </c>
      <c r="O581">
        <v>579</v>
      </c>
      <c r="P581">
        <v>580</v>
      </c>
      <c r="Q581">
        <v>0.21210000000000001</v>
      </c>
      <c r="R581">
        <v>0.93</v>
      </c>
      <c r="S581">
        <v>0.28360000000000002</v>
      </c>
      <c r="T581">
        <v>2</v>
      </c>
      <c r="U581">
        <v>26</v>
      </c>
      <c r="V581">
        <v>28</v>
      </c>
    </row>
    <row r="582" spans="1:22" x14ac:dyDescent="0.3">
      <c r="A582">
        <v>581</v>
      </c>
      <c r="B582" s="1">
        <v>40569</v>
      </c>
      <c r="C582">
        <v>1</v>
      </c>
      <c r="D582">
        <v>0</v>
      </c>
      <c r="E582" t="str">
        <f>TEXT(Append1[[#This Row],[dteday]],"MMMM")</f>
        <v>January</v>
      </c>
      <c r="F582">
        <v>1</v>
      </c>
      <c r="G582">
        <v>11</v>
      </c>
      <c r="H582" t="b">
        <v>0</v>
      </c>
      <c r="I582" t="str">
        <f>TEXT(Append1[[#This Row],[dteday]],"DDDD")</f>
        <v>Wednesday</v>
      </c>
      <c r="J582" t="str" cm="1">
        <f t="array" ref="J582">_xlfn.IFS(Append1[[#This Row],[weekday cnt]]=0,"Weekend",Append1[[#This Row],[weekday cnt]]=6,"Weekend",Append1[[#This Row],[weekday cnt]]&gt;0,"Weekday")</f>
        <v>Weekday</v>
      </c>
      <c r="K582">
        <v>3</v>
      </c>
      <c r="L582" t="str" cm="1">
        <f t="array" ref="L5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82">
        <v>3</v>
      </c>
      <c r="N582">
        <v>0.22</v>
      </c>
      <c r="O582">
        <v>580</v>
      </c>
      <c r="P582">
        <v>581</v>
      </c>
      <c r="Q582">
        <v>0.19700000000000001</v>
      </c>
      <c r="R582">
        <v>0.93</v>
      </c>
      <c r="S582">
        <v>0.32840000000000003</v>
      </c>
      <c r="T582">
        <v>6</v>
      </c>
      <c r="U582">
        <v>35</v>
      </c>
      <c r="V582">
        <v>41</v>
      </c>
    </row>
    <row r="583" spans="1:22" x14ac:dyDescent="0.3">
      <c r="A583">
        <v>582</v>
      </c>
      <c r="B583" s="1">
        <v>40569</v>
      </c>
      <c r="C583">
        <v>1</v>
      </c>
      <c r="D583">
        <v>0</v>
      </c>
      <c r="E583" t="str">
        <f>TEXT(Append1[[#This Row],[dteday]],"MMMM")</f>
        <v>January</v>
      </c>
      <c r="F583">
        <v>1</v>
      </c>
      <c r="G583">
        <v>12</v>
      </c>
      <c r="H583" t="b">
        <v>0</v>
      </c>
      <c r="I583" t="str">
        <f>TEXT(Append1[[#This Row],[dteday]],"DDDD")</f>
        <v>Wednesday</v>
      </c>
      <c r="J583" t="str" cm="1">
        <f t="array" ref="J583">_xlfn.IFS(Append1[[#This Row],[weekday cnt]]=0,"Weekend",Append1[[#This Row],[weekday cnt]]=6,"Weekend",Append1[[#This Row],[weekday cnt]]&gt;0,"Weekday")</f>
        <v>Weekday</v>
      </c>
      <c r="K583">
        <v>3</v>
      </c>
      <c r="L583" t="str" cm="1">
        <f t="array" ref="L5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83">
        <v>3</v>
      </c>
      <c r="N583">
        <v>0.22</v>
      </c>
      <c r="O583">
        <v>581</v>
      </c>
      <c r="P583">
        <v>582</v>
      </c>
      <c r="Q583">
        <v>0.19700000000000001</v>
      </c>
      <c r="R583">
        <v>0.93</v>
      </c>
      <c r="S583">
        <v>0.32840000000000003</v>
      </c>
      <c r="T583">
        <v>7</v>
      </c>
      <c r="U583">
        <v>41</v>
      </c>
      <c r="V583">
        <v>48</v>
      </c>
    </row>
    <row r="584" spans="1:22" x14ac:dyDescent="0.3">
      <c r="A584">
        <v>583</v>
      </c>
      <c r="B584" s="1">
        <v>40569</v>
      </c>
      <c r="C584">
        <v>1</v>
      </c>
      <c r="D584">
        <v>0</v>
      </c>
      <c r="E584" t="str">
        <f>TEXT(Append1[[#This Row],[dteday]],"MMMM")</f>
        <v>January</v>
      </c>
      <c r="F584">
        <v>1</v>
      </c>
      <c r="G584">
        <v>13</v>
      </c>
      <c r="H584" t="b">
        <v>0</v>
      </c>
      <c r="I584" t="str">
        <f>TEXT(Append1[[#This Row],[dteday]],"DDDD")</f>
        <v>Wednesday</v>
      </c>
      <c r="J584" t="str" cm="1">
        <f t="array" ref="J584">_xlfn.IFS(Append1[[#This Row],[weekday cnt]]=0,"Weekend",Append1[[#This Row],[weekday cnt]]=6,"Weekend",Append1[[#This Row],[weekday cnt]]&gt;0,"Weekday")</f>
        <v>Weekday</v>
      </c>
      <c r="K584">
        <v>3</v>
      </c>
      <c r="L584" t="str" cm="1">
        <f t="array" ref="L5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84">
        <v>3</v>
      </c>
      <c r="N584">
        <v>0.22</v>
      </c>
      <c r="O584">
        <v>582</v>
      </c>
      <c r="P584">
        <v>583</v>
      </c>
      <c r="Q584">
        <v>0.19700000000000001</v>
      </c>
      <c r="R584">
        <v>0.93</v>
      </c>
      <c r="S584">
        <v>0.32840000000000003</v>
      </c>
      <c r="T584">
        <v>4</v>
      </c>
      <c r="U584">
        <v>43</v>
      </c>
      <c r="V584">
        <v>47</v>
      </c>
    </row>
    <row r="585" spans="1:22" x14ac:dyDescent="0.3">
      <c r="A585">
        <v>584</v>
      </c>
      <c r="B585" s="1">
        <v>40569</v>
      </c>
      <c r="C585">
        <v>1</v>
      </c>
      <c r="D585">
        <v>0</v>
      </c>
      <c r="E585" t="str">
        <f>TEXT(Append1[[#This Row],[dteday]],"MMMM")</f>
        <v>January</v>
      </c>
      <c r="F585">
        <v>1</v>
      </c>
      <c r="G585">
        <v>14</v>
      </c>
      <c r="H585" t="b">
        <v>0</v>
      </c>
      <c r="I585" t="str">
        <f>TEXT(Append1[[#This Row],[dteday]],"DDDD")</f>
        <v>Wednesday</v>
      </c>
      <c r="J585" t="str" cm="1">
        <f t="array" ref="J585">_xlfn.IFS(Append1[[#This Row],[weekday cnt]]=0,"Weekend",Append1[[#This Row],[weekday cnt]]=6,"Weekend",Append1[[#This Row],[weekday cnt]]&gt;0,"Weekday")</f>
        <v>Weekday</v>
      </c>
      <c r="K585">
        <v>3</v>
      </c>
      <c r="L585" t="str" cm="1">
        <f t="array" ref="L5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85">
        <v>3</v>
      </c>
      <c r="N585">
        <v>0.22</v>
      </c>
      <c r="O585">
        <v>583</v>
      </c>
      <c r="P585">
        <v>584</v>
      </c>
      <c r="Q585">
        <v>0.19700000000000001</v>
      </c>
      <c r="R585">
        <v>0.93</v>
      </c>
      <c r="S585">
        <v>0.35820000000000002</v>
      </c>
      <c r="T585">
        <v>0</v>
      </c>
      <c r="U585">
        <v>36</v>
      </c>
      <c r="V585">
        <v>36</v>
      </c>
    </row>
    <row r="586" spans="1:22" x14ac:dyDescent="0.3">
      <c r="A586">
        <v>585</v>
      </c>
      <c r="B586" s="1">
        <v>40569</v>
      </c>
      <c r="C586">
        <v>1</v>
      </c>
      <c r="D586">
        <v>0</v>
      </c>
      <c r="E586" t="str">
        <f>TEXT(Append1[[#This Row],[dteday]],"MMMM")</f>
        <v>January</v>
      </c>
      <c r="F586">
        <v>1</v>
      </c>
      <c r="G586">
        <v>15</v>
      </c>
      <c r="H586" t="b">
        <v>0</v>
      </c>
      <c r="I586" t="str">
        <f>TEXT(Append1[[#This Row],[dteday]],"DDDD")</f>
        <v>Wednesday</v>
      </c>
      <c r="J586" t="str" cm="1">
        <f t="array" ref="J586">_xlfn.IFS(Append1[[#This Row],[weekday cnt]]=0,"Weekend",Append1[[#This Row],[weekday cnt]]=6,"Weekend",Append1[[#This Row],[weekday cnt]]&gt;0,"Weekday")</f>
        <v>Weekday</v>
      </c>
      <c r="K586">
        <v>3</v>
      </c>
      <c r="L586" t="str" cm="1">
        <f t="array" ref="L5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86">
        <v>3</v>
      </c>
      <c r="N586">
        <v>0.22</v>
      </c>
      <c r="O586">
        <v>584</v>
      </c>
      <c r="P586">
        <v>585</v>
      </c>
      <c r="Q586">
        <v>0.18179999999999999</v>
      </c>
      <c r="R586">
        <v>0.93</v>
      </c>
      <c r="S586">
        <v>0.4627</v>
      </c>
      <c r="T586">
        <v>1</v>
      </c>
      <c r="U586">
        <v>42</v>
      </c>
      <c r="V586">
        <v>43</v>
      </c>
    </row>
    <row r="587" spans="1:22" x14ac:dyDescent="0.3">
      <c r="A587">
        <v>586</v>
      </c>
      <c r="B587" s="1">
        <v>40569</v>
      </c>
      <c r="C587">
        <v>1</v>
      </c>
      <c r="D587">
        <v>0</v>
      </c>
      <c r="E587" t="str">
        <f>TEXT(Append1[[#This Row],[dteday]],"MMMM")</f>
        <v>January</v>
      </c>
      <c r="F587">
        <v>1</v>
      </c>
      <c r="G587">
        <v>16</v>
      </c>
      <c r="H587" t="b">
        <v>0</v>
      </c>
      <c r="I587" t="str">
        <f>TEXT(Append1[[#This Row],[dteday]],"DDDD")</f>
        <v>Wednesday</v>
      </c>
      <c r="J587" t="str" cm="1">
        <f t="array" ref="J587">_xlfn.IFS(Append1[[#This Row],[weekday cnt]]=0,"Weekend",Append1[[#This Row],[weekday cnt]]=6,"Weekend",Append1[[#This Row],[weekday cnt]]&gt;0,"Weekday")</f>
        <v>Weekday</v>
      </c>
      <c r="K587">
        <v>3</v>
      </c>
      <c r="L587" t="str" cm="1">
        <f t="array" ref="L5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Extremely Heavy Rain or Snow</v>
      </c>
      <c r="M587">
        <v>4</v>
      </c>
      <c r="N587">
        <v>0.22</v>
      </c>
      <c r="O587">
        <v>585</v>
      </c>
      <c r="P587">
        <v>586</v>
      </c>
      <c r="Q587">
        <v>0.19700000000000001</v>
      </c>
      <c r="R587">
        <v>0.93</v>
      </c>
      <c r="S587">
        <v>0.32840000000000003</v>
      </c>
      <c r="T587">
        <v>1</v>
      </c>
      <c r="U587">
        <v>35</v>
      </c>
      <c r="V587">
        <v>36</v>
      </c>
    </row>
    <row r="588" spans="1:22" x14ac:dyDescent="0.3">
      <c r="A588">
        <v>587</v>
      </c>
      <c r="B588" s="1">
        <v>40569</v>
      </c>
      <c r="C588">
        <v>1</v>
      </c>
      <c r="D588">
        <v>0</v>
      </c>
      <c r="E588" t="str">
        <f>TEXT(Append1[[#This Row],[dteday]],"MMMM")</f>
        <v>January</v>
      </c>
      <c r="F588">
        <v>1</v>
      </c>
      <c r="G588">
        <v>17</v>
      </c>
      <c r="H588" t="b">
        <v>0</v>
      </c>
      <c r="I588" t="str">
        <f>TEXT(Append1[[#This Row],[dteday]],"DDDD")</f>
        <v>Wednesday</v>
      </c>
      <c r="J588" t="str" cm="1">
        <f t="array" ref="J588">_xlfn.IFS(Append1[[#This Row],[weekday cnt]]=0,"Weekend",Append1[[#This Row],[weekday cnt]]=6,"Weekend",Append1[[#This Row],[weekday cnt]]&gt;0,"Weekday")</f>
        <v>Weekday</v>
      </c>
      <c r="K588">
        <v>3</v>
      </c>
      <c r="L588" t="str" cm="1">
        <f t="array" ref="L5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588">
        <v>3</v>
      </c>
      <c r="N588">
        <v>0.2</v>
      </c>
      <c r="O588">
        <v>586</v>
      </c>
      <c r="P588">
        <v>587</v>
      </c>
      <c r="Q588">
        <v>0.18179999999999999</v>
      </c>
      <c r="R588">
        <v>0.93</v>
      </c>
      <c r="S588">
        <v>0.35820000000000002</v>
      </c>
      <c r="T588">
        <v>0</v>
      </c>
      <c r="U588">
        <v>26</v>
      </c>
      <c r="V588">
        <v>26</v>
      </c>
    </row>
    <row r="589" spans="1:22" x14ac:dyDescent="0.3">
      <c r="A589">
        <v>588</v>
      </c>
      <c r="B589" s="1">
        <v>40570</v>
      </c>
      <c r="C589">
        <v>1</v>
      </c>
      <c r="D589">
        <v>0</v>
      </c>
      <c r="E589" t="str">
        <f>TEXT(Append1[[#This Row],[dteday]],"MMMM")</f>
        <v>January</v>
      </c>
      <c r="F589">
        <v>1</v>
      </c>
      <c r="G589">
        <v>16</v>
      </c>
      <c r="H589" t="b">
        <v>0</v>
      </c>
      <c r="I589" t="str">
        <f>TEXT(Append1[[#This Row],[dteday]],"DDDD")</f>
        <v>Thursday</v>
      </c>
      <c r="J589" t="str" cm="1">
        <f t="array" ref="J589">_xlfn.IFS(Append1[[#This Row],[weekday cnt]]=0,"Weekend",Append1[[#This Row],[weekday cnt]]=6,"Weekend",Append1[[#This Row],[weekday cnt]]&gt;0,"Weekday")</f>
        <v>Weekday</v>
      </c>
      <c r="K589">
        <v>4</v>
      </c>
      <c r="L589" t="str" cm="1">
        <f t="array" ref="L5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89">
        <v>1</v>
      </c>
      <c r="N589">
        <v>0.22</v>
      </c>
      <c r="O589">
        <v>587</v>
      </c>
      <c r="P589">
        <v>588</v>
      </c>
      <c r="Q589">
        <v>0.2273</v>
      </c>
      <c r="R589">
        <v>0.55000000000000004</v>
      </c>
      <c r="S589">
        <v>0.19400000000000001</v>
      </c>
      <c r="T589">
        <v>1</v>
      </c>
      <c r="U589">
        <v>23</v>
      </c>
      <c r="V589">
        <v>24</v>
      </c>
    </row>
    <row r="590" spans="1:22" x14ac:dyDescent="0.3">
      <c r="A590">
        <v>589</v>
      </c>
      <c r="B590" s="1">
        <v>40570</v>
      </c>
      <c r="C590">
        <v>1</v>
      </c>
      <c r="D590">
        <v>0</v>
      </c>
      <c r="E590" t="str">
        <f>TEXT(Append1[[#This Row],[dteday]],"MMMM")</f>
        <v>January</v>
      </c>
      <c r="F590">
        <v>1</v>
      </c>
      <c r="G590">
        <v>17</v>
      </c>
      <c r="H590" t="b">
        <v>0</v>
      </c>
      <c r="I590" t="str">
        <f>TEXT(Append1[[#This Row],[dteday]],"DDDD")</f>
        <v>Thursday</v>
      </c>
      <c r="J590" t="str" cm="1">
        <f t="array" ref="J590">_xlfn.IFS(Append1[[#This Row],[weekday cnt]]=0,"Weekend",Append1[[#This Row],[weekday cnt]]=6,"Weekend",Append1[[#This Row],[weekday cnt]]&gt;0,"Weekday")</f>
        <v>Weekday</v>
      </c>
      <c r="K590">
        <v>4</v>
      </c>
      <c r="L590" t="str" cm="1">
        <f t="array" ref="L5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90">
        <v>1</v>
      </c>
      <c r="N590">
        <v>0.22</v>
      </c>
      <c r="O590">
        <v>588</v>
      </c>
      <c r="P590">
        <v>589</v>
      </c>
      <c r="Q590">
        <v>0.2424</v>
      </c>
      <c r="R590">
        <v>0.55000000000000004</v>
      </c>
      <c r="S590">
        <v>0.1045</v>
      </c>
      <c r="T590">
        <v>2</v>
      </c>
      <c r="U590">
        <v>82</v>
      </c>
      <c r="V590">
        <v>84</v>
      </c>
    </row>
    <row r="591" spans="1:22" x14ac:dyDescent="0.3">
      <c r="A591">
        <v>590</v>
      </c>
      <c r="B591" s="1">
        <v>40570</v>
      </c>
      <c r="C591">
        <v>1</v>
      </c>
      <c r="D591">
        <v>0</v>
      </c>
      <c r="E591" t="str">
        <f>TEXT(Append1[[#This Row],[dteday]],"MMMM")</f>
        <v>January</v>
      </c>
      <c r="F591">
        <v>1</v>
      </c>
      <c r="G591">
        <v>18</v>
      </c>
      <c r="H591" t="b">
        <v>0</v>
      </c>
      <c r="I591" t="str">
        <f>TEXT(Append1[[#This Row],[dteday]],"DDDD")</f>
        <v>Thursday</v>
      </c>
      <c r="J591" t="str" cm="1">
        <f t="array" ref="J591">_xlfn.IFS(Append1[[#This Row],[weekday cnt]]=0,"Weekend",Append1[[#This Row],[weekday cnt]]=6,"Weekend",Append1[[#This Row],[weekday cnt]]&gt;0,"Weekday")</f>
        <v>Weekday</v>
      </c>
      <c r="K591">
        <v>4</v>
      </c>
      <c r="L591" t="str" cm="1">
        <f t="array" ref="L5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91">
        <v>1</v>
      </c>
      <c r="N591">
        <v>0.2</v>
      </c>
      <c r="O591">
        <v>589</v>
      </c>
      <c r="P591">
        <v>590</v>
      </c>
      <c r="Q591">
        <v>0.2273</v>
      </c>
      <c r="R591">
        <v>0.69</v>
      </c>
      <c r="S591">
        <v>8.9599999999999999E-2</v>
      </c>
      <c r="T591">
        <v>3</v>
      </c>
      <c r="U591">
        <v>101</v>
      </c>
      <c r="V591">
        <v>104</v>
      </c>
    </row>
    <row r="592" spans="1:22" x14ac:dyDescent="0.3">
      <c r="A592">
        <v>591</v>
      </c>
      <c r="B592" s="1">
        <v>40570</v>
      </c>
      <c r="C592">
        <v>1</v>
      </c>
      <c r="D592">
        <v>0</v>
      </c>
      <c r="E592" t="str">
        <f>TEXT(Append1[[#This Row],[dteday]],"MMMM")</f>
        <v>January</v>
      </c>
      <c r="F592">
        <v>1</v>
      </c>
      <c r="G592">
        <v>19</v>
      </c>
      <c r="H592" t="b">
        <v>0</v>
      </c>
      <c r="I592" t="str">
        <f>TEXT(Append1[[#This Row],[dteday]],"DDDD")</f>
        <v>Thursday</v>
      </c>
      <c r="J592" t="str" cm="1">
        <f t="array" ref="J592">_xlfn.IFS(Append1[[#This Row],[weekday cnt]]=0,"Weekend",Append1[[#This Row],[weekday cnt]]=6,"Weekend",Append1[[#This Row],[weekday cnt]]&gt;0,"Weekday")</f>
        <v>Weekday</v>
      </c>
      <c r="K592">
        <v>4</v>
      </c>
      <c r="L592" t="str" cm="1">
        <f t="array" ref="L5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92">
        <v>1</v>
      </c>
      <c r="N592">
        <v>0.2</v>
      </c>
      <c r="O592">
        <v>590</v>
      </c>
      <c r="P592">
        <v>591</v>
      </c>
      <c r="Q592">
        <v>0.2273</v>
      </c>
      <c r="R592">
        <v>0.69</v>
      </c>
      <c r="S592">
        <v>8.9599999999999999E-2</v>
      </c>
      <c r="T592">
        <v>3</v>
      </c>
      <c r="U592">
        <v>76</v>
      </c>
      <c r="V592">
        <v>79</v>
      </c>
    </row>
    <row r="593" spans="1:22" x14ac:dyDescent="0.3">
      <c r="A593">
        <v>592</v>
      </c>
      <c r="B593" s="1">
        <v>40570</v>
      </c>
      <c r="C593">
        <v>1</v>
      </c>
      <c r="D593">
        <v>0</v>
      </c>
      <c r="E593" t="str">
        <f>TEXT(Append1[[#This Row],[dteday]],"MMMM")</f>
        <v>January</v>
      </c>
      <c r="F593">
        <v>1</v>
      </c>
      <c r="G593">
        <v>20</v>
      </c>
      <c r="H593" t="b">
        <v>0</v>
      </c>
      <c r="I593" t="str">
        <f>TEXT(Append1[[#This Row],[dteday]],"DDDD")</f>
        <v>Thursday</v>
      </c>
      <c r="J593" t="str" cm="1">
        <f t="array" ref="J593">_xlfn.IFS(Append1[[#This Row],[weekday cnt]]=0,"Weekend",Append1[[#This Row],[weekday cnt]]=6,"Weekend",Append1[[#This Row],[weekday cnt]]&gt;0,"Weekday")</f>
        <v>Weekday</v>
      </c>
      <c r="K593">
        <v>4</v>
      </c>
      <c r="L593" t="str" cm="1">
        <f t="array" ref="L5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93">
        <v>1</v>
      </c>
      <c r="N593">
        <v>0.18</v>
      </c>
      <c r="O593">
        <v>591</v>
      </c>
      <c r="P593">
        <v>592</v>
      </c>
      <c r="Q593">
        <v>0.21210000000000001</v>
      </c>
      <c r="R593">
        <v>0.74</v>
      </c>
      <c r="S593">
        <v>8.9599999999999999E-2</v>
      </c>
      <c r="T593">
        <v>4</v>
      </c>
      <c r="U593">
        <v>55</v>
      </c>
      <c r="V593">
        <v>59</v>
      </c>
    </row>
    <row r="594" spans="1:22" x14ac:dyDescent="0.3">
      <c r="A594">
        <v>593</v>
      </c>
      <c r="B594" s="1">
        <v>40570</v>
      </c>
      <c r="C594">
        <v>1</v>
      </c>
      <c r="D594">
        <v>0</v>
      </c>
      <c r="E594" t="str">
        <f>TEXT(Append1[[#This Row],[dteday]],"MMMM")</f>
        <v>January</v>
      </c>
      <c r="F594">
        <v>1</v>
      </c>
      <c r="G594">
        <v>21</v>
      </c>
      <c r="H594" t="b">
        <v>0</v>
      </c>
      <c r="I594" t="str">
        <f>TEXT(Append1[[#This Row],[dteday]],"DDDD")</f>
        <v>Thursday</v>
      </c>
      <c r="J594" t="str" cm="1">
        <f t="array" ref="J594">_xlfn.IFS(Append1[[#This Row],[weekday cnt]]=0,"Weekend",Append1[[#This Row],[weekday cnt]]=6,"Weekend",Append1[[#This Row],[weekday cnt]]&gt;0,"Weekday")</f>
        <v>Weekday</v>
      </c>
      <c r="K594">
        <v>4</v>
      </c>
      <c r="L594" t="str" cm="1">
        <f t="array" ref="L5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94">
        <v>1</v>
      </c>
      <c r="N594">
        <v>0.18</v>
      </c>
      <c r="O594">
        <v>592</v>
      </c>
      <c r="P594">
        <v>593</v>
      </c>
      <c r="Q594">
        <v>0.21210000000000001</v>
      </c>
      <c r="R594">
        <v>0.74</v>
      </c>
      <c r="S594">
        <v>8.9599999999999999E-2</v>
      </c>
      <c r="T594">
        <v>2</v>
      </c>
      <c r="U594">
        <v>36</v>
      </c>
      <c r="V594">
        <v>38</v>
      </c>
    </row>
    <row r="595" spans="1:22" x14ac:dyDescent="0.3">
      <c r="A595">
        <v>594</v>
      </c>
      <c r="B595" s="1">
        <v>40570</v>
      </c>
      <c r="C595">
        <v>1</v>
      </c>
      <c r="D595">
        <v>0</v>
      </c>
      <c r="E595" t="str">
        <f>TEXT(Append1[[#This Row],[dteday]],"MMMM")</f>
        <v>January</v>
      </c>
      <c r="F595">
        <v>1</v>
      </c>
      <c r="G595">
        <v>22</v>
      </c>
      <c r="H595" t="b">
        <v>0</v>
      </c>
      <c r="I595" t="str">
        <f>TEXT(Append1[[#This Row],[dteday]],"DDDD")</f>
        <v>Thursday</v>
      </c>
      <c r="J595" t="str" cm="1">
        <f t="array" ref="J595">_xlfn.IFS(Append1[[#This Row],[weekday cnt]]=0,"Weekend",Append1[[#This Row],[weekday cnt]]=6,"Weekend",Append1[[#This Row],[weekday cnt]]&gt;0,"Weekday")</f>
        <v>Weekday</v>
      </c>
      <c r="K595">
        <v>4</v>
      </c>
      <c r="L595" t="str" cm="1">
        <f t="array" ref="L5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95">
        <v>1</v>
      </c>
      <c r="N595">
        <v>0.18</v>
      </c>
      <c r="O595">
        <v>593</v>
      </c>
      <c r="P595">
        <v>594</v>
      </c>
      <c r="Q595">
        <v>0.21210000000000001</v>
      </c>
      <c r="R595">
        <v>0.74</v>
      </c>
      <c r="S595">
        <v>8.9599999999999999E-2</v>
      </c>
      <c r="T595">
        <v>0</v>
      </c>
      <c r="U595">
        <v>27</v>
      </c>
      <c r="V595">
        <v>27</v>
      </c>
    </row>
    <row r="596" spans="1:22" x14ac:dyDescent="0.3">
      <c r="A596">
        <v>595</v>
      </c>
      <c r="B596" s="1">
        <v>40570</v>
      </c>
      <c r="C596">
        <v>1</v>
      </c>
      <c r="D596">
        <v>0</v>
      </c>
      <c r="E596" t="str">
        <f>TEXT(Append1[[#This Row],[dteday]],"MMMM")</f>
        <v>January</v>
      </c>
      <c r="F596">
        <v>1</v>
      </c>
      <c r="G596">
        <v>23</v>
      </c>
      <c r="H596" t="b">
        <v>0</v>
      </c>
      <c r="I596" t="str">
        <f>TEXT(Append1[[#This Row],[dteday]],"DDDD")</f>
        <v>Thursday</v>
      </c>
      <c r="J596" t="str" cm="1">
        <f t="array" ref="J596">_xlfn.IFS(Append1[[#This Row],[weekday cnt]]=0,"Weekend",Append1[[#This Row],[weekday cnt]]=6,"Weekend",Append1[[#This Row],[weekday cnt]]&gt;0,"Weekday")</f>
        <v>Weekday</v>
      </c>
      <c r="K596">
        <v>4</v>
      </c>
      <c r="L596" t="str" cm="1">
        <f t="array" ref="L5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596">
        <v>1</v>
      </c>
      <c r="N596">
        <v>0.18</v>
      </c>
      <c r="O596">
        <v>594</v>
      </c>
      <c r="P596">
        <v>595</v>
      </c>
      <c r="Q596">
        <v>0.19700000000000001</v>
      </c>
      <c r="R596">
        <v>0.8</v>
      </c>
      <c r="S596">
        <v>0.16420000000000001</v>
      </c>
      <c r="T596">
        <v>0</v>
      </c>
      <c r="U596">
        <v>16</v>
      </c>
      <c r="V596">
        <v>16</v>
      </c>
    </row>
    <row r="597" spans="1:22" x14ac:dyDescent="0.3">
      <c r="A597">
        <v>596</v>
      </c>
      <c r="B597" s="1">
        <v>40571</v>
      </c>
      <c r="C597">
        <v>1</v>
      </c>
      <c r="D597">
        <v>0</v>
      </c>
      <c r="E597" t="str">
        <f>TEXT(Append1[[#This Row],[dteday]],"MMMM")</f>
        <v>January</v>
      </c>
      <c r="F597">
        <v>1</v>
      </c>
      <c r="G597">
        <v>0</v>
      </c>
      <c r="H597" t="b">
        <v>0</v>
      </c>
      <c r="I597" t="str">
        <f>TEXT(Append1[[#This Row],[dteday]],"DDDD")</f>
        <v>Friday</v>
      </c>
      <c r="J597" t="str" cm="1">
        <f t="array" ref="J597">_xlfn.IFS(Append1[[#This Row],[weekday cnt]]=0,"Weekend",Append1[[#This Row],[weekday cnt]]=6,"Weekend",Append1[[#This Row],[weekday cnt]]&gt;0,"Weekday")</f>
        <v>Weekday</v>
      </c>
      <c r="K597">
        <v>5</v>
      </c>
      <c r="L597" t="str" cm="1">
        <f t="array" ref="L5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97">
        <v>2</v>
      </c>
      <c r="N597">
        <v>0.2</v>
      </c>
      <c r="O597">
        <v>595</v>
      </c>
      <c r="P597">
        <v>596</v>
      </c>
      <c r="Q597">
        <v>0.21210000000000001</v>
      </c>
      <c r="R597">
        <v>0.75</v>
      </c>
      <c r="S597">
        <v>0.1343</v>
      </c>
      <c r="T597">
        <v>0</v>
      </c>
      <c r="U597">
        <v>9</v>
      </c>
      <c r="V597">
        <v>9</v>
      </c>
    </row>
    <row r="598" spans="1:22" x14ac:dyDescent="0.3">
      <c r="A598">
        <v>597</v>
      </c>
      <c r="B598" s="1">
        <v>40571</v>
      </c>
      <c r="C598">
        <v>1</v>
      </c>
      <c r="D598">
        <v>0</v>
      </c>
      <c r="E598" t="str">
        <f>TEXT(Append1[[#This Row],[dteday]],"MMMM")</f>
        <v>January</v>
      </c>
      <c r="F598">
        <v>1</v>
      </c>
      <c r="G598">
        <v>1</v>
      </c>
      <c r="H598" t="b">
        <v>0</v>
      </c>
      <c r="I598" t="str">
        <f>TEXT(Append1[[#This Row],[dteday]],"DDDD")</f>
        <v>Friday</v>
      </c>
      <c r="J598" t="str" cm="1">
        <f t="array" ref="J598">_xlfn.IFS(Append1[[#This Row],[weekday cnt]]=0,"Weekend",Append1[[#This Row],[weekday cnt]]=6,"Weekend",Append1[[#This Row],[weekday cnt]]&gt;0,"Weekday")</f>
        <v>Weekday</v>
      </c>
      <c r="K598">
        <v>5</v>
      </c>
      <c r="L598" t="str" cm="1">
        <f t="array" ref="L5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98">
        <v>2</v>
      </c>
      <c r="N598">
        <v>0.2</v>
      </c>
      <c r="O598">
        <v>596</v>
      </c>
      <c r="P598">
        <v>597</v>
      </c>
      <c r="Q598">
        <v>0.21210000000000001</v>
      </c>
      <c r="R598">
        <v>0.75</v>
      </c>
      <c r="S598">
        <v>0.1343</v>
      </c>
      <c r="T598">
        <v>1</v>
      </c>
      <c r="U598">
        <v>2</v>
      </c>
      <c r="V598">
        <v>3</v>
      </c>
    </row>
    <row r="599" spans="1:22" x14ac:dyDescent="0.3">
      <c r="A599">
        <v>598</v>
      </c>
      <c r="B599" s="1">
        <v>40571</v>
      </c>
      <c r="C599">
        <v>1</v>
      </c>
      <c r="D599">
        <v>0</v>
      </c>
      <c r="E599" t="str">
        <f>TEXT(Append1[[#This Row],[dteday]],"MMMM")</f>
        <v>January</v>
      </c>
      <c r="F599">
        <v>1</v>
      </c>
      <c r="G599">
        <v>2</v>
      </c>
      <c r="H599" t="b">
        <v>0</v>
      </c>
      <c r="I599" t="str">
        <f>TEXT(Append1[[#This Row],[dteday]],"DDDD")</f>
        <v>Friday</v>
      </c>
      <c r="J599" t="str" cm="1">
        <f t="array" ref="J599">_xlfn.IFS(Append1[[#This Row],[weekday cnt]]=0,"Weekend",Append1[[#This Row],[weekday cnt]]=6,"Weekend",Append1[[#This Row],[weekday cnt]]&gt;0,"Weekday")</f>
        <v>Weekday</v>
      </c>
      <c r="K599">
        <v>5</v>
      </c>
      <c r="L599" t="str" cm="1">
        <f t="array" ref="L5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599">
        <v>2</v>
      </c>
      <c r="N599">
        <v>0.2</v>
      </c>
      <c r="O599">
        <v>597</v>
      </c>
      <c r="P599">
        <v>598</v>
      </c>
      <c r="Q599">
        <v>0.21210000000000001</v>
      </c>
      <c r="R599">
        <v>0.75</v>
      </c>
      <c r="S599">
        <v>0.16420000000000001</v>
      </c>
      <c r="T599">
        <v>0</v>
      </c>
      <c r="U599">
        <v>2</v>
      </c>
      <c r="V599">
        <v>2</v>
      </c>
    </row>
    <row r="600" spans="1:22" x14ac:dyDescent="0.3">
      <c r="A600">
        <v>599</v>
      </c>
      <c r="B600" s="1">
        <v>40571</v>
      </c>
      <c r="C600">
        <v>1</v>
      </c>
      <c r="D600">
        <v>0</v>
      </c>
      <c r="E600" t="str">
        <f>TEXT(Append1[[#This Row],[dteday]],"MMMM")</f>
        <v>January</v>
      </c>
      <c r="F600">
        <v>1</v>
      </c>
      <c r="G600">
        <v>3</v>
      </c>
      <c r="H600" t="b">
        <v>0</v>
      </c>
      <c r="I600" t="str">
        <f>TEXT(Append1[[#This Row],[dteday]],"DDDD")</f>
        <v>Friday</v>
      </c>
      <c r="J600" t="str" cm="1">
        <f t="array" ref="J600">_xlfn.IFS(Append1[[#This Row],[weekday cnt]]=0,"Weekend",Append1[[#This Row],[weekday cnt]]=6,"Weekend",Append1[[#This Row],[weekday cnt]]&gt;0,"Weekday")</f>
        <v>Weekday</v>
      </c>
      <c r="K600">
        <v>5</v>
      </c>
      <c r="L600" t="str" cm="1">
        <f t="array" ref="L6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00">
        <v>2</v>
      </c>
      <c r="N600">
        <v>0.2</v>
      </c>
      <c r="O600">
        <v>598</v>
      </c>
      <c r="P600">
        <v>599</v>
      </c>
      <c r="Q600">
        <v>0.2273</v>
      </c>
      <c r="R600">
        <v>0.75</v>
      </c>
      <c r="S600">
        <v>0.1045</v>
      </c>
      <c r="T600">
        <v>1</v>
      </c>
      <c r="U600">
        <v>0</v>
      </c>
      <c r="V600">
        <v>1</v>
      </c>
    </row>
    <row r="601" spans="1:22" x14ac:dyDescent="0.3">
      <c r="A601">
        <v>600</v>
      </c>
      <c r="B601" s="1">
        <v>40571</v>
      </c>
      <c r="C601">
        <v>1</v>
      </c>
      <c r="D601">
        <v>0</v>
      </c>
      <c r="E601" t="str">
        <f>TEXT(Append1[[#This Row],[dteday]],"MMMM")</f>
        <v>January</v>
      </c>
      <c r="F601">
        <v>1</v>
      </c>
      <c r="G601">
        <v>5</v>
      </c>
      <c r="H601" t="b">
        <v>0</v>
      </c>
      <c r="I601" t="str">
        <f>TEXT(Append1[[#This Row],[dteday]],"DDDD")</f>
        <v>Friday</v>
      </c>
      <c r="J601" t="str" cm="1">
        <f t="array" ref="J601">_xlfn.IFS(Append1[[#This Row],[weekday cnt]]=0,"Weekend",Append1[[#This Row],[weekday cnt]]=6,"Weekend",Append1[[#This Row],[weekday cnt]]&gt;0,"Weekday")</f>
        <v>Weekday</v>
      </c>
      <c r="K601">
        <v>5</v>
      </c>
      <c r="L601" t="str" cm="1">
        <f t="array" ref="L6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01">
        <v>2</v>
      </c>
      <c r="N601">
        <v>0.18</v>
      </c>
      <c r="O601">
        <v>599</v>
      </c>
      <c r="P601">
        <v>600</v>
      </c>
      <c r="Q601">
        <v>0.21210000000000001</v>
      </c>
      <c r="R601">
        <v>0.8</v>
      </c>
      <c r="S601">
        <v>0.1045</v>
      </c>
      <c r="T601">
        <v>0</v>
      </c>
      <c r="U601">
        <v>4</v>
      </c>
      <c r="V601">
        <v>4</v>
      </c>
    </row>
    <row r="602" spans="1:22" x14ac:dyDescent="0.3">
      <c r="A602">
        <v>601</v>
      </c>
      <c r="B602" s="1">
        <v>40571</v>
      </c>
      <c r="C602">
        <v>1</v>
      </c>
      <c r="D602">
        <v>0</v>
      </c>
      <c r="E602" t="str">
        <f>TEXT(Append1[[#This Row],[dteday]],"MMMM")</f>
        <v>January</v>
      </c>
      <c r="F602">
        <v>1</v>
      </c>
      <c r="G602">
        <v>6</v>
      </c>
      <c r="H602" t="b">
        <v>0</v>
      </c>
      <c r="I602" t="str">
        <f>TEXT(Append1[[#This Row],[dteday]],"DDDD")</f>
        <v>Friday</v>
      </c>
      <c r="J602" t="str" cm="1">
        <f t="array" ref="J602">_xlfn.IFS(Append1[[#This Row],[weekday cnt]]=0,"Weekend",Append1[[#This Row],[weekday cnt]]=6,"Weekend",Append1[[#This Row],[weekday cnt]]&gt;0,"Weekday")</f>
        <v>Weekday</v>
      </c>
      <c r="K602">
        <v>5</v>
      </c>
      <c r="L602" t="str" cm="1">
        <f t="array" ref="L60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02">
        <v>2</v>
      </c>
      <c r="N602">
        <v>0.18</v>
      </c>
      <c r="O602">
        <v>600</v>
      </c>
      <c r="P602">
        <v>601</v>
      </c>
      <c r="Q602">
        <v>0.19700000000000001</v>
      </c>
      <c r="R602">
        <v>0.8</v>
      </c>
      <c r="S602">
        <v>0.1343</v>
      </c>
      <c r="T602">
        <v>0</v>
      </c>
      <c r="U602">
        <v>16</v>
      </c>
      <c r="V602">
        <v>16</v>
      </c>
    </row>
    <row r="603" spans="1:22" x14ac:dyDescent="0.3">
      <c r="A603">
        <v>602</v>
      </c>
      <c r="B603" s="1">
        <v>40571</v>
      </c>
      <c r="C603">
        <v>1</v>
      </c>
      <c r="D603">
        <v>0</v>
      </c>
      <c r="E603" t="str">
        <f>TEXT(Append1[[#This Row],[dteday]],"MMMM")</f>
        <v>January</v>
      </c>
      <c r="F603">
        <v>1</v>
      </c>
      <c r="G603">
        <v>7</v>
      </c>
      <c r="H603" t="b">
        <v>0</v>
      </c>
      <c r="I603" t="str">
        <f>TEXT(Append1[[#This Row],[dteday]],"DDDD")</f>
        <v>Friday</v>
      </c>
      <c r="J603" t="str" cm="1">
        <f t="array" ref="J603">_xlfn.IFS(Append1[[#This Row],[weekday cnt]]=0,"Weekend",Append1[[#This Row],[weekday cnt]]=6,"Weekend",Append1[[#This Row],[weekday cnt]]&gt;0,"Weekday")</f>
        <v>Weekday</v>
      </c>
      <c r="K603">
        <v>5</v>
      </c>
      <c r="L603" t="str" cm="1">
        <f t="array" ref="L60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03">
        <v>2</v>
      </c>
      <c r="N603">
        <v>0.16</v>
      </c>
      <c r="O603">
        <v>601</v>
      </c>
      <c r="P603">
        <v>602</v>
      </c>
      <c r="Q603">
        <v>0.19700000000000001</v>
      </c>
      <c r="R603">
        <v>0.86</v>
      </c>
      <c r="S603">
        <v>8.9599999999999999E-2</v>
      </c>
      <c r="T603">
        <v>2</v>
      </c>
      <c r="U603">
        <v>58</v>
      </c>
      <c r="V603">
        <v>60</v>
      </c>
    </row>
    <row r="604" spans="1:22" x14ac:dyDescent="0.3">
      <c r="A604">
        <v>603</v>
      </c>
      <c r="B604" s="1">
        <v>40571</v>
      </c>
      <c r="C604">
        <v>1</v>
      </c>
      <c r="D604">
        <v>0</v>
      </c>
      <c r="E604" t="str">
        <f>TEXT(Append1[[#This Row],[dteday]],"MMMM")</f>
        <v>January</v>
      </c>
      <c r="F604">
        <v>1</v>
      </c>
      <c r="G604">
        <v>8</v>
      </c>
      <c r="H604" t="b">
        <v>0</v>
      </c>
      <c r="I604" t="str">
        <f>TEXT(Append1[[#This Row],[dteday]],"DDDD")</f>
        <v>Friday</v>
      </c>
      <c r="J604" t="str" cm="1">
        <f t="array" ref="J604">_xlfn.IFS(Append1[[#This Row],[weekday cnt]]=0,"Weekend",Append1[[#This Row],[weekday cnt]]=6,"Weekend",Append1[[#This Row],[weekday cnt]]&gt;0,"Weekday")</f>
        <v>Weekday</v>
      </c>
      <c r="K604">
        <v>5</v>
      </c>
      <c r="L604" t="str" cm="1">
        <f t="array" ref="L60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04">
        <v>2</v>
      </c>
      <c r="N604">
        <v>0.16</v>
      </c>
      <c r="O604">
        <v>602</v>
      </c>
      <c r="P604">
        <v>603</v>
      </c>
      <c r="Q604">
        <v>0.19700000000000001</v>
      </c>
      <c r="R604">
        <v>0.86</v>
      </c>
      <c r="S604">
        <v>8.9599999999999999E-2</v>
      </c>
      <c r="T604">
        <v>2</v>
      </c>
      <c r="U604">
        <v>155</v>
      </c>
      <c r="V604">
        <v>157</v>
      </c>
    </row>
    <row r="605" spans="1:22" x14ac:dyDescent="0.3">
      <c r="A605">
        <v>604</v>
      </c>
      <c r="B605" s="1">
        <v>40571</v>
      </c>
      <c r="C605">
        <v>1</v>
      </c>
      <c r="D605">
        <v>0</v>
      </c>
      <c r="E605" t="str">
        <f>TEXT(Append1[[#This Row],[dteday]],"MMMM")</f>
        <v>January</v>
      </c>
      <c r="F605">
        <v>1</v>
      </c>
      <c r="G605">
        <v>9</v>
      </c>
      <c r="H605" t="b">
        <v>0</v>
      </c>
      <c r="I605" t="str">
        <f>TEXT(Append1[[#This Row],[dteday]],"DDDD")</f>
        <v>Friday</v>
      </c>
      <c r="J605" t="str" cm="1">
        <f t="array" ref="J605">_xlfn.IFS(Append1[[#This Row],[weekday cnt]]=0,"Weekend",Append1[[#This Row],[weekday cnt]]=6,"Weekend",Append1[[#This Row],[weekday cnt]]&gt;0,"Weekday")</f>
        <v>Weekday</v>
      </c>
      <c r="K605">
        <v>5</v>
      </c>
      <c r="L605" t="str" cm="1">
        <f t="array" ref="L60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05">
        <v>3</v>
      </c>
      <c r="N605">
        <v>0.18</v>
      </c>
      <c r="O605">
        <v>603</v>
      </c>
      <c r="P605">
        <v>604</v>
      </c>
      <c r="Q605">
        <v>0.21210000000000001</v>
      </c>
      <c r="R605">
        <v>0.86</v>
      </c>
      <c r="S605">
        <v>8.9599999999999999E-2</v>
      </c>
      <c r="T605">
        <v>6</v>
      </c>
      <c r="U605">
        <v>95</v>
      </c>
      <c r="V605">
        <v>101</v>
      </c>
    </row>
    <row r="606" spans="1:22" x14ac:dyDescent="0.3">
      <c r="A606">
        <v>605</v>
      </c>
      <c r="B606" s="1">
        <v>40571</v>
      </c>
      <c r="C606">
        <v>1</v>
      </c>
      <c r="D606">
        <v>0</v>
      </c>
      <c r="E606" t="str">
        <f>TEXT(Append1[[#This Row],[dteday]],"MMMM")</f>
        <v>January</v>
      </c>
      <c r="F606">
        <v>1</v>
      </c>
      <c r="G606">
        <v>10</v>
      </c>
      <c r="H606" t="b">
        <v>0</v>
      </c>
      <c r="I606" t="str">
        <f>TEXT(Append1[[#This Row],[dteday]],"DDDD")</f>
        <v>Friday</v>
      </c>
      <c r="J606" t="str" cm="1">
        <f t="array" ref="J606">_xlfn.IFS(Append1[[#This Row],[weekday cnt]]=0,"Weekend",Append1[[#This Row],[weekday cnt]]=6,"Weekend",Append1[[#This Row],[weekday cnt]]&gt;0,"Weekday")</f>
        <v>Weekday</v>
      </c>
      <c r="K606">
        <v>5</v>
      </c>
      <c r="L606" t="str" cm="1">
        <f t="array" ref="L60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06">
        <v>3</v>
      </c>
      <c r="N606">
        <v>0.18</v>
      </c>
      <c r="O606">
        <v>604</v>
      </c>
      <c r="P606">
        <v>605</v>
      </c>
      <c r="Q606">
        <v>0.21210000000000001</v>
      </c>
      <c r="R606">
        <v>0.86</v>
      </c>
      <c r="S606">
        <v>0.1045</v>
      </c>
      <c r="T606">
        <v>0</v>
      </c>
      <c r="U606">
        <v>49</v>
      </c>
      <c r="V606">
        <v>49</v>
      </c>
    </row>
    <row r="607" spans="1:22" x14ac:dyDescent="0.3">
      <c r="A607">
        <v>606</v>
      </c>
      <c r="B607" s="1">
        <v>40571</v>
      </c>
      <c r="C607">
        <v>1</v>
      </c>
      <c r="D607">
        <v>0</v>
      </c>
      <c r="E607" t="str">
        <f>TEXT(Append1[[#This Row],[dteday]],"MMMM")</f>
        <v>January</v>
      </c>
      <c r="F607">
        <v>1</v>
      </c>
      <c r="G607">
        <v>11</v>
      </c>
      <c r="H607" t="b">
        <v>0</v>
      </c>
      <c r="I607" t="str">
        <f>TEXT(Append1[[#This Row],[dteday]],"DDDD")</f>
        <v>Friday</v>
      </c>
      <c r="J607" t="str" cm="1">
        <f t="array" ref="J607">_xlfn.IFS(Append1[[#This Row],[weekday cnt]]=0,"Weekend",Append1[[#This Row],[weekday cnt]]=6,"Weekend",Append1[[#This Row],[weekday cnt]]&gt;0,"Weekday")</f>
        <v>Weekday</v>
      </c>
      <c r="K607">
        <v>5</v>
      </c>
      <c r="L607" t="str" cm="1">
        <f t="array" ref="L60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07">
        <v>3</v>
      </c>
      <c r="N607">
        <v>0.18</v>
      </c>
      <c r="O607">
        <v>605</v>
      </c>
      <c r="P607">
        <v>606</v>
      </c>
      <c r="Q607">
        <v>0.21210000000000001</v>
      </c>
      <c r="R607">
        <v>0.93</v>
      </c>
      <c r="S607">
        <v>0.1045</v>
      </c>
      <c r="T607">
        <v>0</v>
      </c>
      <c r="U607">
        <v>30</v>
      </c>
      <c r="V607">
        <v>30</v>
      </c>
    </row>
    <row r="608" spans="1:22" x14ac:dyDescent="0.3">
      <c r="A608">
        <v>607</v>
      </c>
      <c r="B608" s="1">
        <v>40571</v>
      </c>
      <c r="C608">
        <v>1</v>
      </c>
      <c r="D608">
        <v>0</v>
      </c>
      <c r="E608" t="str">
        <f>TEXT(Append1[[#This Row],[dteday]],"MMMM")</f>
        <v>January</v>
      </c>
      <c r="F608">
        <v>1</v>
      </c>
      <c r="G608">
        <v>12</v>
      </c>
      <c r="H608" t="b">
        <v>0</v>
      </c>
      <c r="I608" t="str">
        <f>TEXT(Append1[[#This Row],[dteday]],"DDDD")</f>
        <v>Friday</v>
      </c>
      <c r="J608" t="str" cm="1">
        <f t="array" ref="J608">_xlfn.IFS(Append1[[#This Row],[weekday cnt]]=0,"Weekend",Append1[[#This Row],[weekday cnt]]=6,"Weekend",Append1[[#This Row],[weekday cnt]]&gt;0,"Weekday")</f>
        <v>Weekday</v>
      </c>
      <c r="K608">
        <v>5</v>
      </c>
      <c r="L608" t="str" cm="1">
        <f t="array" ref="L60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08">
        <v>3</v>
      </c>
      <c r="N608">
        <v>0.18</v>
      </c>
      <c r="O608">
        <v>606</v>
      </c>
      <c r="P608">
        <v>607</v>
      </c>
      <c r="Q608">
        <v>0.21210000000000001</v>
      </c>
      <c r="R608">
        <v>0.93</v>
      </c>
      <c r="S608">
        <v>0.1045</v>
      </c>
      <c r="T608">
        <v>1</v>
      </c>
      <c r="U608">
        <v>28</v>
      </c>
      <c r="V608">
        <v>29</v>
      </c>
    </row>
    <row r="609" spans="1:22" x14ac:dyDescent="0.3">
      <c r="A609">
        <v>608</v>
      </c>
      <c r="B609" s="1">
        <v>40571</v>
      </c>
      <c r="C609">
        <v>1</v>
      </c>
      <c r="D609">
        <v>0</v>
      </c>
      <c r="E609" t="str">
        <f>TEXT(Append1[[#This Row],[dteday]],"MMMM")</f>
        <v>January</v>
      </c>
      <c r="F609">
        <v>1</v>
      </c>
      <c r="G609">
        <v>13</v>
      </c>
      <c r="H609" t="b">
        <v>0</v>
      </c>
      <c r="I609" t="str">
        <f>TEXT(Append1[[#This Row],[dteday]],"DDDD")</f>
        <v>Friday</v>
      </c>
      <c r="J609" t="str" cm="1">
        <f t="array" ref="J609">_xlfn.IFS(Append1[[#This Row],[weekday cnt]]=0,"Weekend",Append1[[#This Row],[weekday cnt]]=6,"Weekend",Append1[[#This Row],[weekday cnt]]&gt;0,"Weekday")</f>
        <v>Weekday</v>
      </c>
      <c r="K609">
        <v>5</v>
      </c>
      <c r="L609" t="str" cm="1">
        <f t="array" ref="L60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09">
        <v>3</v>
      </c>
      <c r="N609">
        <v>0.18</v>
      </c>
      <c r="O609">
        <v>607</v>
      </c>
      <c r="P609">
        <v>608</v>
      </c>
      <c r="Q609">
        <v>0.21210000000000001</v>
      </c>
      <c r="R609">
        <v>0.93</v>
      </c>
      <c r="S609">
        <v>0.1045</v>
      </c>
      <c r="T609">
        <v>0</v>
      </c>
      <c r="U609">
        <v>31</v>
      </c>
      <c r="V609">
        <v>31</v>
      </c>
    </row>
    <row r="610" spans="1:22" x14ac:dyDescent="0.3">
      <c r="A610">
        <v>609</v>
      </c>
      <c r="B610" s="1">
        <v>40571</v>
      </c>
      <c r="C610">
        <v>1</v>
      </c>
      <c r="D610">
        <v>0</v>
      </c>
      <c r="E610" t="str">
        <f>TEXT(Append1[[#This Row],[dteday]],"MMMM")</f>
        <v>January</v>
      </c>
      <c r="F610">
        <v>1</v>
      </c>
      <c r="G610">
        <v>14</v>
      </c>
      <c r="H610" t="b">
        <v>0</v>
      </c>
      <c r="I610" t="str">
        <f>TEXT(Append1[[#This Row],[dteday]],"DDDD")</f>
        <v>Friday</v>
      </c>
      <c r="J610" t="str" cm="1">
        <f t="array" ref="J610">_xlfn.IFS(Append1[[#This Row],[weekday cnt]]=0,"Weekend",Append1[[#This Row],[weekday cnt]]=6,"Weekend",Append1[[#This Row],[weekday cnt]]&gt;0,"Weekday")</f>
        <v>Weekday</v>
      </c>
      <c r="K610">
        <v>5</v>
      </c>
      <c r="L610" t="str" cm="1">
        <f t="array" ref="L6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10">
        <v>3</v>
      </c>
      <c r="N610">
        <v>0.22</v>
      </c>
      <c r="O610">
        <v>608</v>
      </c>
      <c r="P610">
        <v>609</v>
      </c>
      <c r="Q610">
        <v>0.2727</v>
      </c>
      <c r="R610">
        <v>0.8</v>
      </c>
      <c r="S610">
        <v>0</v>
      </c>
      <c r="T610">
        <v>2</v>
      </c>
      <c r="U610">
        <v>36</v>
      </c>
      <c r="V610">
        <v>38</v>
      </c>
    </row>
    <row r="611" spans="1:22" x14ac:dyDescent="0.3">
      <c r="A611">
        <v>610</v>
      </c>
      <c r="B611" s="1">
        <v>40571</v>
      </c>
      <c r="C611">
        <v>1</v>
      </c>
      <c r="D611">
        <v>0</v>
      </c>
      <c r="E611" t="str">
        <f>TEXT(Append1[[#This Row],[dteday]],"MMMM")</f>
        <v>January</v>
      </c>
      <c r="F611">
        <v>1</v>
      </c>
      <c r="G611">
        <v>15</v>
      </c>
      <c r="H611" t="b">
        <v>0</v>
      </c>
      <c r="I611" t="str">
        <f>TEXT(Append1[[#This Row],[dteday]],"DDDD")</f>
        <v>Friday</v>
      </c>
      <c r="J611" t="str" cm="1">
        <f t="array" ref="J611">_xlfn.IFS(Append1[[#This Row],[weekday cnt]]=0,"Weekend",Append1[[#This Row],[weekday cnt]]=6,"Weekend",Append1[[#This Row],[weekday cnt]]&gt;0,"Weekday")</f>
        <v>Weekday</v>
      </c>
      <c r="K611">
        <v>5</v>
      </c>
      <c r="L611" t="str" cm="1">
        <f t="array" ref="L6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11">
        <v>2</v>
      </c>
      <c r="N611">
        <v>0.2</v>
      </c>
      <c r="O611">
        <v>609</v>
      </c>
      <c r="P611">
        <v>610</v>
      </c>
      <c r="Q611">
        <v>0.2576</v>
      </c>
      <c r="R611">
        <v>0.86</v>
      </c>
      <c r="S611">
        <v>0</v>
      </c>
      <c r="T611">
        <v>1</v>
      </c>
      <c r="U611">
        <v>40</v>
      </c>
      <c r="V611">
        <v>41</v>
      </c>
    </row>
    <row r="612" spans="1:22" x14ac:dyDescent="0.3">
      <c r="A612">
        <v>611</v>
      </c>
      <c r="B612" s="1">
        <v>40571</v>
      </c>
      <c r="C612">
        <v>1</v>
      </c>
      <c r="D612">
        <v>0</v>
      </c>
      <c r="E612" t="str">
        <f>TEXT(Append1[[#This Row],[dteday]],"MMMM")</f>
        <v>January</v>
      </c>
      <c r="F612">
        <v>1</v>
      </c>
      <c r="G612">
        <v>16</v>
      </c>
      <c r="H612" t="b">
        <v>0</v>
      </c>
      <c r="I612" t="str">
        <f>TEXT(Append1[[#This Row],[dteday]],"DDDD")</f>
        <v>Friday</v>
      </c>
      <c r="J612" t="str" cm="1">
        <f t="array" ref="J612">_xlfn.IFS(Append1[[#This Row],[weekday cnt]]=0,"Weekend",Append1[[#This Row],[weekday cnt]]=6,"Weekend",Append1[[#This Row],[weekday cnt]]&gt;0,"Weekday")</f>
        <v>Weekday</v>
      </c>
      <c r="K612">
        <v>5</v>
      </c>
      <c r="L612" t="str" cm="1">
        <f t="array" ref="L6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12">
        <v>1</v>
      </c>
      <c r="N612">
        <v>0.22</v>
      </c>
      <c r="O612">
        <f>O611+1</f>
        <v>610</v>
      </c>
      <c r="P612">
        <f>P611+1</f>
        <v>611</v>
      </c>
      <c r="Q612">
        <v>0.2727</v>
      </c>
      <c r="R612">
        <v>0.8</v>
      </c>
      <c r="S612">
        <v>0</v>
      </c>
      <c r="T612">
        <v>10</v>
      </c>
      <c r="U612">
        <v>70</v>
      </c>
      <c r="V612">
        <v>80</v>
      </c>
    </row>
    <row r="613" spans="1:22" x14ac:dyDescent="0.3">
      <c r="A613">
        <v>612</v>
      </c>
      <c r="B613" s="1">
        <v>40571</v>
      </c>
      <c r="C613">
        <v>1</v>
      </c>
      <c r="D613">
        <v>0</v>
      </c>
      <c r="E613" t="str">
        <f>TEXT(Append1[[#This Row],[dteday]],"MMMM")</f>
        <v>January</v>
      </c>
      <c r="F613">
        <v>1</v>
      </c>
      <c r="G613">
        <v>17</v>
      </c>
      <c r="H613" t="b">
        <v>0</v>
      </c>
      <c r="I613" t="str">
        <f>TEXT(Append1[[#This Row],[dteday]],"DDDD")</f>
        <v>Friday</v>
      </c>
      <c r="J613" t="str" cm="1">
        <f t="array" ref="J613">_xlfn.IFS(Append1[[#This Row],[weekday cnt]]=0,"Weekend",Append1[[#This Row],[weekday cnt]]=6,"Weekend",Append1[[#This Row],[weekday cnt]]&gt;0,"Weekday")</f>
        <v>Weekday</v>
      </c>
      <c r="K613">
        <v>5</v>
      </c>
      <c r="L613" t="str" cm="1">
        <f t="array" ref="L6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13">
        <v>1</v>
      </c>
      <c r="N613">
        <v>0.24</v>
      </c>
      <c r="O613">
        <f t="shared" ref="O613:O676" si="0">O612+1</f>
        <v>611</v>
      </c>
      <c r="P613">
        <f t="shared" ref="P613:P676" si="1">P612+1</f>
        <v>612</v>
      </c>
      <c r="Q613">
        <v>0.2424</v>
      </c>
      <c r="R613">
        <v>0.75</v>
      </c>
      <c r="S613">
        <v>0.1343</v>
      </c>
      <c r="T613">
        <v>2</v>
      </c>
      <c r="U613">
        <v>147</v>
      </c>
      <c r="V613">
        <v>149</v>
      </c>
    </row>
    <row r="614" spans="1:22" x14ac:dyDescent="0.3">
      <c r="A614">
        <v>613</v>
      </c>
      <c r="B614" s="1">
        <v>40571</v>
      </c>
      <c r="C614">
        <v>1</v>
      </c>
      <c r="D614">
        <v>0</v>
      </c>
      <c r="E614" t="str">
        <f>TEXT(Append1[[#This Row],[dteday]],"MMMM")</f>
        <v>January</v>
      </c>
      <c r="F614">
        <v>1</v>
      </c>
      <c r="G614">
        <v>18</v>
      </c>
      <c r="H614" t="b">
        <v>0</v>
      </c>
      <c r="I614" t="str">
        <f>TEXT(Append1[[#This Row],[dteday]],"DDDD")</f>
        <v>Friday</v>
      </c>
      <c r="J614" t="str" cm="1">
        <f t="array" ref="J614">_xlfn.IFS(Append1[[#This Row],[weekday cnt]]=0,"Weekend",Append1[[#This Row],[weekday cnt]]=6,"Weekend",Append1[[#This Row],[weekday cnt]]&gt;0,"Weekday")</f>
        <v>Weekday</v>
      </c>
      <c r="K614">
        <v>5</v>
      </c>
      <c r="L614" t="str" cm="1">
        <f t="array" ref="L6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14">
        <v>1</v>
      </c>
      <c r="N614">
        <v>0.24</v>
      </c>
      <c r="O614">
        <f t="shared" si="0"/>
        <v>612</v>
      </c>
      <c r="P614">
        <f t="shared" si="1"/>
        <v>613</v>
      </c>
      <c r="Q614">
        <v>0.2273</v>
      </c>
      <c r="R614">
        <v>0.75</v>
      </c>
      <c r="S614">
        <v>0.19400000000000001</v>
      </c>
      <c r="T614">
        <v>2</v>
      </c>
      <c r="U614">
        <v>107</v>
      </c>
      <c r="V614">
        <v>109</v>
      </c>
    </row>
    <row r="615" spans="1:22" x14ac:dyDescent="0.3">
      <c r="A615">
        <v>614</v>
      </c>
      <c r="B615" s="1">
        <v>40571</v>
      </c>
      <c r="C615">
        <v>1</v>
      </c>
      <c r="D615">
        <v>0</v>
      </c>
      <c r="E615" t="str">
        <f>TEXT(Append1[[#This Row],[dteday]],"MMMM")</f>
        <v>January</v>
      </c>
      <c r="F615">
        <v>1</v>
      </c>
      <c r="G615">
        <v>19</v>
      </c>
      <c r="H615" t="b">
        <v>0</v>
      </c>
      <c r="I615" t="str">
        <f>TEXT(Append1[[#This Row],[dteday]],"DDDD")</f>
        <v>Friday</v>
      </c>
      <c r="J615" t="str" cm="1">
        <f t="array" ref="J615">_xlfn.IFS(Append1[[#This Row],[weekday cnt]]=0,"Weekend",Append1[[#This Row],[weekday cnt]]=6,"Weekend",Append1[[#This Row],[weekday cnt]]&gt;0,"Weekday")</f>
        <v>Weekday</v>
      </c>
      <c r="K615">
        <v>5</v>
      </c>
      <c r="L615" t="str" cm="1">
        <f t="array" ref="L6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15">
        <v>2</v>
      </c>
      <c r="N615">
        <v>0.24</v>
      </c>
      <c r="O615">
        <f t="shared" si="0"/>
        <v>613</v>
      </c>
      <c r="P615">
        <f t="shared" si="1"/>
        <v>614</v>
      </c>
      <c r="Q615">
        <v>0.2424</v>
      </c>
      <c r="R615">
        <v>0.75</v>
      </c>
      <c r="S615">
        <v>0.1343</v>
      </c>
      <c r="T615">
        <v>5</v>
      </c>
      <c r="U615">
        <v>84</v>
      </c>
      <c r="V615">
        <v>89</v>
      </c>
    </row>
    <row r="616" spans="1:22" x14ac:dyDescent="0.3">
      <c r="A616">
        <v>615</v>
      </c>
      <c r="B616" s="1">
        <v>40571</v>
      </c>
      <c r="C616">
        <v>1</v>
      </c>
      <c r="D616">
        <v>0</v>
      </c>
      <c r="E616" t="str">
        <f>TEXT(Append1[[#This Row],[dteday]],"MMMM")</f>
        <v>January</v>
      </c>
      <c r="F616">
        <v>1</v>
      </c>
      <c r="G616">
        <v>20</v>
      </c>
      <c r="H616" t="b">
        <v>0</v>
      </c>
      <c r="I616" t="str">
        <f>TEXT(Append1[[#This Row],[dteday]],"DDDD")</f>
        <v>Friday</v>
      </c>
      <c r="J616" t="str" cm="1">
        <f t="array" ref="J616">_xlfn.IFS(Append1[[#This Row],[weekday cnt]]=0,"Weekend",Append1[[#This Row],[weekday cnt]]=6,"Weekend",Append1[[#This Row],[weekday cnt]]&gt;0,"Weekday")</f>
        <v>Weekday</v>
      </c>
      <c r="K616">
        <v>5</v>
      </c>
      <c r="L616" t="str" cm="1">
        <f t="array" ref="L6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16">
        <v>2</v>
      </c>
      <c r="N616">
        <v>0.24</v>
      </c>
      <c r="O616">
        <f t="shared" si="0"/>
        <v>614</v>
      </c>
      <c r="P616">
        <f t="shared" si="1"/>
        <v>615</v>
      </c>
      <c r="Q616">
        <v>0.2273</v>
      </c>
      <c r="R616">
        <v>0.7</v>
      </c>
      <c r="S616">
        <v>0.19400000000000001</v>
      </c>
      <c r="T616">
        <v>1</v>
      </c>
      <c r="U616">
        <v>61</v>
      </c>
      <c r="V616">
        <v>62</v>
      </c>
    </row>
    <row r="617" spans="1:22" x14ac:dyDescent="0.3">
      <c r="A617">
        <v>616</v>
      </c>
      <c r="B617" s="1">
        <v>40571</v>
      </c>
      <c r="C617">
        <v>1</v>
      </c>
      <c r="D617">
        <v>0</v>
      </c>
      <c r="E617" t="str">
        <f>TEXT(Append1[[#This Row],[dteday]],"MMMM")</f>
        <v>January</v>
      </c>
      <c r="F617">
        <v>1</v>
      </c>
      <c r="G617">
        <v>21</v>
      </c>
      <c r="H617" t="b">
        <v>0</v>
      </c>
      <c r="I617" t="str">
        <f>TEXT(Append1[[#This Row],[dteday]],"DDDD")</f>
        <v>Friday</v>
      </c>
      <c r="J617" t="str" cm="1">
        <f t="array" ref="J617">_xlfn.IFS(Append1[[#This Row],[weekday cnt]]=0,"Weekend",Append1[[#This Row],[weekday cnt]]=6,"Weekend",Append1[[#This Row],[weekday cnt]]&gt;0,"Weekday")</f>
        <v>Weekday</v>
      </c>
      <c r="K617">
        <v>5</v>
      </c>
      <c r="L617" t="str" cm="1">
        <f t="array" ref="L6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17">
        <v>2</v>
      </c>
      <c r="N617">
        <v>0.22</v>
      </c>
      <c r="O617">
        <f t="shared" si="0"/>
        <v>615</v>
      </c>
      <c r="P617">
        <f t="shared" si="1"/>
        <v>616</v>
      </c>
      <c r="Q617">
        <v>0.2273</v>
      </c>
      <c r="R617">
        <v>0.75</v>
      </c>
      <c r="S617">
        <v>0.1343</v>
      </c>
      <c r="T617">
        <v>1</v>
      </c>
      <c r="U617">
        <v>57</v>
      </c>
      <c r="V617">
        <v>58</v>
      </c>
    </row>
    <row r="618" spans="1:22" x14ac:dyDescent="0.3">
      <c r="A618">
        <v>617</v>
      </c>
      <c r="B618" s="1">
        <v>40571</v>
      </c>
      <c r="C618">
        <v>1</v>
      </c>
      <c r="D618">
        <v>0</v>
      </c>
      <c r="E618" t="str">
        <f>TEXT(Append1[[#This Row],[dteday]],"MMMM")</f>
        <v>January</v>
      </c>
      <c r="F618">
        <v>1</v>
      </c>
      <c r="G618">
        <v>22</v>
      </c>
      <c r="H618" t="b">
        <v>0</v>
      </c>
      <c r="I618" t="str">
        <f>TEXT(Append1[[#This Row],[dteday]],"DDDD")</f>
        <v>Friday</v>
      </c>
      <c r="J618" t="str" cm="1">
        <f t="array" ref="J618">_xlfn.IFS(Append1[[#This Row],[weekday cnt]]=0,"Weekend",Append1[[#This Row],[weekday cnt]]=6,"Weekend",Append1[[#This Row],[weekday cnt]]&gt;0,"Weekday")</f>
        <v>Weekday</v>
      </c>
      <c r="K618">
        <v>5</v>
      </c>
      <c r="L618" t="str" cm="1">
        <f t="array" ref="L6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18">
        <v>1</v>
      </c>
      <c r="N618">
        <v>0.24</v>
      </c>
      <c r="O618">
        <f t="shared" si="0"/>
        <v>616</v>
      </c>
      <c r="P618">
        <f t="shared" si="1"/>
        <v>617</v>
      </c>
      <c r="Q618">
        <v>0.21210000000000001</v>
      </c>
      <c r="R618">
        <v>0.65</v>
      </c>
      <c r="S618">
        <v>0.35820000000000002</v>
      </c>
      <c r="T618">
        <v>0</v>
      </c>
      <c r="U618">
        <v>26</v>
      </c>
      <c r="V618">
        <v>26</v>
      </c>
    </row>
    <row r="619" spans="1:22" x14ac:dyDescent="0.3">
      <c r="A619">
        <v>618</v>
      </c>
      <c r="B619" s="1">
        <v>40571</v>
      </c>
      <c r="C619">
        <v>1</v>
      </c>
      <c r="D619">
        <v>0</v>
      </c>
      <c r="E619" t="str">
        <f>TEXT(Append1[[#This Row],[dteday]],"MMMM")</f>
        <v>January</v>
      </c>
      <c r="F619">
        <v>1</v>
      </c>
      <c r="G619">
        <v>23</v>
      </c>
      <c r="H619" t="b">
        <v>0</v>
      </c>
      <c r="I619" t="str">
        <f>TEXT(Append1[[#This Row],[dteday]],"DDDD")</f>
        <v>Friday</v>
      </c>
      <c r="J619" t="str" cm="1">
        <f t="array" ref="J619">_xlfn.IFS(Append1[[#This Row],[weekday cnt]]=0,"Weekend",Append1[[#This Row],[weekday cnt]]=6,"Weekend",Append1[[#This Row],[weekday cnt]]&gt;0,"Weekday")</f>
        <v>Weekday</v>
      </c>
      <c r="K619">
        <v>5</v>
      </c>
      <c r="L619" t="str" cm="1">
        <f t="array" ref="L6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19">
        <v>1</v>
      </c>
      <c r="N619">
        <v>0.24</v>
      </c>
      <c r="O619">
        <f t="shared" si="0"/>
        <v>617</v>
      </c>
      <c r="P619">
        <f t="shared" si="1"/>
        <v>618</v>
      </c>
      <c r="Q619">
        <v>0.2273</v>
      </c>
      <c r="R619">
        <v>0.6</v>
      </c>
      <c r="S619">
        <v>0.22389999999999999</v>
      </c>
      <c r="T619">
        <v>1</v>
      </c>
      <c r="U619">
        <v>22</v>
      </c>
      <c r="V619">
        <v>23</v>
      </c>
    </row>
    <row r="620" spans="1:22" x14ac:dyDescent="0.3">
      <c r="A620">
        <v>619</v>
      </c>
      <c r="B620" s="1">
        <v>40572</v>
      </c>
      <c r="C620">
        <v>1</v>
      </c>
      <c r="D620">
        <v>0</v>
      </c>
      <c r="E620" t="str">
        <f>TEXT(Append1[[#This Row],[dteday]],"MMMM")</f>
        <v>January</v>
      </c>
      <c r="F620">
        <v>1</v>
      </c>
      <c r="G620">
        <v>0</v>
      </c>
      <c r="H620" t="b">
        <v>0</v>
      </c>
      <c r="I620" t="str">
        <f>TEXT(Append1[[#This Row],[dteday]],"DDDD")</f>
        <v>Saturday</v>
      </c>
      <c r="J620" t="str" cm="1">
        <f t="array" ref="J620">_xlfn.IFS(Append1[[#This Row],[weekday cnt]]=0,"Weekend",Append1[[#This Row],[weekday cnt]]=6,"Weekend",Append1[[#This Row],[weekday cnt]]&gt;0,"Weekday")</f>
        <v>Weekend</v>
      </c>
      <c r="K620">
        <v>6</v>
      </c>
      <c r="L620" t="str" cm="1">
        <f t="array" ref="L6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0">
        <v>1</v>
      </c>
      <c r="N620">
        <v>0.22</v>
      </c>
      <c r="O620">
        <f t="shared" si="0"/>
        <v>618</v>
      </c>
      <c r="P620">
        <f t="shared" si="1"/>
        <v>619</v>
      </c>
      <c r="Q620">
        <v>0.19700000000000001</v>
      </c>
      <c r="R620">
        <v>0.64</v>
      </c>
      <c r="S620">
        <v>0.35820000000000002</v>
      </c>
      <c r="T620">
        <v>2</v>
      </c>
      <c r="U620">
        <v>26</v>
      </c>
      <c r="V620">
        <v>28</v>
      </c>
    </row>
    <row r="621" spans="1:22" x14ac:dyDescent="0.3">
      <c r="A621">
        <v>620</v>
      </c>
      <c r="B621" s="1">
        <v>40572</v>
      </c>
      <c r="C621">
        <v>1</v>
      </c>
      <c r="D621">
        <v>0</v>
      </c>
      <c r="E621" t="str">
        <f>TEXT(Append1[[#This Row],[dteday]],"MMMM")</f>
        <v>January</v>
      </c>
      <c r="F621">
        <v>1</v>
      </c>
      <c r="G621">
        <v>1</v>
      </c>
      <c r="H621" t="b">
        <v>0</v>
      </c>
      <c r="I621" t="str">
        <f>TEXT(Append1[[#This Row],[dteday]],"DDDD")</f>
        <v>Saturday</v>
      </c>
      <c r="J621" t="str" cm="1">
        <f t="array" ref="J621">_xlfn.IFS(Append1[[#This Row],[weekday cnt]]=0,"Weekend",Append1[[#This Row],[weekday cnt]]=6,"Weekend",Append1[[#This Row],[weekday cnt]]&gt;0,"Weekday")</f>
        <v>Weekend</v>
      </c>
      <c r="K621">
        <v>6</v>
      </c>
      <c r="L621" t="str" cm="1">
        <f t="array" ref="L6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1">
        <v>1</v>
      </c>
      <c r="N621">
        <v>0.22</v>
      </c>
      <c r="O621">
        <f t="shared" si="0"/>
        <v>619</v>
      </c>
      <c r="P621">
        <f t="shared" si="1"/>
        <v>620</v>
      </c>
      <c r="Q621">
        <v>0.2273</v>
      </c>
      <c r="R621">
        <v>0.64</v>
      </c>
      <c r="S621">
        <v>0.19400000000000001</v>
      </c>
      <c r="T621">
        <v>0</v>
      </c>
      <c r="U621">
        <v>20</v>
      </c>
      <c r="V621">
        <v>20</v>
      </c>
    </row>
    <row r="622" spans="1:22" x14ac:dyDescent="0.3">
      <c r="A622">
        <v>621</v>
      </c>
      <c r="B622" s="1">
        <v>40572</v>
      </c>
      <c r="C622">
        <v>1</v>
      </c>
      <c r="D622">
        <v>0</v>
      </c>
      <c r="E622" t="str">
        <f>TEXT(Append1[[#This Row],[dteday]],"MMMM")</f>
        <v>January</v>
      </c>
      <c r="F622">
        <v>1</v>
      </c>
      <c r="G622">
        <v>2</v>
      </c>
      <c r="H622" t="b">
        <v>0</v>
      </c>
      <c r="I622" t="str">
        <f>TEXT(Append1[[#This Row],[dteday]],"DDDD")</f>
        <v>Saturday</v>
      </c>
      <c r="J622" t="str" cm="1">
        <f t="array" ref="J622">_xlfn.IFS(Append1[[#This Row],[weekday cnt]]=0,"Weekend",Append1[[#This Row],[weekday cnt]]=6,"Weekend",Append1[[#This Row],[weekday cnt]]&gt;0,"Weekday")</f>
        <v>Weekend</v>
      </c>
      <c r="K622">
        <v>6</v>
      </c>
      <c r="L622" t="str" cm="1">
        <f t="array" ref="L6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2">
        <v>1</v>
      </c>
      <c r="N622">
        <v>0.22</v>
      </c>
      <c r="O622">
        <f t="shared" si="0"/>
        <v>620</v>
      </c>
      <c r="P622">
        <f t="shared" si="1"/>
        <v>621</v>
      </c>
      <c r="Q622">
        <v>0.2273</v>
      </c>
      <c r="R622">
        <v>0.64</v>
      </c>
      <c r="S622">
        <v>0.16420000000000001</v>
      </c>
      <c r="T622">
        <v>0</v>
      </c>
      <c r="U622">
        <v>15</v>
      </c>
      <c r="V622">
        <v>15</v>
      </c>
    </row>
    <row r="623" spans="1:22" x14ac:dyDescent="0.3">
      <c r="A623">
        <v>622</v>
      </c>
      <c r="B623" s="1">
        <v>40572</v>
      </c>
      <c r="C623">
        <v>1</v>
      </c>
      <c r="D623">
        <v>0</v>
      </c>
      <c r="E623" t="str">
        <f>TEXT(Append1[[#This Row],[dteday]],"MMMM")</f>
        <v>January</v>
      </c>
      <c r="F623">
        <v>1</v>
      </c>
      <c r="G623">
        <v>3</v>
      </c>
      <c r="H623" t="b">
        <v>0</v>
      </c>
      <c r="I623" t="str">
        <f>TEXT(Append1[[#This Row],[dteday]],"DDDD")</f>
        <v>Saturday</v>
      </c>
      <c r="J623" t="str" cm="1">
        <f t="array" ref="J623">_xlfn.IFS(Append1[[#This Row],[weekday cnt]]=0,"Weekend",Append1[[#This Row],[weekday cnt]]=6,"Weekend",Append1[[#This Row],[weekday cnt]]&gt;0,"Weekday")</f>
        <v>Weekend</v>
      </c>
      <c r="K623">
        <v>6</v>
      </c>
      <c r="L623" t="str" cm="1">
        <f t="array" ref="L6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3">
        <v>1</v>
      </c>
      <c r="N623">
        <v>0.2</v>
      </c>
      <c r="O623">
        <f t="shared" si="0"/>
        <v>621</v>
      </c>
      <c r="P623">
        <f t="shared" si="1"/>
        <v>622</v>
      </c>
      <c r="Q623">
        <v>0.21210000000000001</v>
      </c>
      <c r="R623">
        <v>0.64</v>
      </c>
      <c r="S623">
        <v>0.1343</v>
      </c>
      <c r="T623">
        <v>3</v>
      </c>
      <c r="U623">
        <v>5</v>
      </c>
      <c r="V623">
        <v>8</v>
      </c>
    </row>
    <row r="624" spans="1:22" x14ac:dyDescent="0.3">
      <c r="A624">
        <v>623</v>
      </c>
      <c r="B624" s="1">
        <v>40572</v>
      </c>
      <c r="C624">
        <v>1</v>
      </c>
      <c r="D624">
        <v>0</v>
      </c>
      <c r="E624" t="str">
        <f>TEXT(Append1[[#This Row],[dteday]],"MMMM")</f>
        <v>January</v>
      </c>
      <c r="F624">
        <v>1</v>
      </c>
      <c r="G624">
        <v>4</v>
      </c>
      <c r="H624" t="b">
        <v>0</v>
      </c>
      <c r="I624" t="str">
        <f>TEXT(Append1[[#This Row],[dteday]],"DDDD")</f>
        <v>Saturday</v>
      </c>
      <c r="J624" t="str" cm="1">
        <f t="array" ref="J624">_xlfn.IFS(Append1[[#This Row],[weekday cnt]]=0,"Weekend",Append1[[#This Row],[weekday cnt]]=6,"Weekend",Append1[[#This Row],[weekday cnt]]&gt;0,"Weekday")</f>
        <v>Weekend</v>
      </c>
      <c r="K624">
        <v>6</v>
      </c>
      <c r="L624" t="str" cm="1">
        <f t="array" ref="L6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4">
        <v>1</v>
      </c>
      <c r="N624">
        <v>0.16</v>
      </c>
      <c r="O624">
        <f t="shared" si="0"/>
        <v>622</v>
      </c>
      <c r="P624">
        <f t="shared" si="1"/>
        <v>623</v>
      </c>
      <c r="Q624">
        <v>0.18179999999999999</v>
      </c>
      <c r="R624">
        <v>0.69</v>
      </c>
      <c r="S624">
        <v>0.1045</v>
      </c>
      <c r="T624">
        <v>1</v>
      </c>
      <c r="U624">
        <v>2</v>
      </c>
      <c r="V624">
        <v>3</v>
      </c>
    </row>
    <row r="625" spans="1:22" x14ac:dyDescent="0.3">
      <c r="A625">
        <v>624</v>
      </c>
      <c r="B625" s="1">
        <v>40572</v>
      </c>
      <c r="C625">
        <v>1</v>
      </c>
      <c r="D625">
        <v>0</v>
      </c>
      <c r="E625" t="str">
        <f>TEXT(Append1[[#This Row],[dteday]],"MMMM")</f>
        <v>January</v>
      </c>
      <c r="F625">
        <v>1</v>
      </c>
      <c r="G625">
        <v>6</v>
      </c>
      <c r="H625" t="b">
        <v>0</v>
      </c>
      <c r="I625" t="str">
        <f>TEXT(Append1[[#This Row],[dteday]],"DDDD")</f>
        <v>Saturday</v>
      </c>
      <c r="J625" t="str" cm="1">
        <f t="array" ref="J625">_xlfn.IFS(Append1[[#This Row],[weekday cnt]]=0,"Weekend",Append1[[#This Row],[weekday cnt]]=6,"Weekend",Append1[[#This Row],[weekday cnt]]&gt;0,"Weekday")</f>
        <v>Weekend</v>
      </c>
      <c r="K625">
        <v>6</v>
      </c>
      <c r="L625" t="str" cm="1">
        <f t="array" ref="L6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5">
        <v>1</v>
      </c>
      <c r="N625">
        <v>0.16</v>
      </c>
      <c r="O625">
        <f t="shared" si="0"/>
        <v>623</v>
      </c>
      <c r="P625">
        <f t="shared" si="1"/>
        <v>624</v>
      </c>
      <c r="Q625">
        <v>0.18179999999999999</v>
      </c>
      <c r="R625">
        <v>0.64</v>
      </c>
      <c r="S625">
        <v>0.1343</v>
      </c>
      <c r="T625">
        <v>0</v>
      </c>
      <c r="U625">
        <v>2</v>
      </c>
      <c r="V625">
        <v>2</v>
      </c>
    </row>
    <row r="626" spans="1:22" x14ac:dyDescent="0.3">
      <c r="A626">
        <v>625</v>
      </c>
      <c r="B626" s="1">
        <v>40572</v>
      </c>
      <c r="C626">
        <v>1</v>
      </c>
      <c r="D626">
        <v>0</v>
      </c>
      <c r="E626" t="str">
        <f>TEXT(Append1[[#This Row],[dteday]],"MMMM")</f>
        <v>January</v>
      </c>
      <c r="F626">
        <v>1</v>
      </c>
      <c r="G626">
        <v>7</v>
      </c>
      <c r="H626" t="b">
        <v>0</v>
      </c>
      <c r="I626" t="str">
        <f>TEXT(Append1[[#This Row],[dteday]],"DDDD")</f>
        <v>Saturday</v>
      </c>
      <c r="J626" t="str" cm="1">
        <f t="array" ref="J626">_xlfn.IFS(Append1[[#This Row],[weekday cnt]]=0,"Weekend",Append1[[#This Row],[weekday cnt]]=6,"Weekend",Append1[[#This Row],[weekday cnt]]&gt;0,"Weekday")</f>
        <v>Weekend</v>
      </c>
      <c r="K626">
        <v>6</v>
      </c>
      <c r="L626" t="str" cm="1">
        <f t="array" ref="L6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6">
        <v>1</v>
      </c>
      <c r="N626">
        <v>0.16</v>
      </c>
      <c r="O626">
        <f t="shared" si="0"/>
        <v>624</v>
      </c>
      <c r="P626">
        <f t="shared" si="1"/>
        <v>625</v>
      </c>
      <c r="Q626">
        <v>0.18179999999999999</v>
      </c>
      <c r="R626">
        <v>0.59</v>
      </c>
      <c r="S626">
        <v>0.1045</v>
      </c>
      <c r="T626">
        <v>1</v>
      </c>
      <c r="U626">
        <v>4</v>
      </c>
      <c r="V626">
        <v>5</v>
      </c>
    </row>
    <row r="627" spans="1:22" x14ac:dyDescent="0.3">
      <c r="A627">
        <v>626</v>
      </c>
      <c r="B627" s="1">
        <v>40572</v>
      </c>
      <c r="C627">
        <v>1</v>
      </c>
      <c r="D627">
        <v>0</v>
      </c>
      <c r="E627" t="str">
        <f>TEXT(Append1[[#This Row],[dteday]],"MMMM")</f>
        <v>January</v>
      </c>
      <c r="F627">
        <v>1</v>
      </c>
      <c r="G627">
        <v>8</v>
      </c>
      <c r="H627" t="b">
        <v>0</v>
      </c>
      <c r="I627" t="str">
        <f>TEXT(Append1[[#This Row],[dteday]],"DDDD")</f>
        <v>Saturday</v>
      </c>
      <c r="J627" t="str" cm="1">
        <f t="array" ref="J627">_xlfn.IFS(Append1[[#This Row],[weekday cnt]]=0,"Weekend",Append1[[#This Row],[weekday cnt]]=6,"Weekend",Append1[[#This Row],[weekday cnt]]&gt;0,"Weekday")</f>
        <v>Weekend</v>
      </c>
      <c r="K627">
        <v>6</v>
      </c>
      <c r="L627" t="str" cm="1">
        <f t="array" ref="L6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7">
        <v>1</v>
      </c>
      <c r="N627">
        <v>0.18</v>
      </c>
      <c r="O627">
        <f t="shared" si="0"/>
        <v>625</v>
      </c>
      <c r="P627">
        <f t="shared" si="1"/>
        <v>626</v>
      </c>
      <c r="Q627">
        <v>0.19700000000000001</v>
      </c>
      <c r="R627">
        <v>0.55000000000000004</v>
      </c>
      <c r="S627">
        <v>0.16420000000000001</v>
      </c>
      <c r="T627">
        <v>3</v>
      </c>
      <c r="U627">
        <v>31</v>
      </c>
      <c r="V627">
        <v>34</v>
      </c>
    </row>
    <row r="628" spans="1:22" x14ac:dyDescent="0.3">
      <c r="A628">
        <v>627</v>
      </c>
      <c r="B628" s="1">
        <v>40572</v>
      </c>
      <c r="C628">
        <v>1</v>
      </c>
      <c r="D628">
        <v>0</v>
      </c>
      <c r="E628" t="str">
        <f>TEXT(Append1[[#This Row],[dteday]],"MMMM")</f>
        <v>January</v>
      </c>
      <c r="F628">
        <v>1</v>
      </c>
      <c r="G628">
        <v>9</v>
      </c>
      <c r="H628" t="b">
        <v>0</v>
      </c>
      <c r="I628" t="str">
        <f>TEXT(Append1[[#This Row],[dteday]],"DDDD")</f>
        <v>Saturday</v>
      </c>
      <c r="J628" t="str" cm="1">
        <f t="array" ref="J628">_xlfn.IFS(Append1[[#This Row],[weekday cnt]]=0,"Weekend",Append1[[#This Row],[weekday cnt]]=6,"Weekend",Append1[[#This Row],[weekday cnt]]&gt;0,"Weekday")</f>
        <v>Weekend</v>
      </c>
      <c r="K628">
        <v>6</v>
      </c>
      <c r="L628" t="str" cm="1">
        <f t="array" ref="L6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28">
        <v>1</v>
      </c>
      <c r="N628">
        <v>0.18</v>
      </c>
      <c r="O628">
        <f t="shared" si="0"/>
        <v>626</v>
      </c>
      <c r="P628">
        <f t="shared" si="1"/>
        <v>627</v>
      </c>
      <c r="Q628">
        <v>0.21210000000000001</v>
      </c>
      <c r="R628">
        <v>0.59</v>
      </c>
      <c r="S628">
        <v>8.9599999999999999E-2</v>
      </c>
      <c r="T628">
        <v>0</v>
      </c>
      <c r="U628">
        <v>34</v>
      </c>
      <c r="V628">
        <v>34</v>
      </c>
    </row>
    <row r="629" spans="1:22" x14ac:dyDescent="0.3">
      <c r="A629">
        <v>628</v>
      </c>
      <c r="B629" s="1">
        <v>40572</v>
      </c>
      <c r="C629">
        <v>1</v>
      </c>
      <c r="D629">
        <v>0</v>
      </c>
      <c r="E629" t="str">
        <f>TEXT(Append1[[#This Row],[dteday]],"MMMM")</f>
        <v>January</v>
      </c>
      <c r="F629">
        <v>1</v>
      </c>
      <c r="G629">
        <v>10</v>
      </c>
      <c r="H629" t="b">
        <v>0</v>
      </c>
      <c r="I629" t="str">
        <f>TEXT(Append1[[#This Row],[dteday]],"DDDD")</f>
        <v>Saturday</v>
      </c>
      <c r="J629" t="str" cm="1">
        <f t="array" ref="J629">_xlfn.IFS(Append1[[#This Row],[weekday cnt]]=0,"Weekend",Append1[[#This Row],[weekday cnt]]=6,"Weekend",Append1[[#This Row],[weekday cnt]]&gt;0,"Weekday")</f>
        <v>Weekend</v>
      </c>
      <c r="K629">
        <v>6</v>
      </c>
      <c r="L629" t="str" cm="1">
        <f t="array" ref="L6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29">
        <v>2</v>
      </c>
      <c r="N629">
        <v>0.18</v>
      </c>
      <c r="O629">
        <f t="shared" si="0"/>
        <v>627</v>
      </c>
      <c r="P629">
        <f t="shared" si="1"/>
        <v>628</v>
      </c>
      <c r="Q629">
        <v>0.21210000000000001</v>
      </c>
      <c r="R629">
        <v>0.64</v>
      </c>
      <c r="S629">
        <v>0.1045</v>
      </c>
      <c r="T629">
        <v>4</v>
      </c>
      <c r="U629">
        <v>51</v>
      </c>
      <c r="V629">
        <v>55</v>
      </c>
    </row>
    <row r="630" spans="1:22" x14ac:dyDescent="0.3">
      <c r="A630">
        <v>629</v>
      </c>
      <c r="B630" s="1">
        <v>40572</v>
      </c>
      <c r="C630">
        <v>1</v>
      </c>
      <c r="D630">
        <v>0</v>
      </c>
      <c r="E630" t="str">
        <f>TEXT(Append1[[#This Row],[dteday]],"MMMM")</f>
        <v>January</v>
      </c>
      <c r="F630">
        <v>1</v>
      </c>
      <c r="G630">
        <v>11</v>
      </c>
      <c r="H630" t="b">
        <v>0</v>
      </c>
      <c r="I630" t="str">
        <f>TEXT(Append1[[#This Row],[dteday]],"DDDD")</f>
        <v>Saturday</v>
      </c>
      <c r="J630" t="str" cm="1">
        <f t="array" ref="J630">_xlfn.IFS(Append1[[#This Row],[weekday cnt]]=0,"Weekend",Append1[[#This Row],[weekday cnt]]=6,"Weekend",Append1[[#This Row],[weekday cnt]]&gt;0,"Weekday")</f>
        <v>Weekend</v>
      </c>
      <c r="K630">
        <v>6</v>
      </c>
      <c r="L630" t="str" cm="1">
        <f t="array" ref="L6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30">
        <v>2</v>
      </c>
      <c r="N630">
        <v>0.18</v>
      </c>
      <c r="O630">
        <f t="shared" si="0"/>
        <v>628</v>
      </c>
      <c r="P630">
        <f t="shared" si="1"/>
        <v>629</v>
      </c>
      <c r="Q630">
        <v>0.19700000000000001</v>
      </c>
      <c r="R630">
        <v>0.64</v>
      </c>
      <c r="S630">
        <v>0.1343</v>
      </c>
      <c r="T630">
        <v>4</v>
      </c>
      <c r="U630">
        <v>60</v>
      </c>
      <c r="V630">
        <v>64</v>
      </c>
    </row>
    <row r="631" spans="1:22" x14ac:dyDescent="0.3">
      <c r="A631">
        <v>630</v>
      </c>
      <c r="B631" s="1">
        <v>40572</v>
      </c>
      <c r="C631">
        <v>1</v>
      </c>
      <c r="D631">
        <v>0</v>
      </c>
      <c r="E631" t="str">
        <f>TEXT(Append1[[#This Row],[dteday]],"MMMM")</f>
        <v>January</v>
      </c>
      <c r="F631">
        <v>1</v>
      </c>
      <c r="G631">
        <v>12</v>
      </c>
      <c r="H631" t="b">
        <v>0</v>
      </c>
      <c r="I631" t="str">
        <f>TEXT(Append1[[#This Row],[dteday]],"DDDD")</f>
        <v>Saturday</v>
      </c>
      <c r="J631" t="str" cm="1">
        <f t="array" ref="J631">_xlfn.IFS(Append1[[#This Row],[weekday cnt]]=0,"Weekend",Append1[[#This Row],[weekday cnt]]=6,"Weekend",Append1[[#This Row],[weekday cnt]]&gt;0,"Weekday")</f>
        <v>Weekend</v>
      </c>
      <c r="K631">
        <v>6</v>
      </c>
      <c r="L631" t="str" cm="1">
        <f t="array" ref="L6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31">
        <v>2</v>
      </c>
      <c r="N631">
        <v>0.2</v>
      </c>
      <c r="O631">
        <f t="shared" si="0"/>
        <v>629</v>
      </c>
      <c r="P631">
        <f t="shared" si="1"/>
        <v>630</v>
      </c>
      <c r="Q631">
        <v>0.19700000000000001</v>
      </c>
      <c r="R631">
        <v>0.59</v>
      </c>
      <c r="S631">
        <v>0.19400000000000001</v>
      </c>
      <c r="T631">
        <v>12</v>
      </c>
      <c r="U631">
        <v>66</v>
      </c>
      <c r="V631">
        <v>78</v>
      </c>
    </row>
    <row r="632" spans="1:22" x14ac:dyDescent="0.3">
      <c r="A632">
        <v>631</v>
      </c>
      <c r="B632" s="1">
        <v>40572</v>
      </c>
      <c r="C632">
        <v>1</v>
      </c>
      <c r="D632">
        <v>0</v>
      </c>
      <c r="E632" t="str">
        <f>TEXT(Append1[[#This Row],[dteday]],"MMMM")</f>
        <v>January</v>
      </c>
      <c r="F632">
        <v>1</v>
      </c>
      <c r="G632">
        <v>13</v>
      </c>
      <c r="H632" t="b">
        <v>0</v>
      </c>
      <c r="I632" t="str">
        <f>TEXT(Append1[[#This Row],[dteday]],"DDDD")</f>
        <v>Saturday</v>
      </c>
      <c r="J632" t="str" cm="1">
        <f t="array" ref="J632">_xlfn.IFS(Append1[[#This Row],[weekday cnt]]=0,"Weekend",Append1[[#This Row],[weekday cnt]]=6,"Weekend",Append1[[#This Row],[weekday cnt]]&gt;0,"Weekday")</f>
        <v>Weekend</v>
      </c>
      <c r="K632">
        <v>6</v>
      </c>
      <c r="L632" t="str" cm="1">
        <f t="array" ref="L6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32">
        <v>2</v>
      </c>
      <c r="N632">
        <v>0.22</v>
      </c>
      <c r="O632">
        <f t="shared" si="0"/>
        <v>630</v>
      </c>
      <c r="P632">
        <f t="shared" si="1"/>
        <v>631</v>
      </c>
      <c r="Q632">
        <v>0.2273</v>
      </c>
      <c r="R632">
        <v>0.55000000000000004</v>
      </c>
      <c r="S632">
        <v>0.16420000000000001</v>
      </c>
      <c r="T632">
        <v>9</v>
      </c>
      <c r="U632">
        <v>56</v>
      </c>
      <c r="V632">
        <v>65</v>
      </c>
    </row>
    <row r="633" spans="1:22" x14ac:dyDescent="0.3">
      <c r="A633">
        <v>632</v>
      </c>
      <c r="B633" s="1">
        <v>40572</v>
      </c>
      <c r="C633">
        <v>1</v>
      </c>
      <c r="D633">
        <v>0</v>
      </c>
      <c r="E633" t="str">
        <f>TEXT(Append1[[#This Row],[dteday]],"MMMM")</f>
        <v>January</v>
      </c>
      <c r="F633">
        <v>1</v>
      </c>
      <c r="G633">
        <v>14</v>
      </c>
      <c r="H633" t="b">
        <v>0</v>
      </c>
      <c r="I633" t="str">
        <f>TEXT(Append1[[#This Row],[dteday]],"DDDD")</f>
        <v>Saturday</v>
      </c>
      <c r="J633" t="str" cm="1">
        <f t="array" ref="J633">_xlfn.IFS(Append1[[#This Row],[weekday cnt]]=0,"Weekend",Append1[[#This Row],[weekday cnt]]=6,"Weekend",Append1[[#This Row],[weekday cnt]]&gt;0,"Weekday")</f>
        <v>Weekend</v>
      </c>
      <c r="K633">
        <v>6</v>
      </c>
      <c r="L633" t="str" cm="1">
        <f t="array" ref="L6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33">
        <v>2</v>
      </c>
      <c r="N633">
        <v>0.22</v>
      </c>
      <c r="O633">
        <f t="shared" si="0"/>
        <v>631</v>
      </c>
      <c r="P633">
        <f t="shared" si="1"/>
        <v>632</v>
      </c>
      <c r="Q633">
        <v>0.2273</v>
      </c>
      <c r="R633">
        <v>0.6</v>
      </c>
      <c r="S633">
        <v>0.1343</v>
      </c>
      <c r="T633">
        <v>10</v>
      </c>
      <c r="U633">
        <v>89</v>
      </c>
      <c r="V633">
        <v>99</v>
      </c>
    </row>
    <row r="634" spans="1:22" x14ac:dyDescent="0.3">
      <c r="A634">
        <v>633</v>
      </c>
      <c r="B634" s="1">
        <v>40572</v>
      </c>
      <c r="C634">
        <v>1</v>
      </c>
      <c r="D634">
        <v>0</v>
      </c>
      <c r="E634" t="str">
        <f>TEXT(Append1[[#This Row],[dteday]],"MMMM")</f>
        <v>January</v>
      </c>
      <c r="F634">
        <v>1</v>
      </c>
      <c r="G634">
        <v>15</v>
      </c>
      <c r="H634" t="b">
        <v>0</v>
      </c>
      <c r="I634" t="str">
        <f>TEXT(Append1[[#This Row],[dteday]],"DDDD")</f>
        <v>Saturday</v>
      </c>
      <c r="J634" t="str" cm="1">
        <f t="array" ref="J634">_xlfn.IFS(Append1[[#This Row],[weekday cnt]]=0,"Weekend",Append1[[#This Row],[weekday cnt]]=6,"Weekend",Append1[[#This Row],[weekday cnt]]&gt;0,"Weekday")</f>
        <v>Weekend</v>
      </c>
      <c r="K634">
        <v>6</v>
      </c>
      <c r="L634" t="str" cm="1">
        <f t="array" ref="L6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34">
        <v>1</v>
      </c>
      <c r="N634">
        <v>0.22</v>
      </c>
      <c r="O634">
        <f t="shared" si="0"/>
        <v>632</v>
      </c>
      <c r="P634">
        <f t="shared" si="1"/>
        <v>633</v>
      </c>
      <c r="Q634">
        <v>0.21210000000000001</v>
      </c>
      <c r="R634">
        <v>0.69</v>
      </c>
      <c r="S634">
        <v>0.25369999999999998</v>
      </c>
      <c r="T634">
        <v>22</v>
      </c>
      <c r="U634">
        <v>98</v>
      </c>
      <c r="V634">
        <v>120</v>
      </c>
    </row>
    <row r="635" spans="1:22" x14ac:dyDescent="0.3">
      <c r="A635">
        <v>634</v>
      </c>
      <c r="B635" s="1">
        <v>40572</v>
      </c>
      <c r="C635">
        <v>1</v>
      </c>
      <c r="D635">
        <v>0</v>
      </c>
      <c r="E635" t="str">
        <f>TEXT(Append1[[#This Row],[dteday]],"MMMM")</f>
        <v>January</v>
      </c>
      <c r="F635">
        <v>1</v>
      </c>
      <c r="G635">
        <v>16</v>
      </c>
      <c r="H635" t="b">
        <v>0</v>
      </c>
      <c r="I635" t="str">
        <f>TEXT(Append1[[#This Row],[dteday]],"DDDD")</f>
        <v>Saturday</v>
      </c>
      <c r="J635" t="str" cm="1">
        <f t="array" ref="J635">_xlfn.IFS(Append1[[#This Row],[weekday cnt]]=0,"Weekend",Append1[[#This Row],[weekday cnt]]=6,"Weekend",Append1[[#This Row],[weekday cnt]]&gt;0,"Weekday")</f>
        <v>Weekend</v>
      </c>
      <c r="K635">
        <v>6</v>
      </c>
      <c r="L635" t="str" cm="1">
        <f t="array" ref="L6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35">
        <v>1</v>
      </c>
      <c r="N635">
        <v>0.24</v>
      </c>
      <c r="O635">
        <f t="shared" si="0"/>
        <v>633</v>
      </c>
      <c r="P635">
        <f t="shared" si="1"/>
        <v>634</v>
      </c>
      <c r="Q635">
        <v>0.2424</v>
      </c>
      <c r="R635">
        <v>0.6</v>
      </c>
      <c r="S635">
        <v>0.16420000000000001</v>
      </c>
      <c r="T635">
        <v>19</v>
      </c>
      <c r="U635">
        <v>88</v>
      </c>
      <c r="V635">
        <v>107</v>
      </c>
    </row>
    <row r="636" spans="1:22" x14ac:dyDescent="0.3">
      <c r="A636">
        <v>635</v>
      </c>
      <c r="B636" s="1">
        <v>40572</v>
      </c>
      <c r="C636">
        <v>1</v>
      </c>
      <c r="D636">
        <v>0</v>
      </c>
      <c r="E636" t="str">
        <f>TEXT(Append1[[#This Row],[dteday]],"MMMM")</f>
        <v>January</v>
      </c>
      <c r="F636">
        <v>1</v>
      </c>
      <c r="G636">
        <v>17</v>
      </c>
      <c r="H636" t="b">
        <v>0</v>
      </c>
      <c r="I636" t="str">
        <f>TEXT(Append1[[#This Row],[dteday]],"DDDD")</f>
        <v>Saturday</v>
      </c>
      <c r="J636" t="str" cm="1">
        <f t="array" ref="J636">_xlfn.IFS(Append1[[#This Row],[weekday cnt]]=0,"Weekend",Append1[[#This Row],[weekday cnt]]=6,"Weekend",Append1[[#This Row],[weekday cnt]]&gt;0,"Weekday")</f>
        <v>Weekend</v>
      </c>
      <c r="K636">
        <v>6</v>
      </c>
      <c r="L636" t="str" cm="1">
        <f t="array" ref="L6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36">
        <v>1</v>
      </c>
      <c r="N636">
        <v>0.24</v>
      </c>
      <c r="O636">
        <f t="shared" si="0"/>
        <v>634</v>
      </c>
      <c r="P636">
        <f t="shared" si="1"/>
        <v>635</v>
      </c>
      <c r="Q636">
        <v>0.28789999999999999</v>
      </c>
      <c r="R636">
        <v>0.6</v>
      </c>
      <c r="S636">
        <v>0</v>
      </c>
      <c r="T636">
        <v>9</v>
      </c>
      <c r="U636">
        <v>82</v>
      </c>
      <c r="V636">
        <v>91</v>
      </c>
    </row>
    <row r="637" spans="1:22" x14ac:dyDescent="0.3">
      <c r="A637">
        <v>636</v>
      </c>
      <c r="B637" s="1">
        <v>40572</v>
      </c>
      <c r="C637">
        <v>1</v>
      </c>
      <c r="D637">
        <v>0</v>
      </c>
      <c r="E637" t="str">
        <f>TEXT(Append1[[#This Row],[dteday]],"MMMM")</f>
        <v>January</v>
      </c>
      <c r="F637">
        <v>1</v>
      </c>
      <c r="G637">
        <v>18</v>
      </c>
      <c r="H637" t="b">
        <v>0</v>
      </c>
      <c r="I637" t="str">
        <f>TEXT(Append1[[#This Row],[dteday]],"DDDD")</f>
        <v>Saturday</v>
      </c>
      <c r="J637" t="str" cm="1">
        <f t="array" ref="J637">_xlfn.IFS(Append1[[#This Row],[weekday cnt]]=0,"Weekend",Append1[[#This Row],[weekday cnt]]=6,"Weekend",Append1[[#This Row],[weekday cnt]]&gt;0,"Weekday")</f>
        <v>Weekend</v>
      </c>
      <c r="K637">
        <v>6</v>
      </c>
      <c r="L637" t="str" cm="1">
        <f t="array" ref="L6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37">
        <v>1</v>
      </c>
      <c r="N637">
        <v>0.22</v>
      </c>
      <c r="O637">
        <f t="shared" si="0"/>
        <v>635</v>
      </c>
      <c r="P637">
        <f t="shared" si="1"/>
        <v>636</v>
      </c>
      <c r="Q637">
        <v>0.2273</v>
      </c>
      <c r="R637">
        <v>0.69</v>
      </c>
      <c r="S637">
        <v>0.1343</v>
      </c>
      <c r="T637">
        <v>9</v>
      </c>
      <c r="U637">
        <v>59</v>
      </c>
      <c r="V637">
        <v>68</v>
      </c>
    </row>
    <row r="638" spans="1:22" x14ac:dyDescent="0.3">
      <c r="A638">
        <v>637</v>
      </c>
      <c r="B638" s="1">
        <v>40572</v>
      </c>
      <c r="C638">
        <v>1</v>
      </c>
      <c r="D638">
        <v>0</v>
      </c>
      <c r="E638" t="str">
        <f>TEXT(Append1[[#This Row],[dteday]],"MMMM")</f>
        <v>January</v>
      </c>
      <c r="F638">
        <v>1</v>
      </c>
      <c r="G638">
        <v>19</v>
      </c>
      <c r="H638" t="b">
        <v>0</v>
      </c>
      <c r="I638" t="str">
        <f>TEXT(Append1[[#This Row],[dteday]],"DDDD")</f>
        <v>Saturday</v>
      </c>
      <c r="J638" t="str" cm="1">
        <f t="array" ref="J638">_xlfn.IFS(Append1[[#This Row],[weekday cnt]]=0,"Weekend",Append1[[#This Row],[weekday cnt]]=6,"Weekend",Append1[[#This Row],[weekday cnt]]&gt;0,"Weekday")</f>
        <v>Weekend</v>
      </c>
      <c r="K638">
        <v>6</v>
      </c>
      <c r="L638" t="str" cm="1">
        <f t="array" ref="L6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38">
        <v>2</v>
      </c>
      <c r="N638">
        <v>0.22</v>
      </c>
      <c r="O638">
        <f t="shared" si="0"/>
        <v>636</v>
      </c>
      <c r="P638">
        <f t="shared" si="1"/>
        <v>637</v>
      </c>
      <c r="Q638">
        <v>0.21210000000000001</v>
      </c>
      <c r="R638">
        <v>0.69</v>
      </c>
      <c r="S638">
        <v>0.25369999999999998</v>
      </c>
      <c r="T638">
        <v>6</v>
      </c>
      <c r="U638">
        <v>52</v>
      </c>
      <c r="V638">
        <v>58</v>
      </c>
    </row>
    <row r="639" spans="1:22" x14ac:dyDescent="0.3">
      <c r="A639">
        <v>638</v>
      </c>
      <c r="B639" s="1">
        <v>40572</v>
      </c>
      <c r="C639">
        <v>1</v>
      </c>
      <c r="D639">
        <v>0</v>
      </c>
      <c r="E639" t="str">
        <f>TEXT(Append1[[#This Row],[dteday]],"MMMM")</f>
        <v>January</v>
      </c>
      <c r="F639">
        <v>1</v>
      </c>
      <c r="G639">
        <v>20</v>
      </c>
      <c r="H639" t="b">
        <v>0</v>
      </c>
      <c r="I639" t="str">
        <f>TEXT(Append1[[#This Row],[dteday]],"DDDD")</f>
        <v>Saturday</v>
      </c>
      <c r="J639" t="str" cm="1">
        <f t="array" ref="J639">_xlfn.IFS(Append1[[#This Row],[weekday cnt]]=0,"Weekend",Append1[[#This Row],[weekday cnt]]=6,"Weekend",Append1[[#This Row],[weekday cnt]]&gt;0,"Weekday")</f>
        <v>Weekend</v>
      </c>
      <c r="K639">
        <v>6</v>
      </c>
      <c r="L639" t="str" cm="1">
        <f t="array" ref="L6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39">
        <v>1</v>
      </c>
      <c r="N639">
        <v>0.18</v>
      </c>
      <c r="O639">
        <f t="shared" si="0"/>
        <v>637</v>
      </c>
      <c r="P639">
        <f t="shared" si="1"/>
        <v>638</v>
      </c>
      <c r="Q639">
        <v>0.21210000000000001</v>
      </c>
      <c r="R639">
        <v>0.74</v>
      </c>
      <c r="S639">
        <v>8.9599999999999999E-2</v>
      </c>
      <c r="T639">
        <v>1</v>
      </c>
      <c r="U639">
        <v>42</v>
      </c>
      <c r="V639">
        <v>43</v>
      </c>
    </row>
    <row r="640" spans="1:22" x14ac:dyDescent="0.3">
      <c r="A640">
        <v>639</v>
      </c>
      <c r="B640" s="1">
        <v>40572</v>
      </c>
      <c r="C640">
        <v>1</v>
      </c>
      <c r="D640">
        <v>0</v>
      </c>
      <c r="E640" t="str">
        <f>TEXT(Append1[[#This Row],[dteday]],"MMMM")</f>
        <v>January</v>
      </c>
      <c r="F640">
        <v>1</v>
      </c>
      <c r="G640">
        <v>21</v>
      </c>
      <c r="H640" t="b">
        <v>0</v>
      </c>
      <c r="I640" t="str">
        <f>TEXT(Append1[[#This Row],[dteday]],"DDDD")</f>
        <v>Saturday</v>
      </c>
      <c r="J640" t="str" cm="1">
        <f t="array" ref="J640">_xlfn.IFS(Append1[[#This Row],[weekday cnt]]=0,"Weekend",Append1[[#This Row],[weekday cnt]]=6,"Weekend",Append1[[#This Row],[weekday cnt]]&gt;0,"Weekday")</f>
        <v>Weekend</v>
      </c>
      <c r="K640">
        <v>6</v>
      </c>
      <c r="L640" t="str" cm="1">
        <f t="array" ref="L6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0">
        <v>1</v>
      </c>
      <c r="N640">
        <v>0.18</v>
      </c>
      <c r="O640">
        <f t="shared" si="0"/>
        <v>638</v>
      </c>
      <c r="P640">
        <f t="shared" si="1"/>
        <v>639</v>
      </c>
      <c r="Q640">
        <v>0.21210000000000001</v>
      </c>
      <c r="R640">
        <v>0.74</v>
      </c>
      <c r="S640">
        <v>8.9599999999999999E-2</v>
      </c>
      <c r="T640">
        <v>1</v>
      </c>
      <c r="U640">
        <v>35</v>
      </c>
      <c r="V640">
        <v>36</v>
      </c>
    </row>
    <row r="641" spans="1:22" x14ac:dyDescent="0.3">
      <c r="A641">
        <v>640</v>
      </c>
      <c r="B641" s="1">
        <v>40572</v>
      </c>
      <c r="C641">
        <v>1</v>
      </c>
      <c r="D641">
        <v>0</v>
      </c>
      <c r="E641" t="str">
        <f>TEXT(Append1[[#This Row],[dteday]],"MMMM")</f>
        <v>January</v>
      </c>
      <c r="F641">
        <v>1</v>
      </c>
      <c r="G641">
        <v>22</v>
      </c>
      <c r="H641" t="b">
        <v>0</v>
      </c>
      <c r="I641" t="str">
        <f>TEXT(Append1[[#This Row],[dteday]],"DDDD")</f>
        <v>Saturday</v>
      </c>
      <c r="J641" t="str" cm="1">
        <f t="array" ref="J641">_xlfn.IFS(Append1[[#This Row],[weekday cnt]]=0,"Weekend",Append1[[#This Row],[weekday cnt]]=6,"Weekend",Append1[[#This Row],[weekday cnt]]&gt;0,"Weekday")</f>
        <v>Weekend</v>
      </c>
      <c r="K641">
        <v>6</v>
      </c>
      <c r="L641" t="str" cm="1">
        <f t="array" ref="L6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1">
        <v>1</v>
      </c>
      <c r="N641">
        <v>0.16</v>
      </c>
      <c r="O641">
        <f t="shared" si="0"/>
        <v>639</v>
      </c>
      <c r="P641">
        <f t="shared" si="1"/>
        <v>640</v>
      </c>
      <c r="Q641">
        <v>0.19700000000000001</v>
      </c>
      <c r="R641">
        <v>0.8</v>
      </c>
      <c r="S641">
        <v>8.9599999999999999E-2</v>
      </c>
      <c r="T641">
        <v>4</v>
      </c>
      <c r="U641">
        <v>28</v>
      </c>
      <c r="V641">
        <v>32</v>
      </c>
    </row>
    <row r="642" spans="1:22" x14ac:dyDescent="0.3">
      <c r="A642">
        <v>641</v>
      </c>
      <c r="B642" s="1">
        <v>40572</v>
      </c>
      <c r="C642">
        <v>1</v>
      </c>
      <c r="D642">
        <v>0</v>
      </c>
      <c r="E642" t="str">
        <f>TEXT(Append1[[#This Row],[dteday]],"MMMM")</f>
        <v>January</v>
      </c>
      <c r="F642">
        <v>1</v>
      </c>
      <c r="G642">
        <v>23</v>
      </c>
      <c r="H642" t="b">
        <v>0</v>
      </c>
      <c r="I642" t="str">
        <f>TEXT(Append1[[#This Row],[dteday]],"DDDD")</f>
        <v>Saturday</v>
      </c>
      <c r="J642" t="str" cm="1">
        <f t="array" ref="J642">_xlfn.IFS(Append1[[#This Row],[weekday cnt]]=0,"Weekend",Append1[[#This Row],[weekday cnt]]=6,"Weekend",Append1[[#This Row],[weekday cnt]]&gt;0,"Weekday")</f>
        <v>Weekend</v>
      </c>
      <c r="K642">
        <v>6</v>
      </c>
      <c r="L642" t="str" cm="1">
        <f t="array" ref="L6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2">
        <v>1</v>
      </c>
      <c r="N642">
        <v>0.16</v>
      </c>
      <c r="O642">
        <f t="shared" si="0"/>
        <v>640</v>
      </c>
      <c r="P642">
        <f t="shared" si="1"/>
        <v>641</v>
      </c>
      <c r="Q642">
        <v>0.19700000000000001</v>
      </c>
      <c r="R642">
        <v>0.8</v>
      </c>
      <c r="S642">
        <v>8.9599999999999999E-2</v>
      </c>
      <c r="T642">
        <v>3</v>
      </c>
      <c r="U642">
        <v>30</v>
      </c>
      <c r="V642">
        <v>33</v>
      </c>
    </row>
    <row r="643" spans="1:22" x14ac:dyDescent="0.3">
      <c r="A643">
        <v>642</v>
      </c>
      <c r="B643" s="1">
        <v>40573</v>
      </c>
      <c r="C643">
        <v>1</v>
      </c>
      <c r="D643">
        <v>0</v>
      </c>
      <c r="E643" t="str">
        <f>TEXT(Append1[[#This Row],[dteday]],"MMMM")</f>
        <v>January</v>
      </c>
      <c r="F643">
        <v>1</v>
      </c>
      <c r="G643">
        <v>0</v>
      </c>
      <c r="H643" t="b">
        <v>0</v>
      </c>
      <c r="I643" t="str">
        <f>TEXT(Append1[[#This Row],[dteday]],"DDDD")</f>
        <v>Sunday</v>
      </c>
      <c r="J643" t="str" cm="1">
        <f t="array" ref="J643">_xlfn.IFS(Append1[[#This Row],[weekday cnt]]=0,"Weekend",Append1[[#This Row],[weekday cnt]]=6,"Weekend",Append1[[#This Row],[weekday cnt]]&gt;0,"Weekday")</f>
        <v>Weekend</v>
      </c>
      <c r="K643">
        <v>0</v>
      </c>
      <c r="L643" t="str" cm="1">
        <f t="array" ref="L6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3">
        <v>1</v>
      </c>
      <c r="N643">
        <v>0.16</v>
      </c>
      <c r="O643">
        <f t="shared" si="0"/>
        <v>641</v>
      </c>
      <c r="P643">
        <f t="shared" si="1"/>
        <v>642</v>
      </c>
      <c r="Q643">
        <v>0.18179999999999999</v>
      </c>
      <c r="R643">
        <v>0.8</v>
      </c>
      <c r="S643">
        <v>0.1045</v>
      </c>
      <c r="T643">
        <v>0</v>
      </c>
      <c r="U643">
        <v>33</v>
      </c>
      <c r="V643">
        <v>33</v>
      </c>
    </row>
    <row r="644" spans="1:22" x14ac:dyDescent="0.3">
      <c r="A644">
        <v>643</v>
      </c>
      <c r="B644" s="1">
        <v>40573</v>
      </c>
      <c r="C644">
        <v>1</v>
      </c>
      <c r="D644">
        <v>0</v>
      </c>
      <c r="E644" t="str">
        <f>TEXT(Append1[[#This Row],[dteday]],"MMMM")</f>
        <v>January</v>
      </c>
      <c r="F644">
        <v>1</v>
      </c>
      <c r="G644">
        <v>1</v>
      </c>
      <c r="H644" t="b">
        <v>0</v>
      </c>
      <c r="I644" t="str">
        <f>TEXT(Append1[[#This Row],[dteday]],"DDDD")</f>
        <v>Sunday</v>
      </c>
      <c r="J644" t="str" cm="1">
        <f t="array" ref="J644">_xlfn.IFS(Append1[[#This Row],[weekday cnt]]=0,"Weekend",Append1[[#This Row],[weekday cnt]]=6,"Weekend",Append1[[#This Row],[weekday cnt]]&gt;0,"Weekday")</f>
        <v>Weekend</v>
      </c>
      <c r="K644">
        <v>0</v>
      </c>
      <c r="L644" t="str" cm="1">
        <f t="array" ref="L6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4">
        <v>1</v>
      </c>
      <c r="N644">
        <v>0.14000000000000001</v>
      </c>
      <c r="O644">
        <f t="shared" si="0"/>
        <v>642</v>
      </c>
      <c r="P644">
        <f t="shared" si="1"/>
        <v>643</v>
      </c>
      <c r="Q644">
        <v>0.21210000000000001</v>
      </c>
      <c r="R644">
        <v>0.8</v>
      </c>
      <c r="S644">
        <v>0</v>
      </c>
      <c r="T644">
        <v>7</v>
      </c>
      <c r="U644">
        <v>22</v>
      </c>
      <c r="V644">
        <v>29</v>
      </c>
    </row>
    <row r="645" spans="1:22" x14ac:dyDescent="0.3">
      <c r="A645">
        <v>644</v>
      </c>
      <c r="B645" s="1">
        <v>40573</v>
      </c>
      <c r="C645">
        <v>1</v>
      </c>
      <c r="D645">
        <v>0</v>
      </c>
      <c r="E645" t="str">
        <f>TEXT(Append1[[#This Row],[dteday]],"MMMM")</f>
        <v>January</v>
      </c>
      <c r="F645">
        <v>1</v>
      </c>
      <c r="G645">
        <v>2</v>
      </c>
      <c r="H645" t="b">
        <v>0</v>
      </c>
      <c r="I645" t="str">
        <f>TEXT(Append1[[#This Row],[dteday]],"DDDD")</f>
        <v>Sunday</v>
      </c>
      <c r="J645" t="str" cm="1">
        <f t="array" ref="J645">_xlfn.IFS(Append1[[#This Row],[weekday cnt]]=0,"Weekend",Append1[[#This Row],[weekday cnt]]=6,"Weekend",Append1[[#This Row],[weekday cnt]]&gt;0,"Weekday")</f>
        <v>Weekend</v>
      </c>
      <c r="K645">
        <v>0</v>
      </c>
      <c r="L645" t="str" cm="1">
        <f t="array" ref="L6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5">
        <v>1</v>
      </c>
      <c r="N645">
        <v>0.16</v>
      </c>
      <c r="O645">
        <f t="shared" si="0"/>
        <v>643</v>
      </c>
      <c r="P645">
        <f t="shared" si="1"/>
        <v>644</v>
      </c>
      <c r="Q645">
        <v>0.2273</v>
      </c>
      <c r="R645">
        <v>0.8</v>
      </c>
      <c r="S645">
        <v>0</v>
      </c>
      <c r="T645">
        <v>1</v>
      </c>
      <c r="U645">
        <v>10</v>
      </c>
      <c r="V645">
        <v>11</v>
      </c>
    </row>
    <row r="646" spans="1:22" x14ac:dyDescent="0.3">
      <c r="A646">
        <v>645</v>
      </c>
      <c r="B646" s="1">
        <v>40573</v>
      </c>
      <c r="C646">
        <v>1</v>
      </c>
      <c r="D646">
        <v>0</v>
      </c>
      <c r="E646" t="str">
        <f>TEXT(Append1[[#This Row],[dteday]],"MMMM")</f>
        <v>January</v>
      </c>
      <c r="F646">
        <v>1</v>
      </c>
      <c r="G646">
        <v>3</v>
      </c>
      <c r="H646" t="b">
        <v>0</v>
      </c>
      <c r="I646" t="str">
        <f>TEXT(Append1[[#This Row],[dteday]],"DDDD")</f>
        <v>Sunday</v>
      </c>
      <c r="J646" t="str" cm="1">
        <f t="array" ref="J646">_xlfn.IFS(Append1[[#This Row],[weekday cnt]]=0,"Weekend",Append1[[#This Row],[weekday cnt]]=6,"Weekend",Append1[[#This Row],[weekday cnt]]&gt;0,"Weekday")</f>
        <v>Weekend</v>
      </c>
      <c r="K646">
        <v>0</v>
      </c>
      <c r="L646" t="str" cm="1">
        <f t="array" ref="L6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6">
        <v>1</v>
      </c>
      <c r="N646">
        <v>0.14000000000000001</v>
      </c>
      <c r="O646">
        <f t="shared" si="0"/>
        <v>644</v>
      </c>
      <c r="P646">
        <f t="shared" si="1"/>
        <v>645</v>
      </c>
      <c r="Q646">
        <v>0.21210000000000001</v>
      </c>
      <c r="R646">
        <v>0.93</v>
      </c>
      <c r="S646">
        <v>0</v>
      </c>
      <c r="T646">
        <v>1</v>
      </c>
      <c r="U646">
        <v>7</v>
      </c>
      <c r="V646">
        <v>8</v>
      </c>
    </row>
    <row r="647" spans="1:22" x14ac:dyDescent="0.3">
      <c r="A647">
        <v>646</v>
      </c>
      <c r="B647" s="1">
        <v>40573</v>
      </c>
      <c r="C647">
        <v>1</v>
      </c>
      <c r="D647">
        <v>0</v>
      </c>
      <c r="E647" t="str">
        <f>TEXT(Append1[[#This Row],[dteday]],"MMMM")</f>
        <v>January</v>
      </c>
      <c r="F647">
        <v>1</v>
      </c>
      <c r="G647">
        <v>4</v>
      </c>
      <c r="H647" t="b">
        <v>0</v>
      </c>
      <c r="I647" t="str">
        <f>TEXT(Append1[[#This Row],[dteday]],"DDDD")</f>
        <v>Sunday</v>
      </c>
      <c r="J647" t="str" cm="1">
        <f t="array" ref="J647">_xlfn.IFS(Append1[[#This Row],[weekday cnt]]=0,"Weekend",Append1[[#This Row],[weekday cnt]]=6,"Weekend",Append1[[#This Row],[weekday cnt]]&gt;0,"Weekday")</f>
        <v>Weekend</v>
      </c>
      <c r="K647">
        <v>0</v>
      </c>
      <c r="L647" t="str" cm="1">
        <f t="array" ref="L6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7">
        <v>1</v>
      </c>
      <c r="N647">
        <v>0.14000000000000001</v>
      </c>
      <c r="O647">
        <f t="shared" si="0"/>
        <v>645</v>
      </c>
      <c r="P647">
        <f t="shared" si="1"/>
        <v>646</v>
      </c>
      <c r="Q647">
        <v>0.21210000000000001</v>
      </c>
      <c r="R647">
        <v>0.93</v>
      </c>
      <c r="S647">
        <v>0</v>
      </c>
      <c r="T647">
        <v>0</v>
      </c>
      <c r="U647">
        <v>1</v>
      </c>
      <c r="V647">
        <v>1</v>
      </c>
    </row>
    <row r="648" spans="1:22" x14ac:dyDescent="0.3">
      <c r="A648">
        <v>647</v>
      </c>
      <c r="B648" s="1">
        <v>40573</v>
      </c>
      <c r="C648">
        <v>1</v>
      </c>
      <c r="D648">
        <v>0</v>
      </c>
      <c r="E648" t="str">
        <f>TEXT(Append1[[#This Row],[dteday]],"MMMM")</f>
        <v>January</v>
      </c>
      <c r="F648">
        <v>1</v>
      </c>
      <c r="G648">
        <v>5</v>
      </c>
      <c r="H648" t="b">
        <v>0</v>
      </c>
      <c r="I648" t="str">
        <f>TEXT(Append1[[#This Row],[dteday]],"DDDD")</f>
        <v>Sunday</v>
      </c>
      <c r="J648" t="str" cm="1">
        <f t="array" ref="J648">_xlfn.IFS(Append1[[#This Row],[weekday cnt]]=0,"Weekend",Append1[[#This Row],[weekday cnt]]=6,"Weekend",Append1[[#This Row],[weekday cnt]]&gt;0,"Weekday")</f>
        <v>Weekend</v>
      </c>
      <c r="K648">
        <v>0</v>
      </c>
      <c r="L648" t="str" cm="1">
        <f t="array" ref="L6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8">
        <v>1</v>
      </c>
      <c r="N648">
        <v>0.14000000000000001</v>
      </c>
      <c r="O648">
        <f t="shared" si="0"/>
        <v>646</v>
      </c>
      <c r="P648">
        <f t="shared" si="1"/>
        <v>647</v>
      </c>
      <c r="Q648">
        <v>0.21210000000000001</v>
      </c>
      <c r="R648">
        <v>0.86</v>
      </c>
      <c r="S648">
        <v>0</v>
      </c>
      <c r="T648">
        <v>0</v>
      </c>
      <c r="U648">
        <v>3</v>
      </c>
      <c r="V648">
        <v>3</v>
      </c>
    </row>
    <row r="649" spans="1:22" x14ac:dyDescent="0.3">
      <c r="A649">
        <v>648</v>
      </c>
      <c r="B649" s="1">
        <v>40573</v>
      </c>
      <c r="C649">
        <v>1</v>
      </c>
      <c r="D649">
        <v>0</v>
      </c>
      <c r="E649" t="str">
        <f>TEXT(Append1[[#This Row],[dteday]],"MMMM")</f>
        <v>January</v>
      </c>
      <c r="F649">
        <v>1</v>
      </c>
      <c r="G649">
        <v>7</v>
      </c>
      <c r="H649" t="b">
        <v>0</v>
      </c>
      <c r="I649" t="str">
        <f>TEXT(Append1[[#This Row],[dteday]],"DDDD")</f>
        <v>Sunday</v>
      </c>
      <c r="J649" t="str" cm="1">
        <f t="array" ref="J649">_xlfn.IFS(Append1[[#This Row],[weekday cnt]]=0,"Weekend",Append1[[#This Row],[weekday cnt]]=6,"Weekend",Append1[[#This Row],[weekday cnt]]&gt;0,"Weekday")</f>
        <v>Weekend</v>
      </c>
      <c r="K649">
        <v>0</v>
      </c>
      <c r="L649" t="str" cm="1">
        <f t="array" ref="L6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49">
        <v>1</v>
      </c>
      <c r="N649">
        <v>0.14000000000000001</v>
      </c>
      <c r="O649">
        <f t="shared" si="0"/>
        <v>647</v>
      </c>
      <c r="P649">
        <f t="shared" si="1"/>
        <v>648</v>
      </c>
      <c r="Q649">
        <v>0.21210000000000001</v>
      </c>
      <c r="R649">
        <v>0.86</v>
      </c>
      <c r="S649">
        <v>0</v>
      </c>
      <c r="T649">
        <v>0</v>
      </c>
      <c r="U649">
        <v>3</v>
      </c>
      <c r="V649">
        <v>3</v>
      </c>
    </row>
    <row r="650" spans="1:22" x14ac:dyDescent="0.3">
      <c r="A650">
        <v>649</v>
      </c>
      <c r="B650" s="1">
        <v>40573</v>
      </c>
      <c r="C650">
        <v>1</v>
      </c>
      <c r="D650">
        <v>0</v>
      </c>
      <c r="E650" t="str">
        <f>TEXT(Append1[[#This Row],[dteday]],"MMMM")</f>
        <v>January</v>
      </c>
      <c r="F650">
        <v>1</v>
      </c>
      <c r="G650">
        <v>8</v>
      </c>
      <c r="H650" t="b">
        <v>0</v>
      </c>
      <c r="I650" t="str">
        <f>TEXT(Append1[[#This Row],[dteday]],"DDDD")</f>
        <v>Sunday</v>
      </c>
      <c r="J650" t="str" cm="1">
        <f t="array" ref="J650">_xlfn.IFS(Append1[[#This Row],[weekday cnt]]=0,"Weekend",Append1[[#This Row],[weekday cnt]]=6,"Weekend",Append1[[#This Row],[weekday cnt]]&gt;0,"Weekday")</f>
        <v>Weekend</v>
      </c>
      <c r="K650">
        <v>0</v>
      </c>
      <c r="L650" t="str" cm="1">
        <f t="array" ref="L6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50">
        <v>2</v>
      </c>
      <c r="N650">
        <v>0.14000000000000001</v>
      </c>
      <c r="O650">
        <f t="shared" si="0"/>
        <v>648</v>
      </c>
      <c r="P650">
        <f t="shared" si="1"/>
        <v>649</v>
      </c>
      <c r="Q650">
        <v>0.21210000000000001</v>
      </c>
      <c r="R650">
        <v>0.86</v>
      </c>
      <c r="S650">
        <v>0</v>
      </c>
      <c r="T650">
        <v>1</v>
      </c>
      <c r="U650">
        <v>11</v>
      </c>
      <c r="V650">
        <v>12</v>
      </c>
    </row>
    <row r="651" spans="1:22" x14ac:dyDescent="0.3">
      <c r="A651">
        <v>650</v>
      </c>
      <c r="B651" s="1">
        <v>40573</v>
      </c>
      <c r="C651">
        <v>1</v>
      </c>
      <c r="D651">
        <v>0</v>
      </c>
      <c r="E651" t="str">
        <f>TEXT(Append1[[#This Row],[dteday]],"MMMM")</f>
        <v>January</v>
      </c>
      <c r="F651">
        <v>1</v>
      </c>
      <c r="G651">
        <v>9</v>
      </c>
      <c r="H651" t="b">
        <v>0</v>
      </c>
      <c r="I651" t="str">
        <f>TEXT(Append1[[#This Row],[dteday]],"DDDD")</f>
        <v>Sunday</v>
      </c>
      <c r="J651" t="str" cm="1">
        <f t="array" ref="J651">_xlfn.IFS(Append1[[#This Row],[weekday cnt]]=0,"Weekend",Append1[[#This Row],[weekday cnt]]=6,"Weekend",Append1[[#This Row],[weekday cnt]]&gt;0,"Weekday")</f>
        <v>Weekend</v>
      </c>
      <c r="K651">
        <v>0</v>
      </c>
      <c r="L651" t="str" cm="1">
        <f t="array" ref="L6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51">
        <v>2</v>
      </c>
      <c r="N651">
        <v>0.16</v>
      </c>
      <c r="O651">
        <f t="shared" si="0"/>
        <v>649</v>
      </c>
      <c r="P651">
        <f t="shared" si="1"/>
        <v>650</v>
      </c>
      <c r="Q651">
        <v>0.2273</v>
      </c>
      <c r="R651">
        <v>0.8</v>
      </c>
      <c r="S651">
        <v>0</v>
      </c>
      <c r="T651">
        <v>4</v>
      </c>
      <c r="U651">
        <v>34</v>
      </c>
      <c r="V651">
        <v>38</v>
      </c>
    </row>
    <row r="652" spans="1:22" x14ac:dyDescent="0.3">
      <c r="A652">
        <v>651</v>
      </c>
      <c r="B652" s="1">
        <v>40573</v>
      </c>
      <c r="C652">
        <v>1</v>
      </c>
      <c r="D652">
        <v>0</v>
      </c>
      <c r="E652" t="str">
        <f>TEXT(Append1[[#This Row],[dteday]],"MMMM")</f>
        <v>January</v>
      </c>
      <c r="F652">
        <v>1</v>
      </c>
      <c r="G652">
        <v>10</v>
      </c>
      <c r="H652" t="b">
        <v>0</v>
      </c>
      <c r="I652" t="str">
        <f>TEXT(Append1[[#This Row],[dteday]],"DDDD")</f>
        <v>Sunday</v>
      </c>
      <c r="J652" t="str" cm="1">
        <f t="array" ref="J652">_xlfn.IFS(Append1[[#This Row],[weekday cnt]]=0,"Weekend",Append1[[#This Row],[weekday cnt]]=6,"Weekend",Append1[[#This Row],[weekday cnt]]&gt;0,"Weekday")</f>
        <v>Weekend</v>
      </c>
      <c r="K652">
        <v>0</v>
      </c>
      <c r="L652" t="str" cm="1">
        <f t="array" ref="L6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52">
        <v>2</v>
      </c>
      <c r="N652">
        <v>0.18</v>
      </c>
      <c r="O652">
        <f t="shared" si="0"/>
        <v>650</v>
      </c>
      <c r="P652">
        <f t="shared" si="1"/>
        <v>651</v>
      </c>
      <c r="Q652">
        <v>0.2424</v>
      </c>
      <c r="R652">
        <v>0.8</v>
      </c>
      <c r="S652">
        <v>0</v>
      </c>
      <c r="T652">
        <v>7</v>
      </c>
      <c r="U652">
        <v>57</v>
      </c>
      <c r="V652">
        <v>64</v>
      </c>
    </row>
    <row r="653" spans="1:22" x14ac:dyDescent="0.3">
      <c r="A653">
        <v>652</v>
      </c>
      <c r="B653" s="1">
        <v>40573</v>
      </c>
      <c r="C653">
        <v>1</v>
      </c>
      <c r="D653">
        <v>0</v>
      </c>
      <c r="E653" t="str">
        <f>TEXT(Append1[[#This Row],[dteday]],"MMMM")</f>
        <v>January</v>
      </c>
      <c r="F653">
        <v>1</v>
      </c>
      <c r="G653">
        <v>11</v>
      </c>
      <c r="H653" t="b">
        <v>0</v>
      </c>
      <c r="I653" t="str">
        <f>TEXT(Append1[[#This Row],[dteday]],"DDDD")</f>
        <v>Sunday</v>
      </c>
      <c r="J653" t="str" cm="1">
        <f t="array" ref="J653">_xlfn.IFS(Append1[[#This Row],[weekday cnt]]=0,"Weekend",Append1[[#This Row],[weekday cnt]]=6,"Weekend",Append1[[#This Row],[weekday cnt]]&gt;0,"Weekday")</f>
        <v>Weekend</v>
      </c>
      <c r="K653">
        <v>0</v>
      </c>
      <c r="L653" t="str" cm="1">
        <f t="array" ref="L6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53">
        <v>1</v>
      </c>
      <c r="N653">
        <v>0.22</v>
      </c>
      <c r="O653">
        <f t="shared" si="0"/>
        <v>651</v>
      </c>
      <c r="P653">
        <f t="shared" si="1"/>
        <v>652</v>
      </c>
      <c r="Q653">
        <v>0.2727</v>
      </c>
      <c r="R653">
        <v>0.75</v>
      </c>
      <c r="S653">
        <v>0</v>
      </c>
      <c r="T653">
        <v>9</v>
      </c>
      <c r="U653">
        <v>50</v>
      </c>
      <c r="V653">
        <v>59</v>
      </c>
    </row>
    <row r="654" spans="1:22" x14ac:dyDescent="0.3">
      <c r="A654">
        <v>653</v>
      </c>
      <c r="B654" s="1">
        <v>40573</v>
      </c>
      <c r="C654">
        <v>1</v>
      </c>
      <c r="D654">
        <v>0</v>
      </c>
      <c r="E654" t="str">
        <f>TEXT(Append1[[#This Row],[dteday]],"MMMM")</f>
        <v>January</v>
      </c>
      <c r="F654">
        <v>1</v>
      </c>
      <c r="G654">
        <v>12</v>
      </c>
      <c r="H654" t="b">
        <v>0</v>
      </c>
      <c r="I654" t="str">
        <f>TEXT(Append1[[#This Row],[dteday]],"DDDD")</f>
        <v>Sunday</v>
      </c>
      <c r="J654" t="str" cm="1">
        <f t="array" ref="J654">_xlfn.IFS(Append1[[#This Row],[weekday cnt]]=0,"Weekend",Append1[[#This Row],[weekday cnt]]=6,"Weekend",Append1[[#This Row],[weekday cnt]]&gt;0,"Weekday")</f>
        <v>Weekend</v>
      </c>
      <c r="K654">
        <v>0</v>
      </c>
      <c r="L654" t="str" cm="1">
        <f t="array" ref="L6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54">
        <v>1</v>
      </c>
      <c r="N654">
        <v>0.3</v>
      </c>
      <c r="O654">
        <f t="shared" si="0"/>
        <v>652</v>
      </c>
      <c r="P654">
        <f t="shared" si="1"/>
        <v>653</v>
      </c>
      <c r="Q654">
        <v>0.31819999999999998</v>
      </c>
      <c r="R654">
        <v>0.52</v>
      </c>
      <c r="S654">
        <v>0.1045</v>
      </c>
      <c r="T654">
        <v>10</v>
      </c>
      <c r="U654">
        <v>87</v>
      </c>
      <c r="V654">
        <v>97</v>
      </c>
    </row>
    <row r="655" spans="1:22" x14ac:dyDescent="0.3">
      <c r="A655">
        <v>654</v>
      </c>
      <c r="B655" s="1">
        <v>40573</v>
      </c>
      <c r="C655">
        <v>1</v>
      </c>
      <c r="D655">
        <v>0</v>
      </c>
      <c r="E655" t="str">
        <f>TEXT(Append1[[#This Row],[dteday]],"MMMM")</f>
        <v>January</v>
      </c>
      <c r="F655">
        <v>1</v>
      </c>
      <c r="G655">
        <v>13</v>
      </c>
      <c r="H655" t="b">
        <v>0</v>
      </c>
      <c r="I655" t="str">
        <f>TEXT(Append1[[#This Row],[dteday]],"DDDD")</f>
        <v>Sunday</v>
      </c>
      <c r="J655" t="str" cm="1">
        <f t="array" ref="J655">_xlfn.IFS(Append1[[#This Row],[weekday cnt]]=0,"Weekend",Append1[[#This Row],[weekday cnt]]=6,"Weekend",Append1[[#This Row],[weekday cnt]]&gt;0,"Weekday")</f>
        <v>Weekend</v>
      </c>
      <c r="K655">
        <v>0</v>
      </c>
      <c r="L655" t="str" cm="1">
        <f t="array" ref="L6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55">
        <v>1</v>
      </c>
      <c r="N655">
        <v>0.28000000000000003</v>
      </c>
      <c r="O655">
        <f t="shared" si="0"/>
        <v>653</v>
      </c>
      <c r="P655">
        <f t="shared" si="1"/>
        <v>654</v>
      </c>
      <c r="Q655">
        <v>0.28789999999999999</v>
      </c>
      <c r="R655">
        <v>0.61</v>
      </c>
      <c r="S655">
        <v>0.1045</v>
      </c>
      <c r="T655">
        <v>13</v>
      </c>
      <c r="U655">
        <v>71</v>
      </c>
      <c r="V655">
        <v>84</v>
      </c>
    </row>
    <row r="656" spans="1:22" x14ac:dyDescent="0.3">
      <c r="A656">
        <v>655</v>
      </c>
      <c r="B656" s="1">
        <v>40573</v>
      </c>
      <c r="C656">
        <v>1</v>
      </c>
      <c r="D656">
        <v>0</v>
      </c>
      <c r="E656" t="str">
        <f>TEXT(Append1[[#This Row],[dteday]],"MMMM")</f>
        <v>January</v>
      </c>
      <c r="F656">
        <v>1</v>
      </c>
      <c r="G656">
        <v>14</v>
      </c>
      <c r="H656" t="b">
        <v>0</v>
      </c>
      <c r="I656" t="str">
        <f>TEXT(Append1[[#This Row],[dteday]],"DDDD")</f>
        <v>Sunday</v>
      </c>
      <c r="J656" t="str" cm="1">
        <f t="array" ref="J656">_xlfn.IFS(Append1[[#This Row],[weekday cnt]]=0,"Weekend",Append1[[#This Row],[weekday cnt]]=6,"Weekend",Append1[[#This Row],[weekday cnt]]&gt;0,"Weekday")</f>
        <v>Weekend</v>
      </c>
      <c r="K656">
        <v>0</v>
      </c>
      <c r="L656" t="str" cm="1">
        <f t="array" ref="L6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56">
        <v>1</v>
      </c>
      <c r="N656">
        <v>0.28000000000000003</v>
      </c>
      <c r="O656">
        <f t="shared" si="0"/>
        <v>654</v>
      </c>
      <c r="P656">
        <f t="shared" si="1"/>
        <v>655</v>
      </c>
      <c r="Q656">
        <v>0.30299999999999999</v>
      </c>
      <c r="R656">
        <v>0.61</v>
      </c>
      <c r="S656">
        <v>8.9599999999999999E-2</v>
      </c>
      <c r="T656">
        <v>18</v>
      </c>
      <c r="U656">
        <v>104</v>
      </c>
      <c r="V656">
        <v>122</v>
      </c>
    </row>
    <row r="657" spans="1:22" x14ac:dyDescent="0.3">
      <c r="A657">
        <v>656</v>
      </c>
      <c r="B657" s="1">
        <v>40573</v>
      </c>
      <c r="C657">
        <v>1</v>
      </c>
      <c r="D657">
        <v>0</v>
      </c>
      <c r="E657" t="str">
        <f>TEXT(Append1[[#This Row],[dteday]],"MMMM")</f>
        <v>January</v>
      </c>
      <c r="F657">
        <v>1</v>
      </c>
      <c r="G657">
        <v>15</v>
      </c>
      <c r="H657" t="b">
        <v>0</v>
      </c>
      <c r="I657" t="str">
        <f>TEXT(Append1[[#This Row],[dteday]],"DDDD")</f>
        <v>Sunday</v>
      </c>
      <c r="J657" t="str" cm="1">
        <f t="array" ref="J657">_xlfn.IFS(Append1[[#This Row],[weekday cnt]]=0,"Weekend",Append1[[#This Row],[weekday cnt]]=6,"Weekend",Append1[[#This Row],[weekday cnt]]&gt;0,"Weekday")</f>
        <v>Weekend</v>
      </c>
      <c r="K657">
        <v>0</v>
      </c>
      <c r="L657" t="str" cm="1">
        <f t="array" ref="L6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57">
        <v>1</v>
      </c>
      <c r="N657">
        <v>0.3</v>
      </c>
      <c r="O657">
        <f t="shared" si="0"/>
        <v>655</v>
      </c>
      <c r="P657">
        <f t="shared" si="1"/>
        <v>656</v>
      </c>
      <c r="Q657">
        <v>0.33329999999999999</v>
      </c>
      <c r="R657">
        <v>0.56000000000000005</v>
      </c>
      <c r="S657">
        <v>0</v>
      </c>
      <c r="T657">
        <v>14</v>
      </c>
      <c r="U657">
        <v>95</v>
      </c>
      <c r="V657">
        <v>109</v>
      </c>
    </row>
    <row r="658" spans="1:22" x14ac:dyDescent="0.3">
      <c r="A658">
        <v>657</v>
      </c>
      <c r="B658" s="1">
        <v>40573</v>
      </c>
      <c r="C658">
        <v>1</v>
      </c>
      <c r="D658">
        <v>0</v>
      </c>
      <c r="E658" t="str">
        <f>TEXT(Append1[[#This Row],[dteday]],"MMMM")</f>
        <v>January</v>
      </c>
      <c r="F658">
        <v>1</v>
      </c>
      <c r="G658">
        <v>16</v>
      </c>
      <c r="H658" t="b">
        <v>0</v>
      </c>
      <c r="I658" t="str">
        <f>TEXT(Append1[[#This Row],[dteday]],"DDDD")</f>
        <v>Sunday</v>
      </c>
      <c r="J658" t="str" cm="1">
        <f t="array" ref="J658">_xlfn.IFS(Append1[[#This Row],[weekday cnt]]=0,"Weekend",Append1[[#This Row],[weekday cnt]]=6,"Weekend",Append1[[#This Row],[weekday cnt]]&gt;0,"Weekday")</f>
        <v>Weekend</v>
      </c>
      <c r="K658">
        <v>0</v>
      </c>
      <c r="L658" t="str" cm="1">
        <f t="array" ref="L6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58">
        <v>1</v>
      </c>
      <c r="N658">
        <v>0.3</v>
      </c>
      <c r="O658">
        <f t="shared" si="0"/>
        <v>656</v>
      </c>
      <c r="P658">
        <f t="shared" si="1"/>
        <v>657</v>
      </c>
      <c r="Q658">
        <v>0.33329999999999999</v>
      </c>
      <c r="R658">
        <v>0.56000000000000005</v>
      </c>
      <c r="S658">
        <v>0</v>
      </c>
      <c r="T658">
        <v>19</v>
      </c>
      <c r="U658">
        <v>104</v>
      </c>
      <c r="V658">
        <v>123</v>
      </c>
    </row>
    <row r="659" spans="1:22" x14ac:dyDescent="0.3">
      <c r="A659">
        <v>658</v>
      </c>
      <c r="B659" s="1">
        <v>40573</v>
      </c>
      <c r="C659">
        <v>1</v>
      </c>
      <c r="D659">
        <v>0</v>
      </c>
      <c r="E659" t="str">
        <f>TEXT(Append1[[#This Row],[dteday]],"MMMM")</f>
        <v>January</v>
      </c>
      <c r="F659">
        <v>1</v>
      </c>
      <c r="G659">
        <v>17</v>
      </c>
      <c r="H659" t="b">
        <v>0</v>
      </c>
      <c r="I659" t="str">
        <f>TEXT(Append1[[#This Row],[dteday]],"DDDD")</f>
        <v>Sunday</v>
      </c>
      <c r="J659" t="str" cm="1">
        <f t="array" ref="J659">_xlfn.IFS(Append1[[#This Row],[weekday cnt]]=0,"Weekend",Append1[[#This Row],[weekday cnt]]=6,"Weekend",Append1[[#This Row],[weekday cnt]]&gt;0,"Weekday")</f>
        <v>Weekend</v>
      </c>
      <c r="K659">
        <v>0</v>
      </c>
      <c r="L659" t="str" cm="1">
        <f t="array" ref="L6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59">
        <v>1</v>
      </c>
      <c r="N659">
        <v>0.3</v>
      </c>
      <c r="O659">
        <f t="shared" si="0"/>
        <v>657</v>
      </c>
      <c r="P659">
        <f t="shared" si="1"/>
        <v>658</v>
      </c>
      <c r="Q659">
        <v>0.28789999999999999</v>
      </c>
      <c r="R659">
        <v>0.56000000000000005</v>
      </c>
      <c r="S659">
        <v>0.19400000000000001</v>
      </c>
      <c r="T659">
        <v>6</v>
      </c>
      <c r="U659">
        <v>71</v>
      </c>
      <c r="V659">
        <v>77</v>
      </c>
    </row>
    <row r="660" spans="1:22" x14ac:dyDescent="0.3">
      <c r="A660">
        <v>659</v>
      </c>
      <c r="B660" s="1">
        <v>40573</v>
      </c>
      <c r="C660">
        <v>1</v>
      </c>
      <c r="D660">
        <v>0</v>
      </c>
      <c r="E660" t="str">
        <f>TEXT(Append1[[#This Row],[dteday]],"MMMM")</f>
        <v>January</v>
      </c>
      <c r="F660">
        <v>1</v>
      </c>
      <c r="G660">
        <v>18</v>
      </c>
      <c r="H660" t="b">
        <v>0</v>
      </c>
      <c r="I660" t="str">
        <f>TEXT(Append1[[#This Row],[dteday]],"DDDD")</f>
        <v>Sunday</v>
      </c>
      <c r="J660" t="str" cm="1">
        <f t="array" ref="J660">_xlfn.IFS(Append1[[#This Row],[weekday cnt]]=0,"Weekend",Append1[[#This Row],[weekday cnt]]=6,"Weekend",Append1[[#This Row],[weekday cnt]]&gt;0,"Weekday")</f>
        <v>Weekend</v>
      </c>
      <c r="K660">
        <v>0</v>
      </c>
      <c r="L660" t="str" cm="1">
        <f t="array" ref="L6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60">
        <v>1</v>
      </c>
      <c r="N660">
        <v>0.26</v>
      </c>
      <c r="O660">
        <f t="shared" si="0"/>
        <v>658</v>
      </c>
      <c r="P660">
        <f t="shared" si="1"/>
        <v>659</v>
      </c>
      <c r="Q660">
        <v>0.2576</v>
      </c>
      <c r="R660">
        <v>0.65</v>
      </c>
      <c r="S660">
        <v>0.16420000000000001</v>
      </c>
      <c r="T660">
        <v>8</v>
      </c>
      <c r="U660">
        <v>57</v>
      </c>
      <c r="V660">
        <v>65</v>
      </c>
    </row>
    <row r="661" spans="1:22" x14ac:dyDescent="0.3">
      <c r="A661">
        <v>660</v>
      </c>
      <c r="B661" s="1">
        <v>40573</v>
      </c>
      <c r="C661">
        <v>1</v>
      </c>
      <c r="D661">
        <v>0</v>
      </c>
      <c r="E661" t="str">
        <f>TEXT(Append1[[#This Row],[dteday]],"MMMM")</f>
        <v>January</v>
      </c>
      <c r="F661">
        <v>1</v>
      </c>
      <c r="G661">
        <v>19</v>
      </c>
      <c r="H661" t="b">
        <v>0</v>
      </c>
      <c r="I661" t="str">
        <f>TEXT(Append1[[#This Row],[dteday]],"DDDD")</f>
        <v>Sunday</v>
      </c>
      <c r="J661" t="str" cm="1">
        <f t="array" ref="J661">_xlfn.IFS(Append1[[#This Row],[weekday cnt]]=0,"Weekend",Append1[[#This Row],[weekday cnt]]=6,"Weekend",Append1[[#This Row],[weekday cnt]]&gt;0,"Weekday")</f>
        <v>Weekend</v>
      </c>
      <c r="K661">
        <v>0</v>
      </c>
      <c r="L661" t="str" cm="1">
        <f t="array" ref="L6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61">
        <v>1</v>
      </c>
      <c r="N661">
        <v>0.26</v>
      </c>
      <c r="O661">
        <f t="shared" si="0"/>
        <v>659</v>
      </c>
      <c r="P661">
        <f t="shared" si="1"/>
        <v>660</v>
      </c>
      <c r="Q661">
        <v>0.2576</v>
      </c>
      <c r="R661">
        <v>0.65</v>
      </c>
      <c r="S661">
        <v>0.19400000000000001</v>
      </c>
      <c r="T661">
        <v>9</v>
      </c>
      <c r="U661">
        <v>46</v>
      </c>
      <c r="V661">
        <v>55</v>
      </c>
    </row>
    <row r="662" spans="1:22" x14ac:dyDescent="0.3">
      <c r="A662">
        <v>661</v>
      </c>
      <c r="B662" s="1">
        <v>40573</v>
      </c>
      <c r="C662">
        <v>1</v>
      </c>
      <c r="D662">
        <v>0</v>
      </c>
      <c r="E662" t="str">
        <f>TEXT(Append1[[#This Row],[dteday]],"MMMM")</f>
        <v>January</v>
      </c>
      <c r="F662">
        <v>1</v>
      </c>
      <c r="G662">
        <v>20</v>
      </c>
      <c r="H662" t="b">
        <v>0</v>
      </c>
      <c r="I662" t="str">
        <f>TEXT(Append1[[#This Row],[dteday]],"DDDD")</f>
        <v>Sunday</v>
      </c>
      <c r="J662" t="str" cm="1">
        <f t="array" ref="J662">_xlfn.IFS(Append1[[#This Row],[weekday cnt]]=0,"Weekend",Append1[[#This Row],[weekday cnt]]=6,"Weekend",Append1[[#This Row],[weekday cnt]]&gt;0,"Weekday")</f>
        <v>Weekend</v>
      </c>
      <c r="K662">
        <v>0</v>
      </c>
      <c r="L662" t="str" cm="1">
        <f t="array" ref="L6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62">
        <v>2</v>
      </c>
      <c r="N662">
        <v>0.26</v>
      </c>
      <c r="O662">
        <f t="shared" si="0"/>
        <v>660</v>
      </c>
      <c r="P662">
        <f t="shared" si="1"/>
        <v>661</v>
      </c>
      <c r="Q662">
        <v>0.2727</v>
      </c>
      <c r="R662">
        <v>0.65</v>
      </c>
      <c r="S662">
        <v>0.1045</v>
      </c>
      <c r="T662">
        <v>3</v>
      </c>
      <c r="U662">
        <v>30</v>
      </c>
      <c r="V662">
        <v>33</v>
      </c>
    </row>
    <row r="663" spans="1:22" x14ac:dyDescent="0.3">
      <c r="A663">
        <v>662</v>
      </c>
      <c r="B663" s="1">
        <v>40573</v>
      </c>
      <c r="C663">
        <v>1</v>
      </c>
      <c r="D663">
        <v>0</v>
      </c>
      <c r="E663" t="str">
        <f>TEXT(Append1[[#This Row],[dteday]],"MMMM")</f>
        <v>January</v>
      </c>
      <c r="F663">
        <v>1</v>
      </c>
      <c r="G663">
        <v>21</v>
      </c>
      <c r="H663" t="b">
        <v>0</v>
      </c>
      <c r="I663" t="str">
        <f>TEXT(Append1[[#This Row],[dteday]],"DDDD")</f>
        <v>Sunday</v>
      </c>
      <c r="J663" t="str" cm="1">
        <f t="array" ref="J663">_xlfn.IFS(Append1[[#This Row],[weekday cnt]]=0,"Weekend",Append1[[#This Row],[weekday cnt]]=6,"Weekend",Append1[[#This Row],[weekday cnt]]&gt;0,"Weekday")</f>
        <v>Weekend</v>
      </c>
      <c r="K663">
        <v>0</v>
      </c>
      <c r="L663" t="str" cm="1">
        <f t="array" ref="L6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63">
        <v>2</v>
      </c>
      <c r="N663">
        <v>0.24</v>
      </c>
      <c r="O663">
        <f t="shared" si="0"/>
        <v>661</v>
      </c>
      <c r="P663">
        <f t="shared" si="1"/>
        <v>662</v>
      </c>
      <c r="Q663">
        <v>0.2424</v>
      </c>
      <c r="R663">
        <v>0.7</v>
      </c>
      <c r="S663">
        <v>0.16420000000000001</v>
      </c>
      <c r="T663">
        <v>3</v>
      </c>
      <c r="U663">
        <v>25</v>
      </c>
      <c r="V663">
        <v>28</v>
      </c>
    </row>
    <row r="664" spans="1:22" x14ac:dyDescent="0.3">
      <c r="A664">
        <v>663</v>
      </c>
      <c r="B664" s="1">
        <v>40573</v>
      </c>
      <c r="C664">
        <v>1</v>
      </c>
      <c r="D664">
        <v>0</v>
      </c>
      <c r="E664" t="str">
        <f>TEXT(Append1[[#This Row],[dteday]],"MMMM")</f>
        <v>January</v>
      </c>
      <c r="F664">
        <v>1</v>
      </c>
      <c r="G664">
        <v>22</v>
      </c>
      <c r="H664" t="b">
        <v>0</v>
      </c>
      <c r="I664" t="str">
        <f>TEXT(Append1[[#This Row],[dteday]],"DDDD")</f>
        <v>Sunday</v>
      </c>
      <c r="J664" t="str" cm="1">
        <f t="array" ref="J664">_xlfn.IFS(Append1[[#This Row],[weekday cnt]]=0,"Weekend",Append1[[#This Row],[weekday cnt]]=6,"Weekend",Append1[[#This Row],[weekday cnt]]&gt;0,"Weekday")</f>
        <v>Weekend</v>
      </c>
      <c r="K664">
        <v>0</v>
      </c>
      <c r="L664" t="str" cm="1">
        <f t="array" ref="L6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64">
        <v>2</v>
      </c>
      <c r="N664">
        <v>0.24</v>
      </c>
      <c r="O664">
        <f t="shared" si="0"/>
        <v>662</v>
      </c>
      <c r="P664">
        <f t="shared" si="1"/>
        <v>663</v>
      </c>
      <c r="Q664">
        <v>0.2273</v>
      </c>
      <c r="R664">
        <v>0.7</v>
      </c>
      <c r="S664">
        <v>0.19400000000000001</v>
      </c>
      <c r="T664">
        <v>2</v>
      </c>
      <c r="U664">
        <v>19</v>
      </c>
      <c r="V664">
        <v>21</v>
      </c>
    </row>
    <row r="665" spans="1:22" x14ac:dyDescent="0.3">
      <c r="A665">
        <v>664</v>
      </c>
      <c r="B665" s="1">
        <v>40573</v>
      </c>
      <c r="C665">
        <v>1</v>
      </c>
      <c r="D665">
        <v>0</v>
      </c>
      <c r="E665" t="str">
        <f>TEXT(Append1[[#This Row],[dteday]],"MMMM")</f>
        <v>January</v>
      </c>
      <c r="F665">
        <v>1</v>
      </c>
      <c r="G665">
        <v>23</v>
      </c>
      <c r="H665" t="b">
        <v>0</v>
      </c>
      <c r="I665" t="str">
        <f>TEXT(Append1[[#This Row],[dteday]],"DDDD")</f>
        <v>Sunday</v>
      </c>
      <c r="J665" t="str" cm="1">
        <f t="array" ref="J665">_xlfn.IFS(Append1[[#This Row],[weekday cnt]]=0,"Weekend",Append1[[#This Row],[weekday cnt]]=6,"Weekend",Append1[[#This Row],[weekday cnt]]&gt;0,"Weekday")</f>
        <v>Weekend</v>
      </c>
      <c r="K665">
        <v>0</v>
      </c>
      <c r="L665" t="str" cm="1">
        <f t="array" ref="L6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65">
        <v>2</v>
      </c>
      <c r="N665">
        <v>0.24</v>
      </c>
      <c r="O665">
        <f t="shared" si="0"/>
        <v>663</v>
      </c>
      <c r="P665">
        <f t="shared" si="1"/>
        <v>664</v>
      </c>
      <c r="Q665">
        <v>0.21210000000000001</v>
      </c>
      <c r="R665">
        <v>0.65</v>
      </c>
      <c r="S665">
        <v>0.28360000000000002</v>
      </c>
      <c r="T665">
        <v>5</v>
      </c>
      <c r="U665">
        <v>16</v>
      </c>
      <c r="V665">
        <v>21</v>
      </c>
    </row>
    <row r="666" spans="1:22" x14ac:dyDescent="0.3">
      <c r="A666">
        <v>665</v>
      </c>
      <c r="B666" s="1">
        <v>40574</v>
      </c>
      <c r="C666">
        <v>1</v>
      </c>
      <c r="D666">
        <v>0</v>
      </c>
      <c r="E666" t="str">
        <f>TEXT(Append1[[#This Row],[dteday]],"MMMM")</f>
        <v>January</v>
      </c>
      <c r="F666">
        <v>1</v>
      </c>
      <c r="G666">
        <v>0</v>
      </c>
      <c r="H666" t="b">
        <v>0</v>
      </c>
      <c r="I666" t="str">
        <f>TEXT(Append1[[#This Row],[dteday]],"DDDD")</f>
        <v>Monday</v>
      </c>
      <c r="J666" t="str" cm="1">
        <f t="array" ref="J666">_xlfn.IFS(Append1[[#This Row],[weekday cnt]]=0,"Weekend",Append1[[#This Row],[weekday cnt]]=6,"Weekend",Append1[[#This Row],[weekday cnt]]&gt;0,"Weekday")</f>
        <v>Weekday</v>
      </c>
      <c r="K666">
        <v>1</v>
      </c>
      <c r="L666" t="str" cm="1">
        <f t="array" ref="L6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66">
        <v>2</v>
      </c>
      <c r="N666">
        <v>0.24</v>
      </c>
      <c r="O666">
        <f t="shared" si="0"/>
        <v>664</v>
      </c>
      <c r="P666">
        <f t="shared" si="1"/>
        <v>665</v>
      </c>
      <c r="Q666">
        <v>0.2273</v>
      </c>
      <c r="R666">
        <v>0.65</v>
      </c>
      <c r="S666">
        <v>0.22389999999999999</v>
      </c>
      <c r="T666">
        <v>1</v>
      </c>
      <c r="U666">
        <v>6</v>
      </c>
      <c r="V666">
        <v>7</v>
      </c>
    </row>
    <row r="667" spans="1:22" x14ac:dyDescent="0.3">
      <c r="A667">
        <v>666</v>
      </c>
      <c r="B667" s="1">
        <v>40574</v>
      </c>
      <c r="C667">
        <v>1</v>
      </c>
      <c r="D667">
        <v>0</v>
      </c>
      <c r="E667" t="str">
        <f>TEXT(Append1[[#This Row],[dteday]],"MMMM")</f>
        <v>January</v>
      </c>
      <c r="F667">
        <v>1</v>
      </c>
      <c r="G667">
        <v>1</v>
      </c>
      <c r="H667" t="b">
        <v>0</v>
      </c>
      <c r="I667" t="str">
        <f>TEXT(Append1[[#This Row],[dteday]],"DDDD")</f>
        <v>Monday</v>
      </c>
      <c r="J667" t="str" cm="1">
        <f t="array" ref="J667">_xlfn.IFS(Append1[[#This Row],[weekday cnt]]=0,"Weekend",Append1[[#This Row],[weekday cnt]]=6,"Weekend",Append1[[#This Row],[weekday cnt]]&gt;0,"Weekday")</f>
        <v>Weekday</v>
      </c>
      <c r="K667">
        <v>1</v>
      </c>
      <c r="L667" t="str" cm="1">
        <f t="array" ref="L6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67">
        <v>1</v>
      </c>
      <c r="N667">
        <v>0.22</v>
      </c>
      <c r="O667">
        <f t="shared" si="0"/>
        <v>665</v>
      </c>
      <c r="P667">
        <f t="shared" si="1"/>
        <v>666</v>
      </c>
      <c r="Q667">
        <v>0.21210000000000001</v>
      </c>
      <c r="R667">
        <v>0.64</v>
      </c>
      <c r="S667">
        <v>0.25369999999999998</v>
      </c>
      <c r="T667">
        <v>2</v>
      </c>
      <c r="U667">
        <v>5</v>
      </c>
      <c r="V667">
        <v>7</v>
      </c>
    </row>
    <row r="668" spans="1:22" x14ac:dyDescent="0.3">
      <c r="A668">
        <v>667</v>
      </c>
      <c r="B668" s="1">
        <v>40574</v>
      </c>
      <c r="C668">
        <v>1</v>
      </c>
      <c r="D668">
        <v>0</v>
      </c>
      <c r="E668" t="str">
        <f>TEXT(Append1[[#This Row],[dteday]],"MMMM")</f>
        <v>January</v>
      </c>
      <c r="F668">
        <v>1</v>
      </c>
      <c r="G668">
        <v>2</v>
      </c>
      <c r="H668" t="b">
        <v>0</v>
      </c>
      <c r="I668" t="str">
        <f>TEXT(Append1[[#This Row],[dteday]],"DDDD")</f>
        <v>Monday</v>
      </c>
      <c r="J668" t="str" cm="1">
        <f t="array" ref="J668">_xlfn.IFS(Append1[[#This Row],[weekday cnt]]=0,"Weekend",Append1[[#This Row],[weekday cnt]]=6,"Weekend",Append1[[#This Row],[weekday cnt]]&gt;0,"Weekday")</f>
        <v>Weekday</v>
      </c>
      <c r="K668">
        <v>1</v>
      </c>
      <c r="L668" t="str" cm="1">
        <f t="array" ref="L6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68">
        <v>1</v>
      </c>
      <c r="N668">
        <v>0.22</v>
      </c>
      <c r="O668">
        <f t="shared" si="0"/>
        <v>666</v>
      </c>
      <c r="P668">
        <f t="shared" si="1"/>
        <v>667</v>
      </c>
      <c r="Q668">
        <v>0.2273</v>
      </c>
      <c r="R668">
        <v>0.64</v>
      </c>
      <c r="S668">
        <v>0.19400000000000001</v>
      </c>
      <c r="T668">
        <v>0</v>
      </c>
      <c r="U668">
        <v>1</v>
      </c>
      <c r="V668">
        <v>1</v>
      </c>
    </row>
    <row r="669" spans="1:22" x14ac:dyDescent="0.3">
      <c r="A669">
        <v>668</v>
      </c>
      <c r="B669" s="1">
        <v>40574</v>
      </c>
      <c r="C669">
        <v>1</v>
      </c>
      <c r="D669">
        <v>0</v>
      </c>
      <c r="E669" t="str">
        <f>TEXT(Append1[[#This Row],[dteday]],"MMMM")</f>
        <v>January</v>
      </c>
      <c r="F669">
        <v>1</v>
      </c>
      <c r="G669">
        <v>3</v>
      </c>
      <c r="H669" t="b">
        <v>0</v>
      </c>
      <c r="I669" t="str">
        <f>TEXT(Append1[[#This Row],[dteday]],"DDDD")</f>
        <v>Monday</v>
      </c>
      <c r="J669" t="str" cm="1">
        <f t="array" ref="J669">_xlfn.IFS(Append1[[#This Row],[weekday cnt]]=0,"Weekend",Append1[[#This Row],[weekday cnt]]=6,"Weekend",Append1[[#This Row],[weekday cnt]]&gt;0,"Weekday")</f>
        <v>Weekday</v>
      </c>
      <c r="K669">
        <v>1</v>
      </c>
      <c r="L669" t="str" cm="1">
        <f t="array" ref="L6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69">
        <v>1</v>
      </c>
      <c r="N669">
        <v>0.22</v>
      </c>
      <c r="O669">
        <f t="shared" si="0"/>
        <v>667</v>
      </c>
      <c r="P669">
        <f t="shared" si="1"/>
        <v>668</v>
      </c>
      <c r="Q669">
        <v>0.2273</v>
      </c>
      <c r="R669">
        <v>0.64</v>
      </c>
      <c r="S669">
        <v>0.19400000000000001</v>
      </c>
      <c r="T669">
        <v>0</v>
      </c>
      <c r="U669">
        <v>2</v>
      </c>
      <c r="V669">
        <v>2</v>
      </c>
    </row>
    <row r="670" spans="1:22" x14ac:dyDescent="0.3">
      <c r="A670">
        <v>669</v>
      </c>
      <c r="B670" s="1">
        <v>40574</v>
      </c>
      <c r="C670">
        <v>1</v>
      </c>
      <c r="D670">
        <v>0</v>
      </c>
      <c r="E670" t="str">
        <f>TEXT(Append1[[#This Row],[dteday]],"MMMM")</f>
        <v>January</v>
      </c>
      <c r="F670">
        <v>1</v>
      </c>
      <c r="G670">
        <v>4</v>
      </c>
      <c r="H670" t="b">
        <v>0</v>
      </c>
      <c r="I670" t="str">
        <f>TEXT(Append1[[#This Row],[dteday]],"DDDD")</f>
        <v>Monday</v>
      </c>
      <c r="J670" t="str" cm="1">
        <f t="array" ref="J670">_xlfn.IFS(Append1[[#This Row],[weekday cnt]]=0,"Weekend",Append1[[#This Row],[weekday cnt]]=6,"Weekend",Append1[[#This Row],[weekday cnt]]&gt;0,"Weekday")</f>
        <v>Weekday</v>
      </c>
      <c r="K670">
        <v>1</v>
      </c>
      <c r="L670" t="str" cm="1">
        <f t="array" ref="L6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70">
        <v>1</v>
      </c>
      <c r="N670">
        <v>0.2</v>
      </c>
      <c r="O670">
        <f t="shared" si="0"/>
        <v>668</v>
      </c>
      <c r="P670">
        <f t="shared" si="1"/>
        <v>669</v>
      </c>
      <c r="Q670">
        <v>0.19700000000000001</v>
      </c>
      <c r="R670">
        <v>0.59</v>
      </c>
      <c r="S670">
        <v>0.22389999999999999</v>
      </c>
      <c r="T670">
        <v>0</v>
      </c>
      <c r="U670">
        <v>2</v>
      </c>
      <c r="V670">
        <v>2</v>
      </c>
    </row>
    <row r="671" spans="1:22" x14ac:dyDescent="0.3">
      <c r="A671">
        <v>670</v>
      </c>
      <c r="B671" s="1">
        <v>40574</v>
      </c>
      <c r="C671">
        <v>1</v>
      </c>
      <c r="D671">
        <v>0</v>
      </c>
      <c r="E671" t="str">
        <f>TEXT(Append1[[#This Row],[dteday]],"MMMM")</f>
        <v>January</v>
      </c>
      <c r="F671">
        <v>1</v>
      </c>
      <c r="G671">
        <v>5</v>
      </c>
      <c r="H671" t="b">
        <v>0</v>
      </c>
      <c r="I671" t="str">
        <f>TEXT(Append1[[#This Row],[dteday]],"DDDD")</f>
        <v>Monday</v>
      </c>
      <c r="J671" t="str" cm="1">
        <f t="array" ref="J671">_xlfn.IFS(Append1[[#This Row],[weekday cnt]]=0,"Weekend",Append1[[#This Row],[weekday cnt]]=6,"Weekend",Append1[[#This Row],[weekday cnt]]&gt;0,"Weekday")</f>
        <v>Weekday</v>
      </c>
      <c r="K671">
        <v>1</v>
      </c>
      <c r="L671" t="str" cm="1">
        <f t="array" ref="L6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71">
        <v>1</v>
      </c>
      <c r="N671">
        <v>0.18</v>
      </c>
      <c r="O671">
        <f t="shared" si="0"/>
        <v>669</v>
      </c>
      <c r="P671">
        <f t="shared" si="1"/>
        <v>670</v>
      </c>
      <c r="Q671">
        <v>0.16669999999999999</v>
      </c>
      <c r="R671">
        <v>0.64</v>
      </c>
      <c r="S671">
        <v>0.28360000000000002</v>
      </c>
      <c r="T671">
        <v>0</v>
      </c>
      <c r="U671">
        <v>8</v>
      </c>
      <c r="V671">
        <v>8</v>
      </c>
    </row>
    <row r="672" spans="1:22" x14ac:dyDescent="0.3">
      <c r="A672">
        <v>671</v>
      </c>
      <c r="B672" s="1">
        <v>40574</v>
      </c>
      <c r="C672">
        <v>1</v>
      </c>
      <c r="D672">
        <v>0</v>
      </c>
      <c r="E672" t="str">
        <f>TEXT(Append1[[#This Row],[dteday]],"MMMM")</f>
        <v>January</v>
      </c>
      <c r="F672">
        <v>1</v>
      </c>
      <c r="G672">
        <v>6</v>
      </c>
      <c r="H672" t="b">
        <v>0</v>
      </c>
      <c r="I672" t="str">
        <f>TEXT(Append1[[#This Row],[dteday]],"DDDD")</f>
        <v>Monday</v>
      </c>
      <c r="J672" t="str" cm="1">
        <f t="array" ref="J672">_xlfn.IFS(Append1[[#This Row],[weekday cnt]]=0,"Weekend",Append1[[#This Row],[weekday cnt]]=6,"Weekend",Append1[[#This Row],[weekday cnt]]&gt;0,"Weekday")</f>
        <v>Weekday</v>
      </c>
      <c r="K672">
        <v>1</v>
      </c>
      <c r="L672" t="str" cm="1">
        <f t="array" ref="L6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72">
        <v>1</v>
      </c>
      <c r="N672">
        <v>0.16</v>
      </c>
      <c r="O672">
        <f t="shared" si="0"/>
        <v>670</v>
      </c>
      <c r="P672">
        <f t="shared" si="1"/>
        <v>671</v>
      </c>
      <c r="Q672">
        <v>0.13639999999999999</v>
      </c>
      <c r="R672">
        <v>0.69</v>
      </c>
      <c r="S672">
        <v>0.32840000000000003</v>
      </c>
      <c r="T672">
        <v>0</v>
      </c>
      <c r="U672">
        <v>37</v>
      </c>
      <c r="V672">
        <v>37</v>
      </c>
    </row>
    <row r="673" spans="1:22" x14ac:dyDescent="0.3">
      <c r="A673">
        <v>672</v>
      </c>
      <c r="B673" s="1">
        <v>40574</v>
      </c>
      <c r="C673">
        <v>1</v>
      </c>
      <c r="D673">
        <v>0</v>
      </c>
      <c r="E673" t="str">
        <f>TEXT(Append1[[#This Row],[dteday]],"MMMM")</f>
        <v>January</v>
      </c>
      <c r="F673">
        <v>1</v>
      </c>
      <c r="G673">
        <v>7</v>
      </c>
      <c r="H673" t="b">
        <v>0</v>
      </c>
      <c r="I673" t="str">
        <f>TEXT(Append1[[#This Row],[dteday]],"DDDD")</f>
        <v>Monday</v>
      </c>
      <c r="J673" t="str" cm="1">
        <f t="array" ref="J673">_xlfn.IFS(Append1[[#This Row],[weekday cnt]]=0,"Weekend",Append1[[#This Row],[weekday cnt]]=6,"Weekend",Append1[[#This Row],[weekday cnt]]&gt;0,"Weekday")</f>
        <v>Weekday</v>
      </c>
      <c r="K673">
        <v>1</v>
      </c>
      <c r="L673" t="str" cm="1">
        <f t="array" ref="L6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73">
        <v>2</v>
      </c>
      <c r="N673">
        <v>0.16</v>
      </c>
      <c r="O673">
        <f t="shared" si="0"/>
        <v>671</v>
      </c>
      <c r="P673">
        <f t="shared" si="1"/>
        <v>672</v>
      </c>
      <c r="Q673">
        <v>0.13639999999999999</v>
      </c>
      <c r="R673">
        <v>0.64</v>
      </c>
      <c r="S673">
        <v>0.28360000000000002</v>
      </c>
      <c r="T673">
        <v>1</v>
      </c>
      <c r="U673">
        <v>71</v>
      </c>
      <c r="V673">
        <v>72</v>
      </c>
    </row>
    <row r="674" spans="1:22" x14ac:dyDescent="0.3">
      <c r="A674">
        <v>673</v>
      </c>
      <c r="B674" s="1">
        <v>40574</v>
      </c>
      <c r="C674">
        <v>1</v>
      </c>
      <c r="D674">
        <v>0</v>
      </c>
      <c r="E674" t="str">
        <f>TEXT(Append1[[#This Row],[dteday]],"MMMM")</f>
        <v>January</v>
      </c>
      <c r="F674">
        <v>1</v>
      </c>
      <c r="G674">
        <v>8</v>
      </c>
      <c r="H674" t="b">
        <v>0</v>
      </c>
      <c r="I674" t="str">
        <f>TEXT(Append1[[#This Row],[dteday]],"DDDD")</f>
        <v>Monday</v>
      </c>
      <c r="J674" t="str" cm="1">
        <f t="array" ref="J674">_xlfn.IFS(Append1[[#This Row],[weekday cnt]]=0,"Weekend",Append1[[#This Row],[weekday cnt]]=6,"Weekend",Append1[[#This Row],[weekday cnt]]&gt;0,"Weekday")</f>
        <v>Weekday</v>
      </c>
      <c r="K674">
        <v>1</v>
      </c>
      <c r="L674" t="str" cm="1">
        <f t="array" ref="L6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74">
        <v>2</v>
      </c>
      <c r="N674">
        <v>0.16</v>
      </c>
      <c r="O674">
        <f t="shared" si="0"/>
        <v>672</v>
      </c>
      <c r="P674">
        <f t="shared" si="1"/>
        <v>673</v>
      </c>
      <c r="Q674">
        <v>0.13639999999999999</v>
      </c>
      <c r="R674">
        <v>0.59</v>
      </c>
      <c r="S674">
        <v>0.28360000000000002</v>
      </c>
      <c r="T674">
        <v>3</v>
      </c>
      <c r="U674">
        <v>182</v>
      </c>
      <c r="V674">
        <v>185</v>
      </c>
    </row>
    <row r="675" spans="1:22" x14ac:dyDescent="0.3">
      <c r="A675">
        <v>674</v>
      </c>
      <c r="B675" s="1">
        <v>40574</v>
      </c>
      <c r="C675">
        <v>1</v>
      </c>
      <c r="D675">
        <v>0</v>
      </c>
      <c r="E675" t="str">
        <f>TEXT(Append1[[#This Row],[dteday]],"MMMM")</f>
        <v>January</v>
      </c>
      <c r="F675">
        <v>1</v>
      </c>
      <c r="G675">
        <v>9</v>
      </c>
      <c r="H675" t="b">
        <v>0</v>
      </c>
      <c r="I675" t="str">
        <f>TEXT(Append1[[#This Row],[dteday]],"DDDD")</f>
        <v>Monday</v>
      </c>
      <c r="J675" t="str" cm="1">
        <f t="array" ref="J675">_xlfn.IFS(Append1[[#This Row],[weekday cnt]]=0,"Weekend",Append1[[#This Row],[weekday cnt]]=6,"Weekend",Append1[[#This Row],[weekday cnt]]&gt;0,"Weekday")</f>
        <v>Weekday</v>
      </c>
      <c r="K675">
        <v>1</v>
      </c>
      <c r="L675" t="str" cm="1">
        <f t="array" ref="L6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75">
        <v>2</v>
      </c>
      <c r="N675">
        <v>0.16</v>
      </c>
      <c r="O675">
        <f t="shared" si="0"/>
        <v>673</v>
      </c>
      <c r="P675">
        <f t="shared" si="1"/>
        <v>674</v>
      </c>
      <c r="Q675">
        <v>0.13639999999999999</v>
      </c>
      <c r="R675">
        <v>0.59</v>
      </c>
      <c r="S675">
        <v>0.29849999999999999</v>
      </c>
      <c r="T675">
        <v>0</v>
      </c>
      <c r="U675">
        <v>112</v>
      </c>
      <c r="V675">
        <v>112</v>
      </c>
    </row>
    <row r="676" spans="1:22" x14ac:dyDescent="0.3">
      <c r="A676">
        <v>675</v>
      </c>
      <c r="B676" s="1">
        <v>40574</v>
      </c>
      <c r="C676">
        <v>1</v>
      </c>
      <c r="D676">
        <v>0</v>
      </c>
      <c r="E676" t="str">
        <f>TEXT(Append1[[#This Row],[dteday]],"MMMM")</f>
        <v>January</v>
      </c>
      <c r="F676">
        <v>1</v>
      </c>
      <c r="G676">
        <v>10</v>
      </c>
      <c r="H676" t="b">
        <v>0</v>
      </c>
      <c r="I676" t="str">
        <f>TEXT(Append1[[#This Row],[dteday]],"DDDD")</f>
        <v>Monday</v>
      </c>
      <c r="J676" t="str" cm="1">
        <f t="array" ref="J676">_xlfn.IFS(Append1[[#This Row],[weekday cnt]]=0,"Weekend",Append1[[#This Row],[weekday cnt]]=6,"Weekend",Append1[[#This Row],[weekday cnt]]&gt;0,"Weekday")</f>
        <v>Weekday</v>
      </c>
      <c r="K676">
        <v>1</v>
      </c>
      <c r="L676" t="str" cm="1">
        <f t="array" ref="L6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76">
        <v>2</v>
      </c>
      <c r="N676">
        <v>0.16</v>
      </c>
      <c r="O676">
        <f t="shared" si="0"/>
        <v>674</v>
      </c>
      <c r="P676">
        <f t="shared" si="1"/>
        <v>675</v>
      </c>
      <c r="Q676">
        <v>0.1515</v>
      </c>
      <c r="R676">
        <v>0.59</v>
      </c>
      <c r="S676">
        <v>0.19400000000000001</v>
      </c>
      <c r="T676">
        <v>1</v>
      </c>
      <c r="U676">
        <v>68</v>
      </c>
      <c r="V676">
        <v>69</v>
      </c>
    </row>
    <row r="677" spans="1:22" x14ac:dyDescent="0.3">
      <c r="A677">
        <v>676</v>
      </c>
      <c r="B677" s="1">
        <v>40574</v>
      </c>
      <c r="C677">
        <v>1</v>
      </c>
      <c r="D677">
        <v>0</v>
      </c>
      <c r="E677" t="str">
        <f>TEXT(Append1[[#This Row],[dteday]],"MMMM")</f>
        <v>January</v>
      </c>
      <c r="F677">
        <v>1</v>
      </c>
      <c r="G677">
        <v>11</v>
      </c>
      <c r="H677" t="b">
        <v>0</v>
      </c>
      <c r="I677" t="str">
        <f>TEXT(Append1[[#This Row],[dteday]],"DDDD")</f>
        <v>Monday</v>
      </c>
      <c r="J677" t="str" cm="1">
        <f t="array" ref="J677">_xlfn.IFS(Append1[[#This Row],[weekday cnt]]=0,"Weekend",Append1[[#This Row],[weekday cnt]]=6,"Weekend",Append1[[#This Row],[weekday cnt]]&gt;0,"Weekday")</f>
        <v>Weekday</v>
      </c>
      <c r="K677">
        <v>1</v>
      </c>
      <c r="L677" t="str" cm="1">
        <f t="array" ref="L6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77">
        <v>2</v>
      </c>
      <c r="N677">
        <v>0.16</v>
      </c>
      <c r="O677">
        <f t="shared" ref="O677:O740" si="2">O676+1</f>
        <v>675</v>
      </c>
      <c r="P677">
        <f t="shared" ref="P677:P740" si="3">P676+1</f>
        <v>676</v>
      </c>
      <c r="Q677">
        <v>0.1515</v>
      </c>
      <c r="R677">
        <v>0.59</v>
      </c>
      <c r="S677">
        <v>0.19400000000000001</v>
      </c>
      <c r="T677">
        <v>2</v>
      </c>
      <c r="U677">
        <v>46</v>
      </c>
      <c r="V677">
        <v>48</v>
      </c>
    </row>
    <row r="678" spans="1:22" x14ac:dyDescent="0.3">
      <c r="A678">
        <v>677</v>
      </c>
      <c r="B678" s="1">
        <v>40574</v>
      </c>
      <c r="C678">
        <v>1</v>
      </c>
      <c r="D678">
        <v>0</v>
      </c>
      <c r="E678" t="str">
        <f>TEXT(Append1[[#This Row],[dteday]],"MMMM")</f>
        <v>January</v>
      </c>
      <c r="F678">
        <v>1</v>
      </c>
      <c r="G678">
        <v>12</v>
      </c>
      <c r="H678" t="b">
        <v>0</v>
      </c>
      <c r="I678" t="str">
        <f>TEXT(Append1[[#This Row],[dteday]],"DDDD")</f>
        <v>Monday</v>
      </c>
      <c r="J678" t="str" cm="1">
        <f t="array" ref="J678">_xlfn.IFS(Append1[[#This Row],[weekday cnt]]=0,"Weekend",Append1[[#This Row],[weekday cnt]]=6,"Weekend",Append1[[#This Row],[weekday cnt]]&gt;0,"Weekday")</f>
        <v>Weekday</v>
      </c>
      <c r="K678">
        <v>1</v>
      </c>
      <c r="L678" t="str" cm="1">
        <f t="array" ref="L6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78">
        <v>2</v>
      </c>
      <c r="N678">
        <v>0.18</v>
      </c>
      <c r="O678">
        <f t="shared" si="2"/>
        <v>676</v>
      </c>
      <c r="P678">
        <f t="shared" si="3"/>
        <v>677</v>
      </c>
      <c r="Q678">
        <v>0.21210000000000001</v>
      </c>
      <c r="R678">
        <v>0.55000000000000004</v>
      </c>
      <c r="S678">
        <v>0.1045</v>
      </c>
      <c r="T678">
        <v>6</v>
      </c>
      <c r="U678">
        <v>62</v>
      </c>
      <c r="V678">
        <v>68</v>
      </c>
    </row>
    <row r="679" spans="1:22" x14ac:dyDescent="0.3">
      <c r="A679">
        <v>678</v>
      </c>
      <c r="B679" s="1">
        <v>40574</v>
      </c>
      <c r="C679">
        <v>1</v>
      </c>
      <c r="D679">
        <v>0</v>
      </c>
      <c r="E679" t="str">
        <f>TEXT(Append1[[#This Row],[dteday]],"MMMM")</f>
        <v>January</v>
      </c>
      <c r="F679">
        <v>1</v>
      </c>
      <c r="G679">
        <v>13</v>
      </c>
      <c r="H679" t="b">
        <v>0</v>
      </c>
      <c r="I679" t="str">
        <f>TEXT(Append1[[#This Row],[dteday]],"DDDD")</f>
        <v>Monday</v>
      </c>
      <c r="J679" t="str" cm="1">
        <f t="array" ref="J679">_xlfn.IFS(Append1[[#This Row],[weekday cnt]]=0,"Weekend",Append1[[#This Row],[weekday cnt]]=6,"Weekend",Append1[[#This Row],[weekday cnt]]&gt;0,"Weekday")</f>
        <v>Weekday</v>
      </c>
      <c r="K679">
        <v>1</v>
      </c>
      <c r="L679" t="str" cm="1">
        <f t="array" ref="L6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79">
        <v>2</v>
      </c>
      <c r="N679">
        <v>0.16</v>
      </c>
      <c r="O679">
        <f t="shared" si="2"/>
        <v>677</v>
      </c>
      <c r="P679">
        <f t="shared" si="3"/>
        <v>678</v>
      </c>
      <c r="Q679">
        <v>0.2273</v>
      </c>
      <c r="R679">
        <v>0.59</v>
      </c>
      <c r="S679">
        <v>0</v>
      </c>
      <c r="T679">
        <v>2</v>
      </c>
      <c r="U679">
        <v>52</v>
      </c>
      <c r="V679">
        <v>54</v>
      </c>
    </row>
    <row r="680" spans="1:22" x14ac:dyDescent="0.3">
      <c r="A680">
        <v>679</v>
      </c>
      <c r="B680" s="1">
        <v>40574</v>
      </c>
      <c r="C680">
        <v>1</v>
      </c>
      <c r="D680">
        <v>0</v>
      </c>
      <c r="E680" t="str">
        <f>TEXT(Append1[[#This Row],[dteday]],"MMMM")</f>
        <v>January</v>
      </c>
      <c r="F680">
        <v>1</v>
      </c>
      <c r="G680">
        <v>14</v>
      </c>
      <c r="H680" t="b">
        <v>0</v>
      </c>
      <c r="I680" t="str">
        <f>TEXT(Append1[[#This Row],[dteday]],"DDDD")</f>
        <v>Monday</v>
      </c>
      <c r="J680" t="str" cm="1">
        <f t="array" ref="J680">_xlfn.IFS(Append1[[#This Row],[weekday cnt]]=0,"Weekend",Append1[[#This Row],[weekday cnt]]=6,"Weekend",Append1[[#This Row],[weekday cnt]]&gt;0,"Weekday")</f>
        <v>Weekday</v>
      </c>
      <c r="K680">
        <v>1</v>
      </c>
      <c r="L680" t="str" cm="1">
        <f t="array" ref="L6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80">
        <v>2</v>
      </c>
      <c r="N680">
        <v>0.18</v>
      </c>
      <c r="O680">
        <f t="shared" si="2"/>
        <v>678</v>
      </c>
      <c r="P680">
        <f t="shared" si="3"/>
        <v>679</v>
      </c>
      <c r="Q680">
        <v>0.19700000000000001</v>
      </c>
      <c r="R680">
        <v>0.55000000000000004</v>
      </c>
      <c r="S680">
        <v>0.1343</v>
      </c>
      <c r="T680">
        <v>1</v>
      </c>
      <c r="U680">
        <v>85</v>
      </c>
      <c r="V680">
        <v>86</v>
      </c>
    </row>
    <row r="681" spans="1:22" x14ac:dyDescent="0.3">
      <c r="A681">
        <v>680</v>
      </c>
      <c r="B681" s="1">
        <v>40574</v>
      </c>
      <c r="C681">
        <v>1</v>
      </c>
      <c r="D681">
        <v>0</v>
      </c>
      <c r="E681" t="str">
        <f>TEXT(Append1[[#This Row],[dteday]],"MMMM")</f>
        <v>January</v>
      </c>
      <c r="F681">
        <v>1</v>
      </c>
      <c r="G681">
        <v>15</v>
      </c>
      <c r="H681" t="b">
        <v>0</v>
      </c>
      <c r="I681" t="str">
        <f>TEXT(Append1[[#This Row],[dteday]],"DDDD")</f>
        <v>Monday</v>
      </c>
      <c r="J681" t="str" cm="1">
        <f t="array" ref="J681">_xlfn.IFS(Append1[[#This Row],[weekday cnt]]=0,"Weekend",Append1[[#This Row],[weekday cnt]]=6,"Weekend",Append1[[#This Row],[weekday cnt]]&gt;0,"Weekday")</f>
        <v>Weekday</v>
      </c>
      <c r="K681">
        <v>1</v>
      </c>
      <c r="L681" t="str" cm="1">
        <f t="array" ref="L6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81">
        <v>2</v>
      </c>
      <c r="N681">
        <v>0.16</v>
      </c>
      <c r="O681">
        <f t="shared" si="2"/>
        <v>679</v>
      </c>
      <c r="P681">
        <f t="shared" si="3"/>
        <v>680</v>
      </c>
      <c r="Q681">
        <v>0.18179999999999999</v>
      </c>
      <c r="R681">
        <v>0.59</v>
      </c>
      <c r="S681">
        <v>0.1343</v>
      </c>
      <c r="T681">
        <v>3</v>
      </c>
      <c r="U681">
        <v>41</v>
      </c>
      <c r="V681">
        <v>44</v>
      </c>
    </row>
    <row r="682" spans="1:22" x14ac:dyDescent="0.3">
      <c r="A682">
        <v>681</v>
      </c>
      <c r="B682" s="1">
        <v>40574</v>
      </c>
      <c r="C682">
        <v>1</v>
      </c>
      <c r="D682">
        <v>0</v>
      </c>
      <c r="E682" t="str">
        <f>TEXT(Append1[[#This Row],[dteday]],"MMMM")</f>
        <v>January</v>
      </c>
      <c r="F682">
        <v>1</v>
      </c>
      <c r="G682">
        <v>16</v>
      </c>
      <c r="H682" t="b">
        <v>0</v>
      </c>
      <c r="I682" t="str">
        <f>TEXT(Append1[[#This Row],[dteday]],"DDDD")</f>
        <v>Monday</v>
      </c>
      <c r="J682" t="str" cm="1">
        <f t="array" ref="J682">_xlfn.IFS(Append1[[#This Row],[weekday cnt]]=0,"Weekend",Append1[[#This Row],[weekday cnt]]=6,"Weekend",Append1[[#This Row],[weekday cnt]]&gt;0,"Weekday")</f>
        <v>Weekday</v>
      </c>
      <c r="K682">
        <v>1</v>
      </c>
      <c r="L682" t="str" cm="1">
        <f t="array" ref="L6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82">
        <v>2</v>
      </c>
      <c r="N682">
        <v>0.16</v>
      </c>
      <c r="O682">
        <f t="shared" si="2"/>
        <v>680</v>
      </c>
      <c r="P682">
        <f t="shared" si="3"/>
        <v>681</v>
      </c>
      <c r="Q682">
        <v>0.18179999999999999</v>
      </c>
      <c r="R682">
        <v>0.56000000000000005</v>
      </c>
      <c r="S682">
        <v>0.19400000000000001</v>
      </c>
      <c r="T682">
        <v>3</v>
      </c>
      <c r="U682">
        <v>83</v>
      </c>
      <c r="V682">
        <v>86</v>
      </c>
    </row>
    <row r="683" spans="1:22" x14ac:dyDescent="0.3">
      <c r="A683">
        <v>682</v>
      </c>
      <c r="B683" s="1">
        <v>40574</v>
      </c>
      <c r="C683">
        <v>1</v>
      </c>
      <c r="D683">
        <v>0</v>
      </c>
      <c r="E683" t="str">
        <f>TEXT(Append1[[#This Row],[dteday]],"MMMM")</f>
        <v>January</v>
      </c>
      <c r="F683">
        <v>1</v>
      </c>
      <c r="G683">
        <v>17</v>
      </c>
      <c r="H683" t="b">
        <v>0</v>
      </c>
      <c r="I683" t="str">
        <f>TEXT(Append1[[#This Row],[dteday]],"DDDD")</f>
        <v>Monday</v>
      </c>
      <c r="J683" t="str" cm="1">
        <f t="array" ref="J683">_xlfn.IFS(Append1[[#This Row],[weekday cnt]]=0,"Weekend",Append1[[#This Row],[weekday cnt]]=6,"Weekend",Append1[[#This Row],[weekday cnt]]&gt;0,"Weekday")</f>
        <v>Weekday</v>
      </c>
      <c r="K683">
        <v>1</v>
      </c>
      <c r="L683" t="str" cm="1">
        <f t="array" ref="L6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83">
        <v>2</v>
      </c>
      <c r="N683">
        <v>0.16</v>
      </c>
      <c r="O683">
        <f t="shared" si="2"/>
        <v>681</v>
      </c>
      <c r="P683">
        <f t="shared" si="3"/>
        <v>682</v>
      </c>
      <c r="Q683">
        <v>0.1515</v>
      </c>
      <c r="R683">
        <v>0.59</v>
      </c>
      <c r="S683">
        <v>0.19400000000000001</v>
      </c>
      <c r="T683">
        <v>6</v>
      </c>
      <c r="U683">
        <v>155</v>
      </c>
      <c r="V683">
        <v>161</v>
      </c>
    </row>
    <row r="684" spans="1:22" x14ac:dyDescent="0.3">
      <c r="A684">
        <v>683</v>
      </c>
      <c r="B684" s="1">
        <v>40574</v>
      </c>
      <c r="C684">
        <v>1</v>
      </c>
      <c r="D684">
        <v>0</v>
      </c>
      <c r="E684" t="str">
        <f>TEXT(Append1[[#This Row],[dteday]],"MMMM")</f>
        <v>January</v>
      </c>
      <c r="F684">
        <v>1</v>
      </c>
      <c r="G684">
        <v>18</v>
      </c>
      <c r="H684" t="b">
        <v>0</v>
      </c>
      <c r="I684" t="str">
        <f>TEXT(Append1[[#This Row],[dteday]],"DDDD")</f>
        <v>Monday</v>
      </c>
      <c r="J684" t="str" cm="1">
        <f t="array" ref="J684">_xlfn.IFS(Append1[[#This Row],[weekday cnt]]=0,"Weekend",Append1[[#This Row],[weekday cnt]]=6,"Weekend",Append1[[#This Row],[weekday cnt]]&gt;0,"Weekday")</f>
        <v>Weekday</v>
      </c>
      <c r="K684">
        <v>1</v>
      </c>
      <c r="L684" t="str" cm="1">
        <f t="array" ref="L6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84">
        <v>2</v>
      </c>
      <c r="N684">
        <v>0.16</v>
      </c>
      <c r="O684">
        <f t="shared" si="2"/>
        <v>682</v>
      </c>
      <c r="P684">
        <f t="shared" si="3"/>
        <v>683</v>
      </c>
      <c r="Q684">
        <v>0.1515</v>
      </c>
      <c r="R684">
        <v>0.55000000000000004</v>
      </c>
      <c r="S684">
        <v>0.22389999999999999</v>
      </c>
      <c r="T684">
        <v>3</v>
      </c>
      <c r="U684">
        <v>153</v>
      </c>
      <c r="V684">
        <v>156</v>
      </c>
    </row>
    <row r="685" spans="1:22" x14ac:dyDescent="0.3">
      <c r="A685">
        <v>684</v>
      </c>
      <c r="B685" s="1">
        <v>40574</v>
      </c>
      <c r="C685">
        <v>1</v>
      </c>
      <c r="D685">
        <v>0</v>
      </c>
      <c r="E685" t="str">
        <f>TEXT(Append1[[#This Row],[dteday]],"MMMM")</f>
        <v>January</v>
      </c>
      <c r="F685">
        <v>1</v>
      </c>
      <c r="G685">
        <v>19</v>
      </c>
      <c r="H685" t="b">
        <v>0</v>
      </c>
      <c r="I685" t="str">
        <f>TEXT(Append1[[#This Row],[dteday]],"DDDD")</f>
        <v>Monday</v>
      </c>
      <c r="J685" t="str" cm="1">
        <f t="array" ref="J685">_xlfn.IFS(Append1[[#This Row],[weekday cnt]]=0,"Weekend",Append1[[#This Row],[weekday cnt]]=6,"Weekend",Append1[[#This Row],[weekday cnt]]&gt;0,"Weekday")</f>
        <v>Weekday</v>
      </c>
      <c r="K685">
        <v>1</v>
      </c>
      <c r="L685" t="str" cm="1">
        <f t="array" ref="L6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685">
        <v>1</v>
      </c>
      <c r="N685">
        <v>0.3</v>
      </c>
      <c r="O685">
        <f t="shared" si="2"/>
        <v>683</v>
      </c>
      <c r="P685">
        <f t="shared" si="3"/>
        <v>684</v>
      </c>
      <c r="Q685">
        <v>0.31819999999999998</v>
      </c>
      <c r="R685">
        <v>0.61</v>
      </c>
      <c r="S685">
        <v>0.1045</v>
      </c>
      <c r="T685">
        <v>3</v>
      </c>
      <c r="U685">
        <v>108</v>
      </c>
      <c r="V685">
        <v>111</v>
      </c>
    </row>
    <row r="686" spans="1:22" x14ac:dyDescent="0.3">
      <c r="A686">
        <v>685</v>
      </c>
      <c r="B686" s="1">
        <v>40574</v>
      </c>
      <c r="C686">
        <v>1</v>
      </c>
      <c r="D686">
        <v>0</v>
      </c>
      <c r="E686" t="str">
        <f>TEXT(Append1[[#This Row],[dteday]],"MMMM")</f>
        <v>January</v>
      </c>
      <c r="F686">
        <v>1</v>
      </c>
      <c r="G686">
        <v>20</v>
      </c>
      <c r="H686" t="b">
        <v>0</v>
      </c>
      <c r="I686" t="str">
        <f>TEXT(Append1[[#This Row],[dteday]],"DDDD")</f>
        <v>Monday</v>
      </c>
      <c r="J686" t="str" cm="1">
        <f t="array" ref="J686">_xlfn.IFS(Append1[[#This Row],[weekday cnt]]=0,"Weekend",Append1[[#This Row],[weekday cnt]]=6,"Weekend",Append1[[#This Row],[weekday cnt]]&gt;0,"Weekday")</f>
        <v>Weekday</v>
      </c>
      <c r="K686">
        <v>1</v>
      </c>
      <c r="L686" t="str" cm="1">
        <f t="array" ref="L6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86">
        <v>3</v>
      </c>
      <c r="N686">
        <v>0.16</v>
      </c>
      <c r="O686">
        <f t="shared" si="2"/>
        <v>684</v>
      </c>
      <c r="P686">
        <f t="shared" si="3"/>
        <v>685</v>
      </c>
      <c r="Q686">
        <v>0.16669999999999999</v>
      </c>
      <c r="R686">
        <v>0.59</v>
      </c>
      <c r="S686">
        <v>0.16420000000000001</v>
      </c>
      <c r="T686">
        <v>0</v>
      </c>
      <c r="U686">
        <v>78</v>
      </c>
      <c r="V686">
        <v>78</v>
      </c>
    </row>
    <row r="687" spans="1:22" x14ac:dyDescent="0.3">
      <c r="A687">
        <v>686</v>
      </c>
      <c r="B687" s="1">
        <v>40574</v>
      </c>
      <c r="C687">
        <v>1</v>
      </c>
      <c r="D687">
        <v>0</v>
      </c>
      <c r="E687" t="str">
        <f>TEXT(Append1[[#This Row],[dteday]],"MMMM")</f>
        <v>January</v>
      </c>
      <c r="F687">
        <v>1</v>
      </c>
      <c r="G687">
        <v>21</v>
      </c>
      <c r="H687" t="b">
        <v>0</v>
      </c>
      <c r="I687" t="str">
        <f>TEXT(Append1[[#This Row],[dteday]],"DDDD")</f>
        <v>Monday</v>
      </c>
      <c r="J687" t="str" cm="1">
        <f t="array" ref="J687">_xlfn.IFS(Append1[[#This Row],[weekday cnt]]=0,"Weekend",Append1[[#This Row],[weekday cnt]]=6,"Weekend",Append1[[#This Row],[weekday cnt]]&gt;0,"Weekday")</f>
        <v>Weekday</v>
      </c>
      <c r="K687">
        <v>1</v>
      </c>
      <c r="L687" t="str" cm="1">
        <f t="array" ref="L6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87">
        <v>3</v>
      </c>
      <c r="N687">
        <v>0.16</v>
      </c>
      <c r="O687">
        <f t="shared" si="2"/>
        <v>685</v>
      </c>
      <c r="P687">
        <f t="shared" si="3"/>
        <v>686</v>
      </c>
      <c r="Q687">
        <v>0.19700000000000001</v>
      </c>
      <c r="R687">
        <v>0.59</v>
      </c>
      <c r="S687">
        <v>8.9599999999999999E-2</v>
      </c>
      <c r="T687">
        <v>3</v>
      </c>
      <c r="U687">
        <v>53</v>
      </c>
      <c r="V687">
        <v>56</v>
      </c>
    </row>
    <row r="688" spans="1:22" x14ac:dyDescent="0.3">
      <c r="A688">
        <v>687</v>
      </c>
      <c r="B688" s="1">
        <v>40574</v>
      </c>
      <c r="C688">
        <v>1</v>
      </c>
      <c r="D688">
        <v>0</v>
      </c>
      <c r="E688" t="str">
        <f>TEXT(Append1[[#This Row],[dteday]],"MMMM")</f>
        <v>January</v>
      </c>
      <c r="F688">
        <v>1</v>
      </c>
      <c r="G688">
        <v>22</v>
      </c>
      <c r="H688" t="b">
        <v>0</v>
      </c>
      <c r="I688" t="str">
        <f>TEXT(Append1[[#This Row],[dteday]],"DDDD")</f>
        <v>Monday</v>
      </c>
      <c r="J688" t="str" cm="1">
        <f t="array" ref="J688">_xlfn.IFS(Append1[[#This Row],[weekday cnt]]=0,"Weekend",Append1[[#This Row],[weekday cnt]]=6,"Weekend",Append1[[#This Row],[weekday cnt]]&gt;0,"Weekday")</f>
        <v>Weekday</v>
      </c>
      <c r="K688">
        <v>1</v>
      </c>
      <c r="L688" t="str" cm="1">
        <f t="array" ref="L6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88">
        <v>2</v>
      </c>
      <c r="N688">
        <v>0.16</v>
      </c>
      <c r="O688">
        <f t="shared" si="2"/>
        <v>686</v>
      </c>
      <c r="P688">
        <f t="shared" si="3"/>
        <v>687</v>
      </c>
      <c r="Q688">
        <v>0.18179999999999999</v>
      </c>
      <c r="R688">
        <v>0.59</v>
      </c>
      <c r="S688">
        <v>0.1045</v>
      </c>
      <c r="T688">
        <v>0</v>
      </c>
      <c r="U688">
        <v>34</v>
      </c>
      <c r="V688">
        <v>34</v>
      </c>
    </row>
    <row r="689" spans="1:22" x14ac:dyDescent="0.3">
      <c r="A689">
        <v>688</v>
      </c>
      <c r="B689" s="1">
        <v>40574</v>
      </c>
      <c r="C689">
        <v>1</v>
      </c>
      <c r="D689">
        <v>0</v>
      </c>
      <c r="E689" t="str">
        <f>TEXT(Append1[[#This Row],[dteday]],"MMMM")</f>
        <v>January</v>
      </c>
      <c r="F689">
        <v>1</v>
      </c>
      <c r="G689">
        <v>23</v>
      </c>
      <c r="H689" t="b">
        <v>0</v>
      </c>
      <c r="I689" t="str">
        <f>TEXT(Append1[[#This Row],[dteday]],"DDDD")</f>
        <v>Monday</v>
      </c>
      <c r="J689" t="str" cm="1">
        <f t="array" ref="J689">_xlfn.IFS(Append1[[#This Row],[weekday cnt]]=0,"Weekend",Append1[[#This Row],[weekday cnt]]=6,"Weekend",Append1[[#This Row],[weekday cnt]]&gt;0,"Weekday")</f>
        <v>Weekday</v>
      </c>
      <c r="K689">
        <v>1</v>
      </c>
      <c r="L689" t="str" cm="1">
        <f t="array" ref="L6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89">
        <v>2</v>
      </c>
      <c r="N689">
        <v>0.16</v>
      </c>
      <c r="O689">
        <f t="shared" si="2"/>
        <v>687</v>
      </c>
      <c r="P689">
        <f t="shared" si="3"/>
        <v>688</v>
      </c>
      <c r="Q689">
        <v>0.19700000000000001</v>
      </c>
      <c r="R689">
        <v>0.64</v>
      </c>
      <c r="S689">
        <v>8.9599999999999999E-2</v>
      </c>
      <c r="T689">
        <v>2</v>
      </c>
      <c r="U689">
        <v>15</v>
      </c>
      <c r="V689">
        <v>17</v>
      </c>
    </row>
    <row r="690" spans="1:22" x14ac:dyDescent="0.3">
      <c r="A690">
        <v>689</v>
      </c>
      <c r="B690" s="1">
        <v>40575</v>
      </c>
      <c r="C690">
        <v>1</v>
      </c>
      <c r="D690">
        <v>0</v>
      </c>
      <c r="E690" t="str">
        <f>TEXT(Append1[[#This Row],[dteday]],"MMMM")</f>
        <v>February</v>
      </c>
      <c r="F690">
        <v>2</v>
      </c>
      <c r="G690">
        <v>0</v>
      </c>
      <c r="H690" t="b">
        <v>0</v>
      </c>
      <c r="I690" t="str">
        <f>TEXT(Append1[[#This Row],[dteday]],"DDDD")</f>
        <v>Tuesday</v>
      </c>
      <c r="J690" t="str" cm="1">
        <f t="array" ref="J690">_xlfn.IFS(Append1[[#This Row],[weekday cnt]]=0,"Weekend",Append1[[#This Row],[weekday cnt]]=6,"Weekend",Append1[[#This Row],[weekday cnt]]&gt;0,"Weekday")</f>
        <v>Weekday</v>
      </c>
      <c r="K690">
        <v>2</v>
      </c>
      <c r="L690" t="str" cm="1">
        <f t="array" ref="L6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90">
        <v>2</v>
      </c>
      <c r="N690">
        <v>0.16</v>
      </c>
      <c r="O690">
        <f t="shared" si="2"/>
        <v>688</v>
      </c>
      <c r="P690">
        <f t="shared" si="3"/>
        <v>689</v>
      </c>
      <c r="Q690">
        <v>0.18179999999999999</v>
      </c>
      <c r="R690">
        <v>0.64</v>
      </c>
      <c r="S690">
        <v>0.1045</v>
      </c>
      <c r="T690">
        <v>2</v>
      </c>
      <c r="U690">
        <v>6</v>
      </c>
      <c r="V690">
        <v>8</v>
      </c>
    </row>
    <row r="691" spans="1:22" x14ac:dyDescent="0.3">
      <c r="A691">
        <v>690</v>
      </c>
      <c r="B691" s="1">
        <v>40575</v>
      </c>
      <c r="C691">
        <v>1</v>
      </c>
      <c r="D691">
        <v>0</v>
      </c>
      <c r="E691" t="str">
        <f>TEXT(Append1[[#This Row],[dteday]],"MMMM")</f>
        <v>February</v>
      </c>
      <c r="F691">
        <v>2</v>
      </c>
      <c r="G691">
        <v>1</v>
      </c>
      <c r="H691" t="b">
        <v>0</v>
      </c>
      <c r="I691" t="str">
        <f>TEXT(Append1[[#This Row],[dteday]],"DDDD")</f>
        <v>Tuesday</v>
      </c>
      <c r="J691" t="str" cm="1">
        <f t="array" ref="J691">_xlfn.IFS(Append1[[#This Row],[weekday cnt]]=0,"Weekend",Append1[[#This Row],[weekday cnt]]=6,"Weekend",Append1[[#This Row],[weekday cnt]]&gt;0,"Weekday")</f>
        <v>Weekday</v>
      </c>
      <c r="K691">
        <v>2</v>
      </c>
      <c r="L691" t="str" cm="1">
        <f t="array" ref="L6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91">
        <v>2</v>
      </c>
      <c r="N691">
        <v>0.16</v>
      </c>
      <c r="O691">
        <f t="shared" si="2"/>
        <v>689</v>
      </c>
      <c r="P691">
        <f t="shared" si="3"/>
        <v>690</v>
      </c>
      <c r="Q691">
        <v>0.18179999999999999</v>
      </c>
      <c r="R691">
        <v>0.69</v>
      </c>
      <c r="S691">
        <v>0.1045</v>
      </c>
      <c r="T691">
        <v>0</v>
      </c>
      <c r="U691">
        <v>3</v>
      </c>
      <c r="V691">
        <v>3</v>
      </c>
    </row>
    <row r="692" spans="1:22" x14ac:dyDescent="0.3">
      <c r="A692">
        <v>691</v>
      </c>
      <c r="B692" s="1">
        <v>40575</v>
      </c>
      <c r="C692">
        <v>1</v>
      </c>
      <c r="D692">
        <v>0</v>
      </c>
      <c r="E692" t="str">
        <f>TEXT(Append1[[#This Row],[dteday]],"MMMM")</f>
        <v>February</v>
      </c>
      <c r="F692">
        <v>2</v>
      </c>
      <c r="G692">
        <v>2</v>
      </c>
      <c r="H692" t="b">
        <v>0</v>
      </c>
      <c r="I692" t="str">
        <f>TEXT(Append1[[#This Row],[dteday]],"DDDD")</f>
        <v>Tuesday</v>
      </c>
      <c r="J692" t="str" cm="1">
        <f t="array" ref="J692">_xlfn.IFS(Append1[[#This Row],[weekday cnt]]=0,"Weekend",Append1[[#This Row],[weekday cnt]]=6,"Weekend",Append1[[#This Row],[weekday cnt]]&gt;0,"Weekday")</f>
        <v>Weekday</v>
      </c>
      <c r="K692">
        <v>2</v>
      </c>
      <c r="L692" t="str" cm="1">
        <f t="array" ref="L6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92">
        <v>2</v>
      </c>
      <c r="N692">
        <v>0.16</v>
      </c>
      <c r="O692">
        <f t="shared" si="2"/>
        <v>690</v>
      </c>
      <c r="P692">
        <f t="shared" si="3"/>
        <v>691</v>
      </c>
      <c r="Q692">
        <v>0.2273</v>
      </c>
      <c r="R692">
        <v>0.69</v>
      </c>
      <c r="S692">
        <v>0</v>
      </c>
      <c r="T692">
        <v>0</v>
      </c>
      <c r="U692">
        <v>2</v>
      </c>
      <c r="V692">
        <v>2</v>
      </c>
    </row>
    <row r="693" spans="1:22" x14ac:dyDescent="0.3">
      <c r="A693">
        <v>692</v>
      </c>
      <c r="B693" s="1">
        <v>40575</v>
      </c>
      <c r="C693">
        <v>1</v>
      </c>
      <c r="D693">
        <v>0</v>
      </c>
      <c r="E693" t="str">
        <f>TEXT(Append1[[#This Row],[dteday]],"MMMM")</f>
        <v>February</v>
      </c>
      <c r="F693">
        <v>2</v>
      </c>
      <c r="G693">
        <v>3</v>
      </c>
      <c r="H693" t="b">
        <v>0</v>
      </c>
      <c r="I693" t="str">
        <f>TEXT(Append1[[#This Row],[dteday]],"DDDD")</f>
        <v>Tuesday</v>
      </c>
      <c r="J693" t="str" cm="1">
        <f t="array" ref="J693">_xlfn.IFS(Append1[[#This Row],[weekday cnt]]=0,"Weekend",Append1[[#This Row],[weekday cnt]]=6,"Weekend",Append1[[#This Row],[weekday cnt]]&gt;0,"Weekday")</f>
        <v>Weekday</v>
      </c>
      <c r="K693">
        <v>2</v>
      </c>
      <c r="L693" t="str" cm="1">
        <f t="array" ref="L6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93">
        <v>2</v>
      </c>
      <c r="N693">
        <v>0.16</v>
      </c>
      <c r="O693">
        <f t="shared" si="2"/>
        <v>691</v>
      </c>
      <c r="P693">
        <f t="shared" si="3"/>
        <v>692</v>
      </c>
      <c r="Q693">
        <v>0.2273</v>
      </c>
      <c r="R693">
        <v>0.69</v>
      </c>
      <c r="S693">
        <v>0</v>
      </c>
      <c r="T693">
        <v>0</v>
      </c>
      <c r="U693">
        <v>2</v>
      </c>
      <c r="V693">
        <v>2</v>
      </c>
    </row>
    <row r="694" spans="1:22" x14ac:dyDescent="0.3">
      <c r="A694">
        <v>693</v>
      </c>
      <c r="B694" s="1">
        <v>40575</v>
      </c>
      <c r="C694">
        <v>1</v>
      </c>
      <c r="D694">
        <v>0</v>
      </c>
      <c r="E694" t="str">
        <f>TEXT(Append1[[#This Row],[dteday]],"MMMM")</f>
        <v>February</v>
      </c>
      <c r="F694">
        <v>2</v>
      </c>
      <c r="G694">
        <v>5</v>
      </c>
      <c r="H694" t="b">
        <v>0</v>
      </c>
      <c r="I694" t="str">
        <f>TEXT(Append1[[#This Row],[dteday]],"DDDD")</f>
        <v>Tuesday</v>
      </c>
      <c r="J694" t="str" cm="1">
        <f t="array" ref="J694">_xlfn.IFS(Append1[[#This Row],[weekday cnt]]=0,"Weekend",Append1[[#This Row],[weekday cnt]]=6,"Weekend",Append1[[#This Row],[weekday cnt]]&gt;0,"Weekday")</f>
        <v>Weekday</v>
      </c>
      <c r="K694">
        <v>2</v>
      </c>
      <c r="L694" t="str" cm="1">
        <f t="array" ref="L6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94">
        <v>3</v>
      </c>
      <c r="N694">
        <v>0.14000000000000001</v>
      </c>
      <c r="O694">
        <f t="shared" si="2"/>
        <v>692</v>
      </c>
      <c r="P694">
        <f t="shared" si="3"/>
        <v>693</v>
      </c>
      <c r="Q694">
        <v>0.21210000000000001</v>
      </c>
      <c r="R694">
        <v>0.93</v>
      </c>
      <c r="S694">
        <v>0</v>
      </c>
      <c r="T694">
        <v>0</v>
      </c>
      <c r="U694">
        <v>3</v>
      </c>
      <c r="V694">
        <v>3</v>
      </c>
    </row>
    <row r="695" spans="1:22" x14ac:dyDescent="0.3">
      <c r="A695">
        <v>694</v>
      </c>
      <c r="B695" s="1">
        <v>40575</v>
      </c>
      <c r="C695">
        <v>1</v>
      </c>
      <c r="D695">
        <v>0</v>
      </c>
      <c r="E695" t="str">
        <f>TEXT(Append1[[#This Row],[dteday]],"MMMM")</f>
        <v>February</v>
      </c>
      <c r="F695">
        <v>2</v>
      </c>
      <c r="G695">
        <v>6</v>
      </c>
      <c r="H695" t="b">
        <v>0</v>
      </c>
      <c r="I695" t="str">
        <f>TEXT(Append1[[#This Row],[dteday]],"DDDD")</f>
        <v>Tuesday</v>
      </c>
      <c r="J695" t="str" cm="1">
        <f t="array" ref="J695">_xlfn.IFS(Append1[[#This Row],[weekday cnt]]=0,"Weekend",Append1[[#This Row],[weekday cnt]]=6,"Weekend",Append1[[#This Row],[weekday cnt]]&gt;0,"Weekday")</f>
        <v>Weekday</v>
      </c>
      <c r="K695">
        <v>2</v>
      </c>
      <c r="L695" t="str" cm="1">
        <f t="array" ref="L6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95">
        <v>3</v>
      </c>
      <c r="N695">
        <v>0.14000000000000001</v>
      </c>
      <c r="O695">
        <f t="shared" si="2"/>
        <v>693</v>
      </c>
      <c r="P695">
        <f t="shared" si="3"/>
        <v>694</v>
      </c>
      <c r="Q695">
        <v>0.21210000000000001</v>
      </c>
      <c r="R695">
        <v>0.93</v>
      </c>
      <c r="S695">
        <v>0</v>
      </c>
      <c r="T695">
        <v>0</v>
      </c>
      <c r="U695">
        <v>22</v>
      </c>
      <c r="V695">
        <v>22</v>
      </c>
    </row>
    <row r="696" spans="1:22" x14ac:dyDescent="0.3">
      <c r="A696">
        <v>695</v>
      </c>
      <c r="B696" s="1">
        <v>40575</v>
      </c>
      <c r="C696">
        <v>1</v>
      </c>
      <c r="D696">
        <v>0</v>
      </c>
      <c r="E696" t="str">
        <f>TEXT(Append1[[#This Row],[dteday]],"MMMM")</f>
        <v>February</v>
      </c>
      <c r="F696">
        <v>2</v>
      </c>
      <c r="G696">
        <v>7</v>
      </c>
      <c r="H696" t="b">
        <v>0</v>
      </c>
      <c r="I696" t="str">
        <f>TEXT(Append1[[#This Row],[dteday]],"DDDD")</f>
        <v>Tuesday</v>
      </c>
      <c r="J696" t="str" cm="1">
        <f t="array" ref="J696">_xlfn.IFS(Append1[[#This Row],[weekday cnt]]=0,"Weekend",Append1[[#This Row],[weekday cnt]]=6,"Weekend",Append1[[#This Row],[weekday cnt]]&gt;0,"Weekday")</f>
        <v>Weekday</v>
      </c>
      <c r="K696">
        <v>2</v>
      </c>
      <c r="L696" t="str" cm="1">
        <f t="array" ref="L6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96">
        <v>3</v>
      </c>
      <c r="N696">
        <v>0.16</v>
      </c>
      <c r="O696">
        <f t="shared" si="2"/>
        <v>694</v>
      </c>
      <c r="P696">
        <f t="shared" si="3"/>
        <v>695</v>
      </c>
      <c r="Q696">
        <v>0.2273</v>
      </c>
      <c r="R696">
        <v>0.93</v>
      </c>
      <c r="S696">
        <v>0</v>
      </c>
      <c r="T696">
        <v>0</v>
      </c>
      <c r="U696">
        <v>52</v>
      </c>
      <c r="V696">
        <v>52</v>
      </c>
    </row>
    <row r="697" spans="1:22" x14ac:dyDescent="0.3">
      <c r="A697">
        <v>696</v>
      </c>
      <c r="B697" s="1">
        <v>40575</v>
      </c>
      <c r="C697">
        <v>1</v>
      </c>
      <c r="D697">
        <v>0</v>
      </c>
      <c r="E697" t="str">
        <f>TEXT(Append1[[#This Row],[dteday]],"MMMM")</f>
        <v>February</v>
      </c>
      <c r="F697">
        <v>2</v>
      </c>
      <c r="G697">
        <v>8</v>
      </c>
      <c r="H697" t="b">
        <v>0</v>
      </c>
      <c r="I697" t="str">
        <f>TEXT(Append1[[#This Row],[dteday]],"DDDD")</f>
        <v>Tuesday</v>
      </c>
      <c r="J697" t="str" cm="1">
        <f t="array" ref="J697">_xlfn.IFS(Append1[[#This Row],[weekday cnt]]=0,"Weekend",Append1[[#This Row],[weekday cnt]]=6,"Weekend",Append1[[#This Row],[weekday cnt]]&gt;0,"Weekday")</f>
        <v>Weekday</v>
      </c>
      <c r="K697">
        <v>2</v>
      </c>
      <c r="L697" t="str" cm="1">
        <f t="array" ref="L6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697">
        <v>3</v>
      </c>
      <c r="N697">
        <v>0.16</v>
      </c>
      <c r="O697">
        <f t="shared" si="2"/>
        <v>695</v>
      </c>
      <c r="P697">
        <f t="shared" si="3"/>
        <v>696</v>
      </c>
      <c r="Q697">
        <v>0.2273</v>
      </c>
      <c r="R697">
        <v>0.93</v>
      </c>
      <c r="S697">
        <v>0</v>
      </c>
      <c r="T697">
        <v>3</v>
      </c>
      <c r="U697">
        <v>132</v>
      </c>
      <c r="V697">
        <v>135</v>
      </c>
    </row>
    <row r="698" spans="1:22" x14ac:dyDescent="0.3">
      <c r="A698">
        <v>697</v>
      </c>
      <c r="B698" s="1">
        <v>40575</v>
      </c>
      <c r="C698">
        <v>1</v>
      </c>
      <c r="D698">
        <v>0</v>
      </c>
      <c r="E698" t="str">
        <f>TEXT(Append1[[#This Row],[dteday]],"MMMM")</f>
        <v>February</v>
      </c>
      <c r="F698">
        <v>2</v>
      </c>
      <c r="G698">
        <v>9</v>
      </c>
      <c r="H698" t="b">
        <v>0</v>
      </c>
      <c r="I698" t="str">
        <f>TEXT(Append1[[#This Row],[dteday]],"DDDD")</f>
        <v>Tuesday</v>
      </c>
      <c r="J698" t="str" cm="1">
        <f t="array" ref="J698">_xlfn.IFS(Append1[[#This Row],[weekday cnt]]=0,"Weekend",Append1[[#This Row],[weekday cnt]]=6,"Weekend",Append1[[#This Row],[weekday cnt]]&gt;0,"Weekday")</f>
        <v>Weekday</v>
      </c>
      <c r="K698">
        <v>2</v>
      </c>
      <c r="L698" t="str" cm="1">
        <f t="array" ref="L6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98">
        <v>2</v>
      </c>
      <c r="N698">
        <v>0.16</v>
      </c>
      <c r="O698">
        <f t="shared" si="2"/>
        <v>696</v>
      </c>
      <c r="P698">
        <f t="shared" si="3"/>
        <v>697</v>
      </c>
      <c r="Q698">
        <v>0.2273</v>
      </c>
      <c r="R698">
        <v>0.93</v>
      </c>
      <c r="S698">
        <v>0</v>
      </c>
      <c r="T698">
        <v>2</v>
      </c>
      <c r="U698">
        <v>114</v>
      </c>
      <c r="V698">
        <v>116</v>
      </c>
    </row>
    <row r="699" spans="1:22" x14ac:dyDescent="0.3">
      <c r="A699">
        <v>698</v>
      </c>
      <c r="B699" s="1">
        <v>40575</v>
      </c>
      <c r="C699">
        <v>1</v>
      </c>
      <c r="D699">
        <v>0</v>
      </c>
      <c r="E699" t="str">
        <f>TEXT(Append1[[#This Row],[dteday]],"MMMM")</f>
        <v>February</v>
      </c>
      <c r="F699">
        <v>2</v>
      </c>
      <c r="G699">
        <v>10</v>
      </c>
      <c r="H699" t="b">
        <v>0</v>
      </c>
      <c r="I699" t="str">
        <f>TEXT(Append1[[#This Row],[dteday]],"DDDD")</f>
        <v>Tuesday</v>
      </c>
      <c r="J699" t="str" cm="1">
        <f t="array" ref="J699">_xlfn.IFS(Append1[[#This Row],[weekday cnt]]=0,"Weekend",Append1[[#This Row],[weekday cnt]]=6,"Weekend",Append1[[#This Row],[weekday cnt]]&gt;0,"Weekday")</f>
        <v>Weekday</v>
      </c>
      <c r="K699">
        <v>2</v>
      </c>
      <c r="L699" t="str" cm="1">
        <f t="array" ref="L6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699">
        <v>2</v>
      </c>
      <c r="N699">
        <v>0.16</v>
      </c>
      <c r="O699">
        <f t="shared" si="2"/>
        <v>697</v>
      </c>
      <c r="P699">
        <f t="shared" si="3"/>
        <v>698</v>
      </c>
      <c r="Q699">
        <v>0.2273</v>
      </c>
      <c r="R699">
        <v>0.93</v>
      </c>
      <c r="S699">
        <v>0</v>
      </c>
      <c r="T699">
        <v>0</v>
      </c>
      <c r="U699">
        <v>47</v>
      </c>
      <c r="V699">
        <v>47</v>
      </c>
    </row>
    <row r="700" spans="1:22" x14ac:dyDescent="0.3">
      <c r="A700">
        <v>699</v>
      </c>
      <c r="B700" s="1">
        <v>40575</v>
      </c>
      <c r="C700">
        <v>1</v>
      </c>
      <c r="D700">
        <v>0</v>
      </c>
      <c r="E700" t="str">
        <f>TEXT(Append1[[#This Row],[dteday]],"MMMM")</f>
        <v>February</v>
      </c>
      <c r="F700">
        <v>2</v>
      </c>
      <c r="G700">
        <v>11</v>
      </c>
      <c r="H700" t="b">
        <v>0</v>
      </c>
      <c r="I700" t="str">
        <f>TEXT(Append1[[#This Row],[dteday]],"DDDD")</f>
        <v>Tuesday</v>
      </c>
      <c r="J700" t="str" cm="1">
        <f t="array" ref="J700">_xlfn.IFS(Append1[[#This Row],[weekday cnt]]=0,"Weekend",Append1[[#This Row],[weekday cnt]]=6,"Weekend",Append1[[#This Row],[weekday cnt]]&gt;0,"Weekday")</f>
        <v>Weekday</v>
      </c>
      <c r="K700">
        <v>2</v>
      </c>
      <c r="L700" t="str" cm="1">
        <f t="array" ref="L7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0">
        <v>2</v>
      </c>
      <c r="N700">
        <v>0.18</v>
      </c>
      <c r="O700">
        <f t="shared" si="2"/>
        <v>698</v>
      </c>
      <c r="P700">
        <f t="shared" si="3"/>
        <v>699</v>
      </c>
      <c r="Q700">
        <v>0.2424</v>
      </c>
      <c r="R700">
        <v>0.86</v>
      </c>
      <c r="S700">
        <v>0</v>
      </c>
      <c r="T700">
        <v>2</v>
      </c>
      <c r="U700">
        <v>49</v>
      </c>
      <c r="V700">
        <v>51</v>
      </c>
    </row>
    <row r="701" spans="1:22" x14ac:dyDescent="0.3">
      <c r="A701">
        <v>700</v>
      </c>
      <c r="B701" s="1">
        <v>40575</v>
      </c>
      <c r="C701">
        <v>1</v>
      </c>
      <c r="D701">
        <v>0</v>
      </c>
      <c r="E701" t="str">
        <f>TEXT(Append1[[#This Row],[dteday]],"MMMM")</f>
        <v>February</v>
      </c>
      <c r="F701">
        <v>2</v>
      </c>
      <c r="G701">
        <v>12</v>
      </c>
      <c r="H701" t="b">
        <v>0</v>
      </c>
      <c r="I701" t="str">
        <f>TEXT(Append1[[#This Row],[dteday]],"DDDD")</f>
        <v>Tuesday</v>
      </c>
      <c r="J701" t="str" cm="1">
        <f t="array" ref="J701">_xlfn.IFS(Append1[[#This Row],[weekday cnt]]=0,"Weekend",Append1[[#This Row],[weekday cnt]]=6,"Weekend",Append1[[#This Row],[weekday cnt]]&gt;0,"Weekday")</f>
        <v>Weekday</v>
      </c>
      <c r="K701">
        <v>2</v>
      </c>
      <c r="L701" t="str" cm="1">
        <f t="array" ref="L7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1">
        <v>2</v>
      </c>
      <c r="N701">
        <v>0.2</v>
      </c>
      <c r="O701">
        <f t="shared" si="2"/>
        <v>699</v>
      </c>
      <c r="P701">
        <f t="shared" si="3"/>
        <v>700</v>
      </c>
      <c r="Q701">
        <v>0.2576</v>
      </c>
      <c r="R701">
        <v>0.86</v>
      </c>
      <c r="S701">
        <v>0</v>
      </c>
      <c r="T701">
        <v>2</v>
      </c>
      <c r="U701">
        <v>53</v>
      </c>
      <c r="V701">
        <v>55</v>
      </c>
    </row>
    <row r="702" spans="1:22" x14ac:dyDescent="0.3">
      <c r="A702">
        <v>701</v>
      </c>
      <c r="B702" s="1">
        <v>40575</v>
      </c>
      <c r="C702">
        <v>1</v>
      </c>
      <c r="D702">
        <v>0</v>
      </c>
      <c r="E702" t="str">
        <f>TEXT(Append1[[#This Row],[dteday]],"MMMM")</f>
        <v>February</v>
      </c>
      <c r="F702">
        <v>2</v>
      </c>
      <c r="G702">
        <v>13</v>
      </c>
      <c r="H702" t="b">
        <v>0</v>
      </c>
      <c r="I702" t="str">
        <f>TEXT(Append1[[#This Row],[dteday]],"DDDD")</f>
        <v>Tuesday</v>
      </c>
      <c r="J702" t="str" cm="1">
        <f t="array" ref="J702">_xlfn.IFS(Append1[[#This Row],[weekday cnt]]=0,"Weekend",Append1[[#This Row],[weekday cnt]]=6,"Weekend",Append1[[#This Row],[weekday cnt]]&gt;0,"Weekday")</f>
        <v>Weekday</v>
      </c>
      <c r="K702">
        <v>2</v>
      </c>
      <c r="L702" t="str" cm="1">
        <f t="array" ref="L70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2">
        <v>2</v>
      </c>
      <c r="N702">
        <v>0.2</v>
      </c>
      <c r="O702">
        <f t="shared" si="2"/>
        <v>700</v>
      </c>
      <c r="P702">
        <f t="shared" si="3"/>
        <v>701</v>
      </c>
      <c r="Q702">
        <v>0.2576</v>
      </c>
      <c r="R702">
        <v>0.86</v>
      </c>
      <c r="S702">
        <v>0</v>
      </c>
      <c r="T702">
        <v>3</v>
      </c>
      <c r="U702">
        <v>49</v>
      </c>
      <c r="V702">
        <v>52</v>
      </c>
    </row>
    <row r="703" spans="1:22" x14ac:dyDescent="0.3">
      <c r="A703">
        <v>702</v>
      </c>
      <c r="B703" s="1">
        <v>40575</v>
      </c>
      <c r="C703">
        <v>1</v>
      </c>
      <c r="D703">
        <v>0</v>
      </c>
      <c r="E703" t="str">
        <f>TEXT(Append1[[#This Row],[dteday]],"MMMM")</f>
        <v>February</v>
      </c>
      <c r="F703">
        <v>2</v>
      </c>
      <c r="G703">
        <v>14</v>
      </c>
      <c r="H703" t="b">
        <v>0</v>
      </c>
      <c r="I703" t="str">
        <f>TEXT(Append1[[#This Row],[dteday]],"DDDD")</f>
        <v>Tuesday</v>
      </c>
      <c r="J703" t="str" cm="1">
        <f t="array" ref="J703">_xlfn.IFS(Append1[[#This Row],[weekday cnt]]=0,"Weekend",Append1[[#This Row],[weekday cnt]]=6,"Weekend",Append1[[#This Row],[weekday cnt]]&gt;0,"Weekday")</f>
        <v>Weekday</v>
      </c>
      <c r="K703">
        <v>2</v>
      </c>
      <c r="L703" t="str" cm="1">
        <f t="array" ref="L70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3">
        <v>2</v>
      </c>
      <c r="N703">
        <v>0.22</v>
      </c>
      <c r="O703">
        <f t="shared" si="2"/>
        <v>701</v>
      </c>
      <c r="P703">
        <f t="shared" si="3"/>
        <v>702</v>
      </c>
      <c r="Q703">
        <v>0.2576</v>
      </c>
      <c r="R703">
        <v>0.8</v>
      </c>
      <c r="S703">
        <v>8.9599999999999999E-2</v>
      </c>
      <c r="T703">
        <v>5</v>
      </c>
      <c r="U703">
        <v>49</v>
      </c>
      <c r="V703">
        <v>54</v>
      </c>
    </row>
    <row r="704" spans="1:22" x14ac:dyDescent="0.3">
      <c r="A704">
        <v>703</v>
      </c>
      <c r="B704" s="1">
        <v>40575</v>
      </c>
      <c r="C704">
        <v>1</v>
      </c>
      <c r="D704">
        <v>0</v>
      </c>
      <c r="E704" t="str">
        <f>TEXT(Append1[[#This Row],[dteday]],"MMMM")</f>
        <v>February</v>
      </c>
      <c r="F704">
        <v>2</v>
      </c>
      <c r="G704">
        <v>15</v>
      </c>
      <c r="H704" t="b">
        <v>0</v>
      </c>
      <c r="I704" t="str">
        <f>TEXT(Append1[[#This Row],[dteday]],"DDDD")</f>
        <v>Tuesday</v>
      </c>
      <c r="J704" t="str" cm="1">
        <f t="array" ref="J704">_xlfn.IFS(Append1[[#This Row],[weekday cnt]]=0,"Weekend",Append1[[#This Row],[weekday cnt]]=6,"Weekend",Append1[[#This Row],[weekday cnt]]&gt;0,"Weekday")</f>
        <v>Weekday</v>
      </c>
      <c r="K704">
        <v>2</v>
      </c>
      <c r="L704" t="str" cm="1">
        <f t="array" ref="L70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4">
        <v>2</v>
      </c>
      <c r="N704">
        <v>0.24</v>
      </c>
      <c r="O704">
        <f t="shared" si="2"/>
        <v>702</v>
      </c>
      <c r="P704">
        <f t="shared" si="3"/>
        <v>703</v>
      </c>
      <c r="Q704">
        <v>0.28789999999999999</v>
      </c>
      <c r="R704">
        <v>0.75</v>
      </c>
      <c r="S704">
        <v>0</v>
      </c>
      <c r="T704">
        <v>7</v>
      </c>
      <c r="U704">
        <v>45</v>
      </c>
      <c r="V704">
        <v>52</v>
      </c>
    </row>
    <row r="705" spans="1:22" x14ac:dyDescent="0.3">
      <c r="A705">
        <v>704</v>
      </c>
      <c r="B705" s="1">
        <v>40575</v>
      </c>
      <c r="C705">
        <v>1</v>
      </c>
      <c r="D705">
        <v>0</v>
      </c>
      <c r="E705" t="str">
        <f>TEXT(Append1[[#This Row],[dteday]],"MMMM")</f>
        <v>February</v>
      </c>
      <c r="F705">
        <v>2</v>
      </c>
      <c r="G705">
        <v>16</v>
      </c>
      <c r="H705" t="b">
        <v>0</v>
      </c>
      <c r="I705" t="str">
        <f>TEXT(Append1[[#This Row],[dteday]],"DDDD")</f>
        <v>Tuesday</v>
      </c>
      <c r="J705" t="str" cm="1">
        <f t="array" ref="J705">_xlfn.IFS(Append1[[#This Row],[weekday cnt]]=0,"Weekend",Append1[[#This Row],[weekday cnt]]=6,"Weekend",Append1[[#This Row],[weekday cnt]]&gt;0,"Weekday")</f>
        <v>Weekday</v>
      </c>
      <c r="K705">
        <v>2</v>
      </c>
      <c r="L705" t="str" cm="1">
        <f t="array" ref="L70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5">
        <v>2</v>
      </c>
      <c r="N705">
        <v>0.24</v>
      </c>
      <c r="O705">
        <f t="shared" si="2"/>
        <v>703</v>
      </c>
      <c r="P705">
        <f t="shared" si="3"/>
        <v>704</v>
      </c>
      <c r="Q705">
        <v>0.2424</v>
      </c>
      <c r="R705">
        <v>0.75</v>
      </c>
      <c r="S705">
        <v>0.1343</v>
      </c>
      <c r="T705">
        <v>3</v>
      </c>
      <c r="U705">
        <v>61</v>
      </c>
      <c r="V705">
        <v>64</v>
      </c>
    </row>
    <row r="706" spans="1:22" x14ac:dyDescent="0.3">
      <c r="A706">
        <v>705</v>
      </c>
      <c r="B706" s="1">
        <v>40575</v>
      </c>
      <c r="C706">
        <v>1</v>
      </c>
      <c r="D706">
        <v>0</v>
      </c>
      <c r="E706" t="str">
        <f>TEXT(Append1[[#This Row],[dteday]],"MMMM")</f>
        <v>February</v>
      </c>
      <c r="F706">
        <v>2</v>
      </c>
      <c r="G706">
        <v>17</v>
      </c>
      <c r="H706" t="b">
        <v>0</v>
      </c>
      <c r="I706" t="str">
        <f>TEXT(Append1[[#This Row],[dteday]],"DDDD")</f>
        <v>Tuesday</v>
      </c>
      <c r="J706" t="str" cm="1">
        <f t="array" ref="J706">_xlfn.IFS(Append1[[#This Row],[weekday cnt]]=0,"Weekend",Append1[[#This Row],[weekday cnt]]=6,"Weekend",Append1[[#This Row],[weekday cnt]]&gt;0,"Weekday")</f>
        <v>Weekday</v>
      </c>
      <c r="K706">
        <v>2</v>
      </c>
      <c r="L706" t="str" cm="1">
        <f t="array" ref="L70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6">
        <v>2</v>
      </c>
      <c r="N706">
        <v>0.24</v>
      </c>
      <c r="O706">
        <f t="shared" si="2"/>
        <v>704</v>
      </c>
      <c r="P706">
        <f t="shared" si="3"/>
        <v>705</v>
      </c>
      <c r="Q706">
        <v>0.28789999999999999</v>
      </c>
      <c r="R706">
        <v>0.75</v>
      </c>
      <c r="S706">
        <v>0</v>
      </c>
      <c r="T706">
        <v>4</v>
      </c>
      <c r="U706">
        <v>172</v>
      </c>
      <c r="V706">
        <v>176</v>
      </c>
    </row>
    <row r="707" spans="1:22" x14ac:dyDescent="0.3">
      <c r="A707">
        <v>706</v>
      </c>
      <c r="B707" s="1">
        <v>40575</v>
      </c>
      <c r="C707">
        <v>1</v>
      </c>
      <c r="D707">
        <v>0</v>
      </c>
      <c r="E707" t="str">
        <f>TEXT(Append1[[#This Row],[dteday]],"MMMM")</f>
        <v>February</v>
      </c>
      <c r="F707">
        <v>2</v>
      </c>
      <c r="G707">
        <v>18</v>
      </c>
      <c r="H707" t="b">
        <v>0</v>
      </c>
      <c r="I707" t="str">
        <f>TEXT(Append1[[#This Row],[dteday]],"DDDD")</f>
        <v>Tuesday</v>
      </c>
      <c r="J707" t="str" cm="1">
        <f t="array" ref="J707">_xlfn.IFS(Append1[[#This Row],[weekday cnt]]=0,"Weekend",Append1[[#This Row],[weekday cnt]]=6,"Weekend",Append1[[#This Row],[weekday cnt]]&gt;0,"Weekday")</f>
        <v>Weekday</v>
      </c>
      <c r="K707">
        <v>2</v>
      </c>
      <c r="L707" t="str" cm="1">
        <f t="array" ref="L70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7">
        <v>2</v>
      </c>
      <c r="N707">
        <v>0.24</v>
      </c>
      <c r="O707">
        <f t="shared" si="2"/>
        <v>705</v>
      </c>
      <c r="P707">
        <f t="shared" si="3"/>
        <v>706</v>
      </c>
      <c r="Q707">
        <v>0.2576</v>
      </c>
      <c r="R707">
        <v>0.81</v>
      </c>
      <c r="S707">
        <v>0.1045</v>
      </c>
      <c r="T707">
        <v>3</v>
      </c>
      <c r="U707">
        <v>165</v>
      </c>
      <c r="V707">
        <v>168</v>
      </c>
    </row>
    <row r="708" spans="1:22" x14ac:dyDescent="0.3">
      <c r="A708">
        <v>707</v>
      </c>
      <c r="B708" s="1">
        <v>40575</v>
      </c>
      <c r="C708">
        <v>1</v>
      </c>
      <c r="D708">
        <v>0</v>
      </c>
      <c r="E708" t="str">
        <f>TEXT(Append1[[#This Row],[dteday]],"MMMM")</f>
        <v>February</v>
      </c>
      <c r="F708">
        <v>2</v>
      </c>
      <c r="G708">
        <v>19</v>
      </c>
      <c r="H708" t="b">
        <v>0</v>
      </c>
      <c r="I708" t="str">
        <f>TEXT(Append1[[#This Row],[dteday]],"DDDD")</f>
        <v>Tuesday</v>
      </c>
      <c r="J708" t="str" cm="1">
        <f t="array" ref="J708">_xlfn.IFS(Append1[[#This Row],[weekday cnt]]=0,"Weekend",Append1[[#This Row],[weekday cnt]]=6,"Weekend",Append1[[#This Row],[weekday cnt]]&gt;0,"Weekday")</f>
        <v>Weekday</v>
      </c>
      <c r="K708">
        <v>2</v>
      </c>
      <c r="L708" t="str" cm="1">
        <f t="array" ref="L70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8">
        <v>2</v>
      </c>
      <c r="N708">
        <v>0.24</v>
      </c>
      <c r="O708">
        <f t="shared" si="2"/>
        <v>706</v>
      </c>
      <c r="P708">
        <f t="shared" si="3"/>
        <v>707</v>
      </c>
      <c r="Q708">
        <v>0.2424</v>
      </c>
      <c r="R708">
        <v>0.81</v>
      </c>
      <c r="S708">
        <v>0.1343</v>
      </c>
      <c r="T708">
        <v>3</v>
      </c>
      <c r="U708">
        <v>105</v>
      </c>
      <c r="V708">
        <v>108</v>
      </c>
    </row>
    <row r="709" spans="1:22" x14ac:dyDescent="0.3">
      <c r="A709">
        <v>708</v>
      </c>
      <c r="B709" s="1">
        <v>40575</v>
      </c>
      <c r="C709">
        <v>1</v>
      </c>
      <c r="D709">
        <v>0</v>
      </c>
      <c r="E709" t="str">
        <f>TEXT(Append1[[#This Row],[dteday]],"MMMM")</f>
        <v>February</v>
      </c>
      <c r="F709">
        <v>2</v>
      </c>
      <c r="G709">
        <v>20</v>
      </c>
      <c r="H709" t="b">
        <v>0</v>
      </c>
      <c r="I709" t="str">
        <f>TEXT(Append1[[#This Row],[dteday]],"DDDD")</f>
        <v>Tuesday</v>
      </c>
      <c r="J709" t="str" cm="1">
        <f t="array" ref="J709">_xlfn.IFS(Append1[[#This Row],[weekday cnt]]=0,"Weekend",Append1[[#This Row],[weekday cnt]]=6,"Weekend",Append1[[#This Row],[weekday cnt]]&gt;0,"Weekday")</f>
        <v>Weekday</v>
      </c>
      <c r="K709">
        <v>2</v>
      </c>
      <c r="L709" t="str" cm="1">
        <f t="array" ref="L70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09">
        <v>2</v>
      </c>
      <c r="N709">
        <v>0.22</v>
      </c>
      <c r="O709">
        <f t="shared" si="2"/>
        <v>707</v>
      </c>
      <c r="P709">
        <f t="shared" si="3"/>
        <v>708</v>
      </c>
      <c r="Q709">
        <v>0.2273</v>
      </c>
      <c r="R709">
        <v>0.87</v>
      </c>
      <c r="S709">
        <v>0.1343</v>
      </c>
      <c r="T709">
        <v>5</v>
      </c>
      <c r="U709">
        <v>69</v>
      </c>
      <c r="V709">
        <v>74</v>
      </c>
    </row>
    <row r="710" spans="1:22" x14ac:dyDescent="0.3">
      <c r="A710">
        <v>709</v>
      </c>
      <c r="B710" s="1">
        <v>40575</v>
      </c>
      <c r="C710">
        <v>1</v>
      </c>
      <c r="D710">
        <v>0</v>
      </c>
      <c r="E710" t="str">
        <f>TEXT(Append1[[#This Row],[dteday]],"MMMM")</f>
        <v>February</v>
      </c>
      <c r="F710">
        <v>2</v>
      </c>
      <c r="G710">
        <v>21</v>
      </c>
      <c r="H710" t="b">
        <v>0</v>
      </c>
      <c r="I710" t="str">
        <f>TEXT(Append1[[#This Row],[dteday]],"DDDD")</f>
        <v>Tuesday</v>
      </c>
      <c r="J710" t="str" cm="1">
        <f t="array" ref="J710">_xlfn.IFS(Append1[[#This Row],[weekday cnt]]=0,"Weekend",Append1[[#This Row],[weekday cnt]]=6,"Weekend",Append1[[#This Row],[weekday cnt]]&gt;0,"Weekday")</f>
        <v>Weekday</v>
      </c>
      <c r="K710">
        <v>2</v>
      </c>
      <c r="L710" t="str" cm="1">
        <f t="array" ref="L7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10">
        <v>2</v>
      </c>
      <c r="N710">
        <v>0.22</v>
      </c>
      <c r="O710">
        <f t="shared" si="2"/>
        <v>708</v>
      </c>
      <c r="P710">
        <f t="shared" si="3"/>
        <v>709</v>
      </c>
      <c r="Q710">
        <v>0.2273</v>
      </c>
      <c r="R710">
        <v>0.87</v>
      </c>
      <c r="S710">
        <v>0.1343</v>
      </c>
      <c r="T710">
        <v>0</v>
      </c>
      <c r="U710">
        <v>64</v>
      </c>
      <c r="V710">
        <v>64</v>
      </c>
    </row>
    <row r="711" spans="1:22" x14ac:dyDescent="0.3">
      <c r="A711">
        <v>710</v>
      </c>
      <c r="B711" s="1">
        <v>40575</v>
      </c>
      <c r="C711">
        <v>1</v>
      </c>
      <c r="D711">
        <v>0</v>
      </c>
      <c r="E711" t="str">
        <f>TEXT(Append1[[#This Row],[dteday]],"MMMM")</f>
        <v>February</v>
      </c>
      <c r="F711">
        <v>2</v>
      </c>
      <c r="G711">
        <v>22</v>
      </c>
      <c r="H711" t="b">
        <v>0</v>
      </c>
      <c r="I711" t="str">
        <f>TEXT(Append1[[#This Row],[dteday]],"DDDD")</f>
        <v>Tuesday</v>
      </c>
      <c r="J711" t="str" cm="1">
        <f t="array" ref="J711">_xlfn.IFS(Append1[[#This Row],[weekday cnt]]=0,"Weekend",Append1[[#This Row],[weekday cnt]]=6,"Weekend",Append1[[#This Row],[weekday cnt]]&gt;0,"Weekday")</f>
        <v>Weekday</v>
      </c>
      <c r="K711">
        <v>2</v>
      </c>
      <c r="L711" t="str" cm="1">
        <f t="array" ref="L7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11">
        <v>2</v>
      </c>
      <c r="N711">
        <v>0.22</v>
      </c>
      <c r="O711">
        <f t="shared" si="2"/>
        <v>709</v>
      </c>
      <c r="P711">
        <f t="shared" si="3"/>
        <v>710</v>
      </c>
      <c r="Q711">
        <v>0.2576</v>
      </c>
      <c r="R711">
        <v>0.87</v>
      </c>
      <c r="S711">
        <v>8.9599999999999999E-2</v>
      </c>
      <c r="T711">
        <v>2</v>
      </c>
      <c r="U711">
        <v>34</v>
      </c>
      <c r="V711">
        <v>36</v>
      </c>
    </row>
    <row r="712" spans="1:22" x14ac:dyDescent="0.3">
      <c r="A712">
        <v>711</v>
      </c>
      <c r="B712" s="1">
        <v>40575</v>
      </c>
      <c r="C712">
        <v>1</v>
      </c>
      <c r="D712">
        <v>0</v>
      </c>
      <c r="E712" t="str">
        <f>TEXT(Append1[[#This Row],[dteday]],"MMMM")</f>
        <v>February</v>
      </c>
      <c r="F712">
        <v>2</v>
      </c>
      <c r="G712">
        <v>23</v>
      </c>
      <c r="H712" t="b">
        <v>0</v>
      </c>
      <c r="I712" t="str">
        <f>TEXT(Append1[[#This Row],[dteday]],"DDDD")</f>
        <v>Tuesday</v>
      </c>
      <c r="J712" t="str" cm="1">
        <f t="array" ref="J712">_xlfn.IFS(Append1[[#This Row],[weekday cnt]]=0,"Weekend",Append1[[#This Row],[weekday cnt]]=6,"Weekend",Append1[[#This Row],[weekday cnt]]&gt;0,"Weekday")</f>
        <v>Weekday</v>
      </c>
      <c r="K712">
        <v>2</v>
      </c>
      <c r="L712" t="str" cm="1">
        <f t="array" ref="L7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12">
        <v>3</v>
      </c>
      <c r="N712">
        <v>0.2</v>
      </c>
      <c r="O712">
        <f t="shared" si="2"/>
        <v>710</v>
      </c>
      <c r="P712">
        <f t="shared" si="3"/>
        <v>711</v>
      </c>
      <c r="Q712">
        <v>0.19700000000000001</v>
      </c>
      <c r="R712">
        <v>0.93</v>
      </c>
      <c r="S712">
        <v>0.19400000000000001</v>
      </c>
      <c r="T712">
        <v>1</v>
      </c>
      <c r="U712">
        <v>15</v>
      </c>
      <c r="V712">
        <v>16</v>
      </c>
    </row>
    <row r="713" spans="1:22" x14ac:dyDescent="0.3">
      <c r="A713">
        <v>712</v>
      </c>
      <c r="B713" s="1">
        <v>40576</v>
      </c>
      <c r="C713">
        <v>1</v>
      </c>
      <c r="D713">
        <v>0</v>
      </c>
      <c r="E713" t="str">
        <f>TEXT(Append1[[#This Row],[dteday]],"MMMM")</f>
        <v>February</v>
      </c>
      <c r="F713">
        <v>2</v>
      </c>
      <c r="G713">
        <v>0</v>
      </c>
      <c r="H713" t="b">
        <v>0</v>
      </c>
      <c r="I713" t="str">
        <f>TEXT(Append1[[#This Row],[dteday]],"DDDD")</f>
        <v>Wednesday</v>
      </c>
      <c r="J713" t="str" cm="1">
        <f t="array" ref="J713">_xlfn.IFS(Append1[[#This Row],[weekday cnt]]=0,"Weekend",Append1[[#This Row],[weekday cnt]]=6,"Weekend",Append1[[#This Row],[weekday cnt]]&gt;0,"Weekday")</f>
        <v>Weekday</v>
      </c>
      <c r="K713">
        <v>3</v>
      </c>
      <c r="L713" t="str" cm="1">
        <f t="array" ref="L7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13">
        <v>3</v>
      </c>
      <c r="N713">
        <v>0.22</v>
      </c>
      <c r="O713">
        <f t="shared" si="2"/>
        <v>711</v>
      </c>
      <c r="P713">
        <f t="shared" si="3"/>
        <v>712</v>
      </c>
      <c r="Q713">
        <v>0.2424</v>
      </c>
      <c r="R713">
        <v>0.93</v>
      </c>
      <c r="S713">
        <v>0.1045</v>
      </c>
      <c r="T713">
        <v>0</v>
      </c>
      <c r="U713">
        <v>2</v>
      </c>
      <c r="V713">
        <v>2</v>
      </c>
    </row>
    <row r="714" spans="1:22" x14ac:dyDescent="0.3">
      <c r="A714">
        <v>713</v>
      </c>
      <c r="B714" s="1">
        <v>40576</v>
      </c>
      <c r="C714">
        <v>1</v>
      </c>
      <c r="D714">
        <v>0</v>
      </c>
      <c r="E714" t="str">
        <f>TEXT(Append1[[#This Row],[dteday]],"MMMM")</f>
        <v>February</v>
      </c>
      <c r="F714">
        <v>2</v>
      </c>
      <c r="G714">
        <v>1</v>
      </c>
      <c r="H714" t="b">
        <v>0</v>
      </c>
      <c r="I714" t="str">
        <f>TEXT(Append1[[#This Row],[dteday]],"DDDD")</f>
        <v>Wednesday</v>
      </c>
      <c r="J714" t="str" cm="1">
        <f t="array" ref="J714">_xlfn.IFS(Append1[[#This Row],[weekday cnt]]=0,"Weekend",Append1[[#This Row],[weekday cnt]]=6,"Weekend",Append1[[#This Row],[weekday cnt]]&gt;0,"Weekday")</f>
        <v>Weekday</v>
      </c>
      <c r="K714">
        <v>3</v>
      </c>
      <c r="L714" t="str" cm="1">
        <f t="array" ref="L7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14">
        <v>3</v>
      </c>
      <c r="N714">
        <v>0.22</v>
      </c>
      <c r="O714">
        <f t="shared" si="2"/>
        <v>712</v>
      </c>
      <c r="P714">
        <f t="shared" si="3"/>
        <v>713</v>
      </c>
      <c r="Q714">
        <v>0.2273</v>
      </c>
      <c r="R714">
        <v>0.93</v>
      </c>
      <c r="S714">
        <v>0.19400000000000001</v>
      </c>
      <c r="T714">
        <v>0</v>
      </c>
      <c r="U714">
        <v>3</v>
      </c>
      <c r="V714">
        <v>3</v>
      </c>
    </row>
    <row r="715" spans="1:22" x14ac:dyDescent="0.3">
      <c r="A715">
        <v>714</v>
      </c>
      <c r="B715" s="1">
        <v>40576</v>
      </c>
      <c r="C715">
        <v>1</v>
      </c>
      <c r="D715">
        <v>0</v>
      </c>
      <c r="E715" t="str">
        <f>TEXT(Append1[[#This Row],[dteday]],"MMMM")</f>
        <v>February</v>
      </c>
      <c r="F715">
        <v>2</v>
      </c>
      <c r="G715">
        <v>2</v>
      </c>
      <c r="H715" t="b">
        <v>0</v>
      </c>
      <c r="I715" t="str">
        <f>TEXT(Append1[[#This Row],[dteday]],"DDDD")</f>
        <v>Wednesday</v>
      </c>
      <c r="J715" t="str" cm="1">
        <f t="array" ref="J715">_xlfn.IFS(Append1[[#This Row],[weekday cnt]]=0,"Weekend",Append1[[#This Row],[weekday cnt]]=6,"Weekend",Append1[[#This Row],[weekday cnt]]&gt;0,"Weekday")</f>
        <v>Weekday</v>
      </c>
      <c r="K715">
        <v>3</v>
      </c>
      <c r="L715" t="str" cm="1">
        <f t="array" ref="L7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15">
        <v>3</v>
      </c>
      <c r="N715">
        <v>0.22</v>
      </c>
      <c r="O715">
        <f t="shared" si="2"/>
        <v>713</v>
      </c>
      <c r="P715">
        <f t="shared" si="3"/>
        <v>714</v>
      </c>
      <c r="Q715">
        <v>0.2273</v>
      </c>
      <c r="R715">
        <v>0.93</v>
      </c>
      <c r="S715">
        <v>0.1343</v>
      </c>
      <c r="T715">
        <v>4</v>
      </c>
      <c r="U715">
        <v>0</v>
      </c>
      <c r="V715">
        <v>4</v>
      </c>
    </row>
    <row r="716" spans="1:22" x14ac:dyDescent="0.3">
      <c r="A716">
        <v>715</v>
      </c>
      <c r="B716" s="1">
        <v>40576</v>
      </c>
      <c r="C716">
        <v>1</v>
      </c>
      <c r="D716">
        <v>0</v>
      </c>
      <c r="E716" t="str">
        <f>TEXT(Append1[[#This Row],[dteday]],"MMMM")</f>
        <v>February</v>
      </c>
      <c r="F716">
        <v>2</v>
      </c>
      <c r="G716">
        <v>3</v>
      </c>
      <c r="H716" t="b">
        <v>0</v>
      </c>
      <c r="I716" t="str">
        <f>TEXT(Append1[[#This Row],[dteday]],"DDDD")</f>
        <v>Wednesday</v>
      </c>
      <c r="J716" t="str" cm="1">
        <f t="array" ref="J716">_xlfn.IFS(Append1[[#This Row],[weekday cnt]]=0,"Weekend",Append1[[#This Row],[weekday cnt]]=6,"Weekend",Append1[[#This Row],[weekday cnt]]&gt;0,"Weekday")</f>
        <v>Weekday</v>
      </c>
      <c r="K716">
        <v>3</v>
      </c>
      <c r="L716" t="str" cm="1">
        <f t="array" ref="L7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16">
        <v>3</v>
      </c>
      <c r="N716">
        <v>0.22</v>
      </c>
      <c r="O716">
        <f t="shared" si="2"/>
        <v>714</v>
      </c>
      <c r="P716">
        <f t="shared" si="3"/>
        <v>715</v>
      </c>
      <c r="Q716">
        <v>0.2273</v>
      </c>
      <c r="R716">
        <v>0.93</v>
      </c>
      <c r="S716">
        <v>0.1343</v>
      </c>
      <c r="T716">
        <v>0</v>
      </c>
      <c r="U716">
        <v>1</v>
      </c>
      <c r="V716">
        <v>1</v>
      </c>
    </row>
    <row r="717" spans="1:22" x14ac:dyDescent="0.3">
      <c r="A717">
        <v>716</v>
      </c>
      <c r="B717" s="1">
        <v>40576</v>
      </c>
      <c r="C717">
        <v>1</v>
      </c>
      <c r="D717">
        <v>0</v>
      </c>
      <c r="E717" t="str">
        <f>TEXT(Append1[[#This Row],[dteday]],"MMMM")</f>
        <v>February</v>
      </c>
      <c r="F717">
        <v>2</v>
      </c>
      <c r="G717">
        <v>4</v>
      </c>
      <c r="H717" t="b">
        <v>0</v>
      </c>
      <c r="I717" t="str">
        <f>TEXT(Append1[[#This Row],[dteday]],"DDDD")</f>
        <v>Wednesday</v>
      </c>
      <c r="J717" t="str" cm="1">
        <f t="array" ref="J717">_xlfn.IFS(Append1[[#This Row],[weekday cnt]]=0,"Weekend",Append1[[#This Row],[weekday cnt]]=6,"Weekend",Append1[[#This Row],[weekday cnt]]&gt;0,"Weekday")</f>
        <v>Weekday</v>
      </c>
      <c r="K717">
        <v>3</v>
      </c>
      <c r="L717" t="str" cm="1">
        <f t="array" ref="L7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17">
        <v>3</v>
      </c>
      <c r="N717">
        <v>0.22</v>
      </c>
      <c r="O717">
        <f t="shared" si="2"/>
        <v>715</v>
      </c>
      <c r="P717">
        <f t="shared" si="3"/>
        <v>716</v>
      </c>
      <c r="Q717">
        <v>0.21210000000000001</v>
      </c>
      <c r="R717">
        <v>0.93</v>
      </c>
      <c r="S717">
        <v>0.28360000000000002</v>
      </c>
      <c r="T717">
        <v>0</v>
      </c>
      <c r="U717">
        <v>1</v>
      </c>
      <c r="V717">
        <v>1</v>
      </c>
    </row>
    <row r="718" spans="1:22" x14ac:dyDescent="0.3">
      <c r="A718">
        <v>717</v>
      </c>
      <c r="B718" s="1">
        <v>40576</v>
      </c>
      <c r="C718">
        <v>1</v>
      </c>
      <c r="D718">
        <v>0</v>
      </c>
      <c r="E718" t="str">
        <f>TEXT(Append1[[#This Row],[dteday]],"MMMM")</f>
        <v>February</v>
      </c>
      <c r="F718">
        <v>2</v>
      </c>
      <c r="G718">
        <v>5</v>
      </c>
      <c r="H718" t="b">
        <v>0</v>
      </c>
      <c r="I718" t="str">
        <f>TEXT(Append1[[#This Row],[dteday]],"DDDD")</f>
        <v>Wednesday</v>
      </c>
      <c r="J718" t="str" cm="1">
        <f t="array" ref="J718">_xlfn.IFS(Append1[[#This Row],[weekday cnt]]=0,"Weekend",Append1[[#This Row],[weekday cnt]]=6,"Weekend",Append1[[#This Row],[weekday cnt]]&gt;0,"Weekday")</f>
        <v>Weekday</v>
      </c>
      <c r="K718">
        <v>3</v>
      </c>
      <c r="L718" t="str" cm="1">
        <f t="array" ref="L7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18">
        <v>3</v>
      </c>
      <c r="N718">
        <v>0.22</v>
      </c>
      <c r="O718">
        <f t="shared" si="2"/>
        <v>716</v>
      </c>
      <c r="P718">
        <f t="shared" si="3"/>
        <v>717</v>
      </c>
      <c r="Q718">
        <v>0.2424</v>
      </c>
      <c r="R718">
        <v>0.93</v>
      </c>
      <c r="S718">
        <v>0.1045</v>
      </c>
      <c r="T718">
        <v>0</v>
      </c>
      <c r="U718">
        <v>3</v>
      </c>
      <c r="V718">
        <v>3</v>
      </c>
    </row>
    <row r="719" spans="1:22" x14ac:dyDescent="0.3">
      <c r="A719">
        <v>718</v>
      </c>
      <c r="B719" s="1">
        <v>40576</v>
      </c>
      <c r="C719">
        <v>1</v>
      </c>
      <c r="D719">
        <v>0</v>
      </c>
      <c r="E719" t="str">
        <f>TEXT(Append1[[#This Row],[dteday]],"MMMM")</f>
        <v>February</v>
      </c>
      <c r="F719">
        <v>2</v>
      </c>
      <c r="G719">
        <v>6</v>
      </c>
      <c r="H719" t="b">
        <v>0</v>
      </c>
      <c r="I719" t="str">
        <f>TEXT(Append1[[#This Row],[dteday]],"DDDD")</f>
        <v>Wednesday</v>
      </c>
      <c r="J719" t="str" cm="1">
        <f t="array" ref="J719">_xlfn.IFS(Append1[[#This Row],[weekday cnt]]=0,"Weekend",Append1[[#This Row],[weekday cnt]]=6,"Weekend",Append1[[#This Row],[weekday cnt]]&gt;0,"Weekday")</f>
        <v>Weekday</v>
      </c>
      <c r="K719">
        <v>3</v>
      </c>
      <c r="L719" t="str" cm="1">
        <f t="array" ref="L7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19">
        <v>3</v>
      </c>
      <c r="N719">
        <v>0.22</v>
      </c>
      <c r="O719">
        <f t="shared" si="2"/>
        <v>717</v>
      </c>
      <c r="P719">
        <f t="shared" si="3"/>
        <v>718</v>
      </c>
      <c r="Q719">
        <v>0.2424</v>
      </c>
      <c r="R719">
        <v>0.93</v>
      </c>
      <c r="S719">
        <v>0.1045</v>
      </c>
      <c r="T719">
        <v>1</v>
      </c>
      <c r="U719">
        <v>17</v>
      </c>
      <c r="V719">
        <v>18</v>
      </c>
    </row>
    <row r="720" spans="1:22" x14ac:dyDescent="0.3">
      <c r="A720">
        <v>719</v>
      </c>
      <c r="B720" s="1">
        <v>40576</v>
      </c>
      <c r="C720">
        <v>1</v>
      </c>
      <c r="D720">
        <v>0</v>
      </c>
      <c r="E720" t="str">
        <f>TEXT(Append1[[#This Row],[dteday]],"MMMM")</f>
        <v>February</v>
      </c>
      <c r="F720">
        <v>2</v>
      </c>
      <c r="G720">
        <v>7</v>
      </c>
      <c r="H720" t="b">
        <v>0</v>
      </c>
      <c r="I720" t="str">
        <f>TEXT(Append1[[#This Row],[dteday]],"DDDD")</f>
        <v>Wednesday</v>
      </c>
      <c r="J720" t="str" cm="1">
        <f t="array" ref="J720">_xlfn.IFS(Append1[[#This Row],[weekday cnt]]=0,"Weekend",Append1[[#This Row],[weekday cnt]]=6,"Weekend",Append1[[#This Row],[weekday cnt]]&gt;0,"Weekday")</f>
        <v>Weekday</v>
      </c>
      <c r="K720">
        <v>3</v>
      </c>
      <c r="L720" t="str" cm="1">
        <f t="array" ref="L7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20">
        <v>3</v>
      </c>
      <c r="N720">
        <v>0.22</v>
      </c>
      <c r="O720">
        <f t="shared" si="2"/>
        <v>718</v>
      </c>
      <c r="P720">
        <f t="shared" si="3"/>
        <v>719</v>
      </c>
      <c r="Q720">
        <v>0.21210000000000001</v>
      </c>
      <c r="R720">
        <v>0.93</v>
      </c>
      <c r="S720">
        <v>0.22389999999999999</v>
      </c>
      <c r="T720">
        <v>1</v>
      </c>
      <c r="U720">
        <v>48</v>
      </c>
      <c r="V720">
        <v>49</v>
      </c>
    </row>
    <row r="721" spans="1:22" x14ac:dyDescent="0.3">
      <c r="A721">
        <v>720</v>
      </c>
      <c r="B721" s="1">
        <v>40576</v>
      </c>
      <c r="C721">
        <v>1</v>
      </c>
      <c r="D721">
        <v>0</v>
      </c>
      <c r="E721" t="str">
        <f>TEXT(Append1[[#This Row],[dteday]],"MMMM")</f>
        <v>February</v>
      </c>
      <c r="F721">
        <v>2</v>
      </c>
      <c r="G721">
        <v>8</v>
      </c>
      <c r="H721" t="b">
        <v>0</v>
      </c>
      <c r="I721" t="str">
        <f>TEXT(Append1[[#This Row],[dteday]],"DDDD")</f>
        <v>Wednesday</v>
      </c>
      <c r="J721" t="str" cm="1">
        <f t="array" ref="J721">_xlfn.IFS(Append1[[#This Row],[weekday cnt]]=0,"Weekend",Append1[[#This Row],[weekday cnt]]=6,"Weekend",Append1[[#This Row],[weekday cnt]]&gt;0,"Weekday")</f>
        <v>Weekday</v>
      </c>
      <c r="K721">
        <v>3</v>
      </c>
      <c r="L721" t="str" cm="1">
        <f t="array" ref="L7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21">
        <v>3</v>
      </c>
      <c r="N721">
        <v>0.22</v>
      </c>
      <c r="O721">
        <f t="shared" si="2"/>
        <v>719</v>
      </c>
      <c r="P721">
        <f t="shared" si="3"/>
        <v>720</v>
      </c>
      <c r="Q721">
        <v>0.21210000000000001</v>
      </c>
      <c r="R721">
        <v>0.93</v>
      </c>
      <c r="S721">
        <v>0.22389999999999999</v>
      </c>
      <c r="T721">
        <v>1</v>
      </c>
      <c r="U721">
        <v>154</v>
      </c>
      <c r="V721">
        <v>155</v>
      </c>
    </row>
    <row r="722" spans="1:22" x14ac:dyDescent="0.3">
      <c r="A722">
        <v>721</v>
      </c>
      <c r="B722" s="1">
        <v>40576</v>
      </c>
      <c r="C722">
        <v>1</v>
      </c>
      <c r="D722">
        <v>0</v>
      </c>
      <c r="E722" t="str">
        <f>TEXT(Append1[[#This Row],[dteday]],"MMMM")</f>
        <v>February</v>
      </c>
      <c r="F722">
        <v>2</v>
      </c>
      <c r="G722">
        <v>9</v>
      </c>
      <c r="H722" t="b">
        <v>0</v>
      </c>
      <c r="I722" t="str">
        <f>TEXT(Append1[[#This Row],[dteday]],"DDDD")</f>
        <v>Wednesday</v>
      </c>
      <c r="J722" t="str" cm="1">
        <f t="array" ref="J722">_xlfn.IFS(Append1[[#This Row],[weekday cnt]]=0,"Weekend",Append1[[#This Row],[weekday cnt]]=6,"Weekend",Append1[[#This Row],[weekday cnt]]&gt;0,"Weekday")</f>
        <v>Weekday</v>
      </c>
      <c r="K722">
        <v>3</v>
      </c>
      <c r="L722" t="str" cm="1">
        <f t="array" ref="L7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22">
        <v>2</v>
      </c>
      <c r="N722">
        <v>0.24</v>
      </c>
      <c r="O722">
        <f t="shared" si="2"/>
        <v>720</v>
      </c>
      <c r="P722">
        <f t="shared" si="3"/>
        <v>721</v>
      </c>
      <c r="Q722">
        <v>0.2576</v>
      </c>
      <c r="R722">
        <v>0.93</v>
      </c>
      <c r="S722">
        <v>8.9599999999999999E-2</v>
      </c>
      <c r="T722">
        <v>4</v>
      </c>
      <c r="U722">
        <v>119</v>
      </c>
      <c r="V722">
        <v>123</v>
      </c>
    </row>
    <row r="723" spans="1:22" x14ac:dyDescent="0.3">
      <c r="A723">
        <v>722</v>
      </c>
      <c r="B723" s="1">
        <v>40576</v>
      </c>
      <c r="C723">
        <v>1</v>
      </c>
      <c r="D723">
        <v>0</v>
      </c>
      <c r="E723" t="str">
        <f>TEXT(Append1[[#This Row],[dteday]],"MMMM")</f>
        <v>February</v>
      </c>
      <c r="F723">
        <v>2</v>
      </c>
      <c r="G723">
        <v>10</v>
      </c>
      <c r="H723" t="b">
        <v>0</v>
      </c>
      <c r="I723" t="str">
        <f>TEXT(Append1[[#This Row],[dteday]],"DDDD")</f>
        <v>Wednesday</v>
      </c>
      <c r="J723" t="str" cm="1">
        <f t="array" ref="J723">_xlfn.IFS(Append1[[#This Row],[weekday cnt]]=0,"Weekend",Append1[[#This Row],[weekday cnt]]=6,"Weekend",Append1[[#This Row],[weekday cnt]]&gt;0,"Weekday")</f>
        <v>Weekday</v>
      </c>
      <c r="K723">
        <v>3</v>
      </c>
      <c r="L723" t="str" cm="1">
        <f t="array" ref="L7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23">
        <v>2</v>
      </c>
      <c r="N723">
        <v>0.22</v>
      </c>
      <c r="O723">
        <f t="shared" si="2"/>
        <v>721</v>
      </c>
      <c r="P723">
        <f t="shared" si="3"/>
        <v>722</v>
      </c>
      <c r="Q723">
        <v>0.2727</v>
      </c>
      <c r="R723">
        <v>1</v>
      </c>
      <c r="S723">
        <v>0</v>
      </c>
      <c r="T723">
        <v>2</v>
      </c>
      <c r="U723">
        <v>59</v>
      </c>
      <c r="V723">
        <v>61</v>
      </c>
    </row>
    <row r="724" spans="1:22" x14ac:dyDescent="0.3">
      <c r="A724">
        <v>723</v>
      </c>
      <c r="B724" s="1">
        <v>40576</v>
      </c>
      <c r="C724">
        <v>1</v>
      </c>
      <c r="D724">
        <v>0</v>
      </c>
      <c r="E724" t="str">
        <f>TEXT(Append1[[#This Row],[dteday]],"MMMM")</f>
        <v>February</v>
      </c>
      <c r="F724">
        <v>2</v>
      </c>
      <c r="G724">
        <v>11</v>
      </c>
      <c r="H724" t="b">
        <v>0</v>
      </c>
      <c r="I724" t="str">
        <f>TEXT(Append1[[#This Row],[dteday]],"DDDD")</f>
        <v>Wednesday</v>
      </c>
      <c r="J724" t="str" cm="1">
        <f t="array" ref="J724">_xlfn.IFS(Append1[[#This Row],[weekday cnt]]=0,"Weekend",Append1[[#This Row],[weekday cnt]]=6,"Weekend",Append1[[#This Row],[weekday cnt]]&gt;0,"Weekday")</f>
        <v>Weekday</v>
      </c>
      <c r="K724">
        <v>3</v>
      </c>
      <c r="L724" t="str" cm="1">
        <f t="array" ref="L7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24">
        <v>2</v>
      </c>
      <c r="N724">
        <v>0.24</v>
      </c>
      <c r="O724">
        <f t="shared" si="2"/>
        <v>722</v>
      </c>
      <c r="P724">
        <f t="shared" si="3"/>
        <v>723</v>
      </c>
      <c r="Q724">
        <v>0.2273</v>
      </c>
      <c r="R724">
        <v>0.93</v>
      </c>
      <c r="S724">
        <v>0.19400000000000001</v>
      </c>
      <c r="T724">
        <v>5</v>
      </c>
      <c r="U724">
        <v>47</v>
      </c>
      <c r="V724">
        <v>52</v>
      </c>
    </row>
    <row r="725" spans="1:22" x14ac:dyDescent="0.3">
      <c r="A725">
        <v>724</v>
      </c>
      <c r="B725" s="1">
        <v>40576</v>
      </c>
      <c r="C725">
        <v>1</v>
      </c>
      <c r="D725">
        <v>0</v>
      </c>
      <c r="E725" t="str">
        <f>TEXT(Append1[[#This Row],[dteday]],"MMMM")</f>
        <v>February</v>
      </c>
      <c r="F725">
        <v>2</v>
      </c>
      <c r="G725">
        <v>12</v>
      </c>
      <c r="H725" t="b">
        <v>0</v>
      </c>
      <c r="I725" t="str">
        <f>TEXT(Append1[[#This Row],[dteday]],"DDDD")</f>
        <v>Wednesday</v>
      </c>
      <c r="J725" t="str" cm="1">
        <f t="array" ref="J725">_xlfn.IFS(Append1[[#This Row],[weekday cnt]]=0,"Weekend",Append1[[#This Row],[weekday cnt]]=6,"Weekend",Append1[[#This Row],[weekday cnt]]&gt;0,"Weekday")</f>
        <v>Weekday</v>
      </c>
      <c r="K725">
        <v>3</v>
      </c>
      <c r="L725" t="str" cm="1">
        <f t="array" ref="L7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25">
        <v>2</v>
      </c>
      <c r="N725">
        <v>0.24</v>
      </c>
      <c r="O725">
        <f t="shared" si="2"/>
        <v>723</v>
      </c>
      <c r="P725">
        <f t="shared" si="3"/>
        <v>724</v>
      </c>
      <c r="Q725">
        <v>0.2273</v>
      </c>
      <c r="R725">
        <v>0.93</v>
      </c>
      <c r="S725">
        <v>0.22389999999999999</v>
      </c>
      <c r="T725">
        <v>3</v>
      </c>
      <c r="U725">
        <v>61</v>
      </c>
      <c r="V725">
        <v>64</v>
      </c>
    </row>
    <row r="726" spans="1:22" x14ac:dyDescent="0.3">
      <c r="A726">
        <v>725</v>
      </c>
      <c r="B726" s="1">
        <v>40576</v>
      </c>
      <c r="C726">
        <v>1</v>
      </c>
      <c r="D726">
        <v>0</v>
      </c>
      <c r="E726" t="str">
        <f>TEXT(Append1[[#This Row],[dteday]],"MMMM")</f>
        <v>February</v>
      </c>
      <c r="F726">
        <v>2</v>
      </c>
      <c r="G726">
        <v>13</v>
      </c>
      <c r="H726" t="b">
        <v>0</v>
      </c>
      <c r="I726" t="str">
        <f>TEXT(Append1[[#This Row],[dteday]],"DDDD")</f>
        <v>Wednesday</v>
      </c>
      <c r="J726" t="str" cm="1">
        <f t="array" ref="J726">_xlfn.IFS(Append1[[#This Row],[weekday cnt]]=0,"Weekend",Append1[[#This Row],[weekday cnt]]=6,"Weekend",Append1[[#This Row],[weekday cnt]]&gt;0,"Weekday")</f>
        <v>Weekday</v>
      </c>
      <c r="K726">
        <v>3</v>
      </c>
      <c r="L726" t="str" cm="1">
        <f t="array" ref="L7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26">
        <v>1</v>
      </c>
      <c r="N726">
        <v>0.34</v>
      </c>
      <c r="O726">
        <f t="shared" si="2"/>
        <v>724</v>
      </c>
      <c r="P726">
        <f t="shared" si="3"/>
        <v>725</v>
      </c>
      <c r="Q726">
        <v>0.33329999999999999</v>
      </c>
      <c r="R726">
        <v>0.93</v>
      </c>
      <c r="S726">
        <v>0.16420000000000001</v>
      </c>
      <c r="T726">
        <v>1</v>
      </c>
      <c r="U726">
        <v>74</v>
      </c>
      <c r="V726">
        <v>75</v>
      </c>
    </row>
    <row r="727" spans="1:22" x14ac:dyDescent="0.3">
      <c r="A727">
        <v>726</v>
      </c>
      <c r="B727" s="1">
        <v>40576</v>
      </c>
      <c r="C727">
        <v>1</v>
      </c>
      <c r="D727">
        <v>0</v>
      </c>
      <c r="E727" t="str">
        <f>TEXT(Append1[[#This Row],[dteday]],"MMMM")</f>
        <v>February</v>
      </c>
      <c r="F727">
        <v>2</v>
      </c>
      <c r="G727">
        <v>14</v>
      </c>
      <c r="H727" t="b">
        <v>0</v>
      </c>
      <c r="I727" t="str">
        <f>TEXT(Append1[[#This Row],[dteday]],"DDDD")</f>
        <v>Wednesday</v>
      </c>
      <c r="J727" t="str" cm="1">
        <f t="array" ref="J727">_xlfn.IFS(Append1[[#This Row],[weekday cnt]]=0,"Weekend",Append1[[#This Row],[weekday cnt]]=6,"Weekend",Append1[[#This Row],[weekday cnt]]&gt;0,"Weekday")</f>
        <v>Weekday</v>
      </c>
      <c r="K727">
        <v>3</v>
      </c>
      <c r="L727" t="str" cm="1">
        <f t="array" ref="L7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27">
        <v>1</v>
      </c>
      <c r="N727">
        <v>0.38</v>
      </c>
      <c r="O727">
        <f t="shared" si="2"/>
        <v>725</v>
      </c>
      <c r="P727">
        <f t="shared" si="3"/>
        <v>726</v>
      </c>
      <c r="Q727">
        <v>0.39389999999999997</v>
      </c>
      <c r="R727">
        <v>0.82</v>
      </c>
      <c r="S727">
        <v>0.3881</v>
      </c>
      <c r="T727">
        <v>2</v>
      </c>
      <c r="U727">
        <v>61</v>
      </c>
      <c r="V727">
        <v>63</v>
      </c>
    </row>
    <row r="728" spans="1:22" x14ac:dyDescent="0.3">
      <c r="A728">
        <v>727</v>
      </c>
      <c r="B728" s="1">
        <v>40576</v>
      </c>
      <c r="C728">
        <v>1</v>
      </c>
      <c r="D728">
        <v>0</v>
      </c>
      <c r="E728" t="str">
        <f>TEXT(Append1[[#This Row],[dteday]],"MMMM")</f>
        <v>February</v>
      </c>
      <c r="F728">
        <v>2</v>
      </c>
      <c r="G728">
        <v>15</v>
      </c>
      <c r="H728" t="b">
        <v>0</v>
      </c>
      <c r="I728" t="str">
        <f>TEXT(Append1[[#This Row],[dteday]],"DDDD")</f>
        <v>Wednesday</v>
      </c>
      <c r="J728" t="str" cm="1">
        <f t="array" ref="J728">_xlfn.IFS(Append1[[#This Row],[weekday cnt]]=0,"Weekend",Append1[[#This Row],[weekday cnt]]=6,"Weekend",Append1[[#This Row],[weekday cnt]]&gt;0,"Weekday")</f>
        <v>Weekday</v>
      </c>
      <c r="K728">
        <v>3</v>
      </c>
      <c r="L728" t="str" cm="1">
        <f t="array" ref="L7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28">
        <v>1</v>
      </c>
      <c r="N728">
        <v>0.38</v>
      </c>
      <c r="O728">
        <f t="shared" si="2"/>
        <v>726</v>
      </c>
      <c r="P728">
        <f t="shared" si="3"/>
        <v>727</v>
      </c>
      <c r="Q728">
        <v>0.39389999999999997</v>
      </c>
      <c r="R728">
        <v>0.76</v>
      </c>
      <c r="S728">
        <v>0.32840000000000003</v>
      </c>
      <c r="T728">
        <v>10</v>
      </c>
      <c r="U728">
        <v>66</v>
      </c>
      <c r="V728">
        <v>76</v>
      </c>
    </row>
    <row r="729" spans="1:22" x14ac:dyDescent="0.3">
      <c r="A729">
        <v>728</v>
      </c>
      <c r="B729" s="1">
        <v>40576</v>
      </c>
      <c r="C729">
        <v>1</v>
      </c>
      <c r="D729">
        <v>0</v>
      </c>
      <c r="E729" t="str">
        <f>TEXT(Append1[[#This Row],[dteday]],"MMMM")</f>
        <v>February</v>
      </c>
      <c r="F729">
        <v>2</v>
      </c>
      <c r="G729">
        <v>16</v>
      </c>
      <c r="H729" t="b">
        <v>0</v>
      </c>
      <c r="I729" t="str">
        <f>TEXT(Append1[[#This Row],[dteday]],"DDDD")</f>
        <v>Wednesday</v>
      </c>
      <c r="J729" t="str" cm="1">
        <f t="array" ref="J729">_xlfn.IFS(Append1[[#This Row],[weekday cnt]]=0,"Weekend",Append1[[#This Row],[weekday cnt]]=6,"Weekend",Append1[[#This Row],[weekday cnt]]&gt;0,"Weekday")</f>
        <v>Weekday</v>
      </c>
      <c r="K729">
        <v>3</v>
      </c>
      <c r="L729" t="str" cm="1">
        <f t="array" ref="L7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29">
        <v>1</v>
      </c>
      <c r="N729">
        <v>0.36</v>
      </c>
      <c r="O729">
        <f t="shared" si="2"/>
        <v>727</v>
      </c>
      <c r="P729">
        <f t="shared" si="3"/>
        <v>728</v>
      </c>
      <c r="Q729">
        <v>0.33329999999999999</v>
      </c>
      <c r="R729">
        <v>0.71</v>
      </c>
      <c r="S729">
        <v>0.29849999999999999</v>
      </c>
      <c r="T729">
        <v>8</v>
      </c>
      <c r="U729">
        <v>95</v>
      </c>
      <c r="V729">
        <v>103</v>
      </c>
    </row>
    <row r="730" spans="1:22" x14ac:dyDescent="0.3">
      <c r="A730">
        <v>729</v>
      </c>
      <c r="B730" s="1">
        <v>40576</v>
      </c>
      <c r="C730">
        <v>1</v>
      </c>
      <c r="D730">
        <v>0</v>
      </c>
      <c r="E730" t="str">
        <f>TEXT(Append1[[#This Row],[dteday]],"MMMM")</f>
        <v>February</v>
      </c>
      <c r="F730">
        <v>2</v>
      </c>
      <c r="G730">
        <v>17</v>
      </c>
      <c r="H730" t="b">
        <v>0</v>
      </c>
      <c r="I730" t="str">
        <f>TEXT(Append1[[#This Row],[dteday]],"DDDD")</f>
        <v>Wednesday</v>
      </c>
      <c r="J730" t="str" cm="1">
        <f t="array" ref="J730">_xlfn.IFS(Append1[[#This Row],[weekday cnt]]=0,"Weekend",Append1[[#This Row],[weekday cnt]]=6,"Weekend",Append1[[#This Row],[weekday cnt]]&gt;0,"Weekday")</f>
        <v>Weekday</v>
      </c>
      <c r="K730">
        <v>3</v>
      </c>
      <c r="L730" t="str" cm="1">
        <f t="array" ref="L7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0">
        <v>1</v>
      </c>
      <c r="N730">
        <v>0.36</v>
      </c>
      <c r="O730">
        <f t="shared" si="2"/>
        <v>728</v>
      </c>
      <c r="P730">
        <f t="shared" si="3"/>
        <v>729</v>
      </c>
      <c r="Q730">
        <v>0.31819999999999998</v>
      </c>
      <c r="R730">
        <v>0.53</v>
      </c>
      <c r="S730">
        <v>0.52239999999999998</v>
      </c>
      <c r="T730">
        <v>7</v>
      </c>
      <c r="U730">
        <v>183</v>
      </c>
      <c r="V730">
        <v>190</v>
      </c>
    </row>
    <row r="731" spans="1:22" x14ac:dyDescent="0.3">
      <c r="A731">
        <v>730</v>
      </c>
      <c r="B731" s="1">
        <v>40576</v>
      </c>
      <c r="C731">
        <v>1</v>
      </c>
      <c r="D731">
        <v>0</v>
      </c>
      <c r="E731" t="str">
        <f>TEXT(Append1[[#This Row],[dteday]],"MMMM")</f>
        <v>February</v>
      </c>
      <c r="F731">
        <v>2</v>
      </c>
      <c r="G731">
        <v>18</v>
      </c>
      <c r="H731" t="b">
        <v>0</v>
      </c>
      <c r="I731" t="str">
        <f>TEXT(Append1[[#This Row],[dteday]],"DDDD")</f>
        <v>Wednesday</v>
      </c>
      <c r="J731" t="str" cm="1">
        <f t="array" ref="J731">_xlfn.IFS(Append1[[#This Row],[weekday cnt]]=0,"Weekend",Append1[[#This Row],[weekday cnt]]=6,"Weekend",Append1[[#This Row],[weekday cnt]]&gt;0,"Weekday")</f>
        <v>Weekday</v>
      </c>
      <c r="K731">
        <v>3</v>
      </c>
      <c r="L731" t="str" cm="1">
        <f t="array" ref="L7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1">
        <v>1</v>
      </c>
      <c r="N731">
        <v>0.34</v>
      </c>
      <c r="O731">
        <f t="shared" si="2"/>
        <v>729</v>
      </c>
      <c r="P731">
        <f t="shared" si="3"/>
        <v>730</v>
      </c>
      <c r="Q731">
        <v>0.28789999999999999</v>
      </c>
      <c r="R731">
        <v>0.42</v>
      </c>
      <c r="S731">
        <v>0.55220000000000002</v>
      </c>
      <c r="T731">
        <v>7</v>
      </c>
      <c r="U731">
        <v>175</v>
      </c>
      <c r="V731">
        <v>182</v>
      </c>
    </row>
    <row r="732" spans="1:22" x14ac:dyDescent="0.3">
      <c r="A732">
        <v>731</v>
      </c>
      <c r="B732" s="1">
        <v>40576</v>
      </c>
      <c r="C732">
        <v>1</v>
      </c>
      <c r="D732">
        <v>0</v>
      </c>
      <c r="E732" t="str">
        <f>TEXT(Append1[[#This Row],[dteday]],"MMMM")</f>
        <v>February</v>
      </c>
      <c r="F732">
        <v>2</v>
      </c>
      <c r="G732">
        <v>19</v>
      </c>
      <c r="H732" t="b">
        <v>0</v>
      </c>
      <c r="I732" t="str">
        <f>TEXT(Append1[[#This Row],[dteday]],"DDDD")</f>
        <v>Wednesday</v>
      </c>
      <c r="J732" t="str" cm="1">
        <f t="array" ref="J732">_xlfn.IFS(Append1[[#This Row],[weekday cnt]]=0,"Weekend",Append1[[#This Row],[weekday cnt]]=6,"Weekend",Append1[[#This Row],[weekday cnt]]&gt;0,"Weekday")</f>
        <v>Weekday</v>
      </c>
      <c r="K732">
        <v>3</v>
      </c>
      <c r="L732" t="str" cm="1">
        <f t="array" ref="L7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2">
        <v>1</v>
      </c>
      <c r="N732">
        <v>0.28000000000000003</v>
      </c>
      <c r="O732">
        <f t="shared" si="2"/>
        <v>730</v>
      </c>
      <c r="P732">
        <f t="shared" si="3"/>
        <v>731</v>
      </c>
      <c r="Q732">
        <v>0.2424</v>
      </c>
      <c r="R732">
        <v>0.45</v>
      </c>
      <c r="S732">
        <v>0.49249999999999999</v>
      </c>
      <c r="T732">
        <v>3</v>
      </c>
      <c r="U732">
        <v>88</v>
      </c>
      <c r="V732">
        <v>91</v>
      </c>
    </row>
    <row r="733" spans="1:22" x14ac:dyDescent="0.3">
      <c r="A733">
        <v>732</v>
      </c>
      <c r="B733" s="1">
        <v>40576</v>
      </c>
      <c r="C733">
        <v>1</v>
      </c>
      <c r="D733">
        <v>0</v>
      </c>
      <c r="E733" t="str">
        <f>TEXT(Append1[[#This Row],[dteday]],"MMMM")</f>
        <v>February</v>
      </c>
      <c r="F733">
        <v>2</v>
      </c>
      <c r="G733">
        <v>20</v>
      </c>
      <c r="H733" t="b">
        <v>0</v>
      </c>
      <c r="I733" t="str">
        <f>TEXT(Append1[[#This Row],[dteday]],"DDDD")</f>
        <v>Wednesday</v>
      </c>
      <c r="J733" t="str" cm="1">
        <f t="array" ref="J733">_xlfn.IFS(Append1[[#This Row],[weekday cnt]]=0,"Weekend",Append1[[#This Row],[weekday cnt]]=6,"Weekend",Append1[[#This Row],[weekday cnt]]&gt;0,"Weekday")</f>
        <v>Weekday</v>
      </c>
      <c r="K733">
        <v>3</v>
      </c>
      <c r="L733" t="str" cm="1">
        <f t="array" ref="L7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3">
        <v>1</v>
      </c>
      <c r="N733">
        <v>0.24</v>
      </c>
      <c r="O733">
        <f t="shared" si="2"/>
        <v>731</v>
      </c>
      <c r="P733">
        <f t="shared" si="3"/>
        <v>732</v>
      </c>
      <c r="Q733">
        <v>0.19700000000000001</v>
      </c>
      <c r="R733">
        <v>0.48</v>
      </c>
      <c r="S733">
        <v>0.55220000000000002</v>
      </c>
      <c r="T733">
        <v>4</v>
      </c>
      <c r="U733">
        <v>71</v>
      </c>
      <c r="V733">
        <v>75</v>
      </c>
    </row>
    <row r="734" spans="1:22" x14ac:dyDescent="0.3">
      <c r="A734">
        <v>733</v>
      </c>
      <c r="B734" s="1">
        <v>40576</v>
      </c>
      <c r="C734">
        <v>1</v>
      </c>
      <c r="D734">
        <v>0</v>
      </c>
      <c r="E734" t="str">
        <f>TEXT(Append1[[#This Row],[dteday]],"MMMM")</f>
        <v>February</v>
      </c>
      <c r="F734">
        <v>2</v>
      </c>
      <c r="G734">
        <v>21</v>
      </c>
      <c r="H734" t="b">
        <v>0</v>
      </c>
      <c r="I734" t="str">
        <f>TEXT(Append1[[#This Row],[dteday]],"DDDD")</f>
        <v>Wednesday</v>
      </c>
      <c r="J734" t="str" cm="1">
        <f t="array" ref="J734">_xlfn.IFS(Append1[[#This Row],[weekday cnt]]=0,"Weekend",Append1[[#This Row],[weekday cnt]]=6,"Weekend",Append1[[#This Row],[weekday cnt]]&gt;0,"Weekday")</f>
        <v>Weekday</v>
      </c>
      <c r="K734">
        <v>3</v>
      </c>
      <c r="L734" t="str" cm="1">
        <f t="array" ref="L7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4">
        <v>1</v>
      </c>
      <c r="N734">
        <v>0.22</v>
      </c>
      <c r="O734">
        <f t="shared" si="2"/>
        <v>732</v>
      </c>
      <c r="P734">
        <f t="shared" si="3"/>
        <v>733</v>
      </c>
      <c r="Q734">
        <v>0.19700000000000001</v>
      </c>
      <c r="R734">
        <v>0.47</v>
      </c>
      <c r="S734">
        <v>0.32840000000000003</v>
      </c>
      <c r="T734">
        <v>1</v>
      </c>
      <c r="U734">
        <v>62</v>
      </c>
      <c r="V734">
        <v>63</v>
      </c>
    </row>
    <row r="735" spans="1:22" x14ac:dyDescent="0.3">
      <c r="A735">
        <v>734</v>
      </c>
      <c r="B735" s="1">
        <v>40576</v>
      </c>
      <c r="C735">
        <v>1</v>
      </c>
      <c r="D735">
        <v>0</v>
      </c>
      <c r="E735" t="str">
        <f>TEXT(Append1[[#This Row],[dteday]],"MMMM")</f>
        <v>February</v>
      </c>
      <c r="F735">
        <v>2</v>
      </c>
      <c r="G735">
        <v>22</v>
      </c>
      <c r="H735" t="b">
        <v>0</v>
      </c>
      <c r="I735" t="str">
        <f>TEXT(Append1[[#This Row],[dteday]],"DDDD")</f>
        <v>Wednesday</v>
      </c>
      <c r="J735" t="str" cm="1">
        <f t="array" ref="J735">_xlfn.IFS(Append1[[#This Row],[weekday cnt]]=0,"Weekend",Append1[[#This Row],[weekday cnt]]=6,"Weekend",Append1[[#This Row],[weekday cnt]]&gt;0,"Weekday")</f>
        <v>Weekday</v>
      </c>
      <c r="K735">
        <v>3</v>
      </c>
      <c r="L735" t="str" cm="1">
        <f t="array" ref="L7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5">
        <v>1</v>
      </c>
      <c r="N735">
        <v>0.22</v>
      </c>
      <c r="O735">
        <f t="shared" si="2"/>
        <v>733</v>
      </c>
      <c r="P735">
        <f t="shared" si="3"/>
        <v>734</v>
      </c>
      <c r="Q735">
        <v>0.21210000000000001</v>
      </c>
      <c r="R735">
        <v>0.44</v>
      </c>
      <c r="S735">
        <v>0.25369999999999998</v>
      </c>
      <c r="T735">
        <v>5</v>
      </c>
      <c r="U735">
        <v>35</v>
      </c>
      <c r="V735">
        <v>40</v>
      </c>
    </row>
    <row r="736" spans="1:22" x14ac:dyDescent="0.3">
      <c r="A736">
        <v>735</v>
      </c>
      <c r="B736" s="1">
        <v>40576</v>
      </c>
      <c r="C736">
        <v>1</v>
      </c>
      <c r="D736">
        <v>0</v>
      </c>
      <c r="E736" t="str">
        <f>TEXT(Append1[[#This Row],[dteday]],"MMMM")</f>
        <v>February</v>
      </c>
      <c r="F736">
        <v>2</v>
      </c>
      <c r="G736">
        <v>23</v>
      </c>
      <c r="H736" t="b">
        <v>0</v>
      </c>
      <c r="I736" t="str">
        <f>TEXT(Append1[[#This Row],[dteday]],"DDDD")</f>
        <v>Wednesday</v>
      </c>
      <c r="J736" t="str" cm="1">
        <f t="array" ref="J736">_xlfn.IFS(Append1[[#This Row],[weekday cnt]]=0,"Weekend",Append1[[#This Row],[weekday cnt]]=6,"Weekend",Append1[[#This Row],[weekday cnt]]&gt;0,"Weekday")</f>
        <v>Weekday</v>
      </c>
      <c r="K736">
        <v>3</v>
      </c>
      <c r="L736" t="str" cm="1">
        <f t="array" ref="L7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6">
        <v>1</v>
      </c>
      <c r="N736">
        <v>0.2</v>
      </c>
      <c r="O736">
        <f t="shared" si="2"/>
        <v>734</v>
      </c>
      <c r="P736">
        <f t="shared" si="3"/>
        <v>735</v>
      </c>
      <c r="Q736">
        <v>0.16669999999999999</v>
      </c>
      <c r="R736">
        <v>0.44</v>
      </c>
      <c r="S736">
        <v>0.44779999999999998</v>
      </c>
      <c r="T736">
        <v>3</v>
      </c>
      <c r="U736">
        <v>29</v>
      </c>
      <c r="V736">
        <v>32</v>
      </c>
    </row>
    <row r="737" spans="1:22" x14ac:dyDescent="0.3">
      <c r="A737">
        <v>736</v>
      </c>
      <c r="B737" s="1">
        <v>40577</v>
      </c>
      <c r="C737">
        <v>1</v>
      </c>
      <c r="D737">
        <v>0</v>
      </c>
      <c r="E737" t="str">
        <f>TEXT(Append1[[#This Row],[dteday]],"MMMM")</f>
        <v>February</v>
      </c>
      <c r="F737">
        <v>2</v>
      </c>
      <c r="G737">
        <v>0</v>
      </c>
      <c r="H737" t="b">
        <v>0</v>
      </c>
      <c r="I737" t="str">
        <f>TEXT(Append1[[#This Row],[dteday]],"DDDD")</f>
        <v>Thursday</v>
      </c>
      <c r="J737" t="str" cm="1">
        <f t="array" ref="J737">_xlfn.IFS(Append1[[#This Row],[weekday cnt]]=0,"Weekend",Append1[[#This Row],[weekday cnt]]=6,"Weekend",Append1[[#This Row],[weekday cnt]]&gt;0,"Weekday")</f>
        <v>Weekday</v>
      </c>
      <c r="K737">
        <v>4</v>
      </c>
      <c r="L737" t="str" cm="1">
        <f t="array" ref="L7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7">
        <v>1</v>
      </c>
      <c r="N737">
        <v>0.2</v>
      </c>
      <c r="O737">
        <f t="shared" si="2"/>
        <v>735</v>
      </c>
      <c r="P737">
        <f t="shared" si="3"/>
        <v>736</v>
      </c>
      <c r="Q737">
        <v>0.16669999999999999</v>
      </c>
      <c r="R737">
        <v>0.4</v>
      </c>
      <c r="S737">
        <v>0.44779999999999998</v>
      </c>
      <c r="T737">
        <v>1</v>
      </c>
      <c r="U737">
        <v>11</v>
      </c>
      <c r="V737">
        <v>12</v>
      </c>
    </row>
    <row r="738" spans="1:22" x14ac:dyDescent="0.3">
      <c r="A738">
        <v>737</v>
      </c>
      <c r="B738" s="1">
        <v>40577</v>
      </c>
      <c r="C738">
        <v>1</v>
      </c>
      <c r="D738">
        <v>0</v>
      </c>
      <c r="E738" t="str">
        <f>TEXT(Append1[[#This Row],[dteday]],"MMMM")</f>
        <v>February</v>
      </c>
      <c r="F738">
        <v>2</v>
      </c>
      <c r="G738">
        <v>1</v>
      </c>
      <c r="H738" t="b">
        <v>0</v>
      </c>
      <c r="I738" t="str">
        <f>TEXT(Append1[[#This Row],[dteday]],"DDDD")</f>
        <v>Thursday</v>
      </c>
      <c r="J738" t="str" cm="1">
        <f t="array" ref="J738">_xlfn.IFS(Append1[[#This Row],[weekday cnt]]=0,"Weekend",Append1[[#This Row],[weekday cnt]]=6,"Weekend",Append1[[#This Row],[weekday cnt]]&gt;0,"Weekday")</f>
        <v>Weekday</v>
      </c>
      <c r="K738">
        <v>4</v>
      </c>
      <c r="L738" t="str" cm="1">
        <f t="array" ref="L7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8">
        <v>1</v>
      </c>
      <c r="N738">
        <v>0.2</v>
      </c>
      <c r="O738">
        <f t="shared" si="2"/>
        <v>736</v>
      </c>
      <c r="P738">
        <f t="shared" si="3"/>
        <v>737</v>
      </c>
      <c r="Q738">
        <v>0.1515</v>
      </c>
      <c r="R738">
        <v>0.44</v>
      </c>
      <c r="S738">
        <v>0.52239999999999998</v>
      </c>
      <c r="T738">
        <v>0</v>
      </c>
      <c r="U738">
        <v>5</v>
      </c>
      <c r="V738">
        <v>5</v>
      </c>
    </row>
    <row r="739" spans="1:22" x14ac:dyDescent="0.3">
      <c r="A739">
        <v>738</v>
      </c>
      <c r="B739" s="1">
        <v>40577</v>
      </c>
      <c r="C739">
        <v>1</v>
      </c>
      <c r="D739">
        <v>0</v>
      </c>
      <c r="E739" t="str">
        <f>TEXT(Append1[[#This Row],[dteday]],"MMMM")</f>
        <v>February</v>
      </c>
      <c r="F739">
        <v>2</v>
      </c>
      <c r="G739">
        <v>2</v>
      </c>
      <c r="H739" t="b">
        <v>0</v>
      </c>
      <c r="I739" t="str">
        <f>TEXT(Append1[[#This Row],[dteday]],"DDDD")</f>
        <v>Thursday</v>
      </c>
      <c r="J739" t="str" cm="1">
        <f t="array" ref="J739">_xlfn.IFS(Append1[[#This Row],[weekday cnt]]=0,"Weekend",Append1[[#This Row],[weekday cnt]]=6,"Weekend",Append1[[#This Row],[weekday cnt]]&gt;0,"Weekday")</f>
        <v>Weekday</v>
      </c>
      <c r="K739">
        <v>4</v>
      </c>
      <c r="L739" t="str" cm="1">
        <f t="array" ref="L7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39">
        <v>1</v>
      </c>
      <c r="N739">
        <v>0.18</v>
      </c>
      <c r="O739">
        <f t="shared" si="2"/>
        <v>737</v>
      </c>
      <c r="P739">
        <f t="shared" si="3"/>
        <v>738</v>
      </c>
      <c r="Q739">
        <v>0.16669999999999999</v>
      </c>
      <c r="R739">
        <v>0.43</v>
      </c>
      <c r="S739">
        <v>0.25369999999999998</v>
      </c>
      <c r="T739">
        <v>0</v>
      </c>
      <c r="U739">
        <v>2</v>
      </c>
      <c r="V739">
        <v>2</v>
      </c>
    </row>
    <row r="740" spans="1:22" x14ac:dyDescent="0.3">
      <c r="A740">
        <v>739</v>
      </c>
      <c r="B740" s="1">
        <v>40577</v>
      </c>
      <c r="C740">
        <v>1</v>
      </c>
      <c r="D740">
        <v>0</v>
      </c>
      <c r="E740" t="str">
        <f>TEXT(Append1[[#This Row],[dteday]],"MMMM")</f>
        <v>February</v>
      </c>
      <c r="F740">
        <v>2</v>
      </c>
      <c r="G740">
        <v>3</v>
      </c>
      <c r="H740" t="b">
        <v>0</v>
      </c>
      <c r="I740" t="str">
        <f>TEXT(Append1[[#This Row],[dteday]],"DDDD")</f>
        <v>Thursday</v>
      </c>
      <c r="J740" t="str" cm="1">
        <f t="array" ref="J740">_xlfn.IFS(Append1[[#This Row],[weekday cnt]]=0,"Weekend",Append1[[#This Row],[weekday cnt]]=6,"Weekend",Append1[[#This Row],[weekday cnt]]&gt;0,"Weekday")</f>
        <v>Weekday</v>
      </c>
      <c r="K740">
        <v>4</v>
      </c>
      <c r="L740" t="str" cm="1">
        <f t="array" ref="L7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0">
        <v>1</v>
      </c>
      <c r="N740">
        <v>0.18</v>
      </c>
      <c r="O740">
        <f t="shared" si="2"/>
        <v>738</v>
      </c>
      <c r="P740">
        <f t="shared" si="3"/>
        <v>739</v>
      </c>
      <c r="Q740">
        <v>0.16669999999999999</v>
      </c>
      <c r="R740">
        <v>0.43</v>
      </c>
      <c r="S740">
        <v>0.25369999999999998</v>
      </c>
      <c r="T740">
        <v>0</v>
      </c>
      <c r="U740">
        <v>1</v>
      </c>
      <c r="V740">
        <v>1</v>
      </c>
    </row>
    <row r="741" spans="1:22" x14ac:dyDescent="0.3">
      <c r="A741">
        <v>740</v>
      </c>
      <c r="B741" s="1">
        <v>40577</v>
      </c>
      <c r="C741">
        <v>1</v>
      </c>
      <c r="D741">
        <v>0</v>
      </c>
      <c r="E741" t="str">
        <f>TEXT(Append1[[#This Row],[dteday]],"MMMM")</f>
        <v>February</v>
      </c>
      <c r="F741">
        <v>2</v>
      </c>
      <c r="G741">
        <v>5</v>
      </c>
      <c r="H741" t="b">
        <v>0</v>
      </c>
      <c r="I741" t="str">
        <f>TEXT(Append1[[#This Row],[dteday]],"DDDD")</f>
        <v>Thursday</v>
      </c>
      <c r="J741" t="str" cm="1">
        <f t="array" ref="J741">_xlfn.IFS(Append1[[#This Row],[weekday cnt]]=0,"Weekend",Append1[[#This Row],[weekday cnt]]=6,"Weekend",Append1[[#This Row],[weekday cnt]]&gt;0,"Weekday")</f>
        <v>Weekday</v>
      </c>
      <c r="K741">
        <v>4</v>
      </c>
      <c r="L741" t="str" cm="1">
        <f t="array" ref="L7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1">
        <v>1</v>
      </c>
      <c r="N741">
        <v>0.16</v>
      </c>
      <c r="O741">
        <f t="shared" ref="O741:O804" si="4">O740+1</f>
        <v>739</v>
      </c>
      <c r="P741">
        <f t="shared" ref="P741:P804" si="5">P740+1</f>
        <v>740</v>
      </c>
      <c r="Q741">
        <v>0.13639999999999999</v>
      </c>
      <c r="R741">
        <v>0.5</v>
      </c>
      <c r="S741">
        <v>0.29849999999999999</v>
      </c>
      <c r="T741">
        <v>0</v>
      </c>
      <c r="U741">
        <v>2</v>
      </c>
      <c r="V741">
        <v>2</v>
      </c>
    </row>
    <row r="742" spans="1:22" x14ac:dyDescent="0.3">
      <c r="A742">
        <v>741</v>
      </c>
      <c r="B742" s="1">
        <v>40577</v>
      </c>
      <c r="C742">
        <v>1</v>
      </c>
      <c r="D742">
        <v>0</v>
      </c>
      <c r="E742" t="str">
        <f>TEXT(Append1[[#This Row],[dteday]],"MMMM")</f>
        <v>February</v>
      </c>
      <c r="F742">
        <v>2</v>
      </c>
      <c r="G742">
        <v>6</v>
      </c>
      <c r="H742" t="b">
        <v>0</v>
      </c>
      <c r="I742" t="str">
        <f>TEXT(Append1[[#This Row],[dteday]],"DDDD")</f>
        <v>Thursday</v>
      </c>
      <c r="J742" t="str" cm="1">
        <f t="array" ref="J742">_xlfn.IFS(Append1[[#This Row],[weekday cnt]]=0,"Weekend",Append1[[#This Row],[weekday cnt]]=6,"Weekend",Append1[[#This Row],[weekday cnt]]&gt;0,"Weekday")</f>
        <v>Weekday</v>
      </c>
      <c r="K742">
        <v>4</v>
      </c>
      <c r="L742" t="str" cm="1">
        <f t="array" ref="L7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2">
        <v>1</v>
      </c>
      <c r="N742">
        <v>0.16</v>
      </c>
      <c r="O742">
        <f t="shared" si="4"/>
        <v>740</v>
      </c>
      <c r="P742">
        <f t="shared" si="5"/>
        <v>741</v>
      </c>
      <c r="Q742">
        <v>0.13639999999999999</v>
      </c>
      <c r="R742">
        <v>0.43</v>
      </c>
      <c r="S742">
        <v>0.35820000000000002</v>
      </c>
      <c r="T742">
        <v>0</v>
      </c>
      <c r="U742">
        <v>39</v>
      </c>
      <c r="V742">
        <v>39</v>
      </c>
    </row>
    <row r="743" spans="1:22" x14ac:dyDescent="0.3">
      <c r="A743">
        <v>742</v>
      </c>
      <c r="B743" s="1">
        <v>40577</v>
      </c>
      <c r="C743">
        <v>1</v>
      </c>
      <c r="D743">
        <v>0</v>
      </c>
      <c r="E743" t="str">
        <f>TEXT(Append1[[#This Row],[dteday]],"MMMM")</f>
        <v>February</v>
      </c>
      <c r="F743">
        <v>2</v>
      </c>
      <c r="G743">
        <v>7</v>
      </c>
      <c r="H743" t="b">
        <v>0</v>
      </c>
      <c r="I743" t="str">
        <f>TEXT(Append1[[#This Row],[dteday]],"DDDD")</f>
        <v>Thursday</v>
      </c>
      <c r="J743" t="str" cm="1">
        <f t="array" ref="J743">_xlfn.IFS(Append1[[#This Row],[weekday cnt]]=0,"Weekend",Append1[[#This Row],[weekday cnt]]=6,"Weekend",Append1[[#This Row],[weekday cnt]]&gt;0,"Weekday")</f>
        <v>Weekday</v>
      </c>
      <c r="K743">
        <v>4</v>
      </c>
      <c r="L743" t="str" cm="1">
        <f t="array" ref="L7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3">
        <v>1</v>
      </c>
      <c r="N743">
        <v>0.14000000000000001</v>
      </c>
      <c r="O743">
        <f t="shared" si="4"/>
        <v>741</v>
      </c>
      <c r="P743">
        <f t="shared" si="5"/>
        <v>742</v>
      </c>
      <c r="Q743">
        <v>0.1212</v>
      </c>
      <c r="R743">
        <v>0.5</v>
      </c>
      <c r="S743">
        <v>0.32840000000000003</v>
      </c>
      <c r="T743">
        <v>1</v>
      </c>
      <c r="U743">
        <v>86</v>
      </c>
      <c r="V743">
        <v>87</v>
      </c>
    </row>
    <row r="744" spans="1:22" x14ac:dyDescent="0.3">
      <c r="A744">
        <v>743</v>
      </c>
      <c r="B744" s="1">
        <v>40577</v>
      </c>
      <c r="C744">
        <v>1</v>
      </c>
      <c r="D744">
        <v>0</v>
      </c>
      <c r="E744" t="str">
        <f>TEXT(Append1[[#This Row],[dteday]],"MMMM")</f>
        <v>February</v>
      </c>
      <c r="F744">
        <v>2</v>
      </c>
      <c r="G744">
        <v>8</v>
      </c>
      <c r="H744" t="b">
        <v>0</v>
      </c>
      <c r="I744" t="str">
        <f>TEXT(Append1[[#This Row],[dteday]],"DDDD")</f>
        <v>Thursday</v>
      </c>
      <c r="J744" t="str" cm="1">
        <f t="array" ref="J744">_xlfn.IFS(Append1[[#This Row],[weekday cnt]]=0,"Weekend",Append1[[#This Row],[weekday cnt]]=6,"Weekend",Append1[[#This Row],[weekday cnt]]&gt;0,"Weekday")</f>
        <v>Weekday</v>
      </c>
      <c r="K744">
        <v>4</v>
      </c>
      <c r="L744" t="str" cm="1">
        <f t="array" ref="L7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4">
        <v>1</v>
      </c>
      <c r="N744">
        <v>0.14000000000000001</v>
      </c>
      <c r="O744">
        <f t="shared" si="4"/>
        <v>742</v>
      </c>
      <c r="P744">
        <f t="shared" si="5"/>
        <v>743</v>
      </c>
      <c r="Q744">
        <v>0.1212</v>
      </c>
      <c r="R744">
        <v>0.5</v>
      </c>
      <c r="S744">
        <v>0.35820000000000002</v>
      </c>
      <c r="T744">
        <v>4</v>
      </c>
      <c r="U744">
        <v>184</v>
      </c>
      <c r="V744">
        <v>188</v>
      </c>
    </row>
    <row r="745" spans="1:22" x14ac:dyDescent="0.3">
      <c r="A745">
        <v>744</v>
      </c>
      <c r="B745" s="1">
        <v>40577</v>
      </c>
      <c r="C745">
        <v>1</v>
      </c>
      <c r="D745">
        <v>0</v>
      </c>
      <c r="E745" t="str">
        <f>TEXT(Append1[[#This Row],[dteday]],"MMMM")</f>
        <v>February</v>
      </c>
      <c r="F745">
        <v>2</v>
      </c>
      <c r="G745">
        <v>9</v>
      </c>
      <c r="H745" t="b">
        <v>0</v>
      </c>
      <c r="I745" t="str">
        <f>TEXT(Append1[[#This Row],[dteday]],"DDDD")</f>
        <v>Thursday</v>
      </c>
      <c r="J745" t="str" cm="1">
        <f t="array" ref="J745">_xlfn.IFS(Append1[[#This Row],[weekday cnt]]=0,"Weekend",Append1[[#This Row],[weekday cnt]]=6,"Weekend",Append1[[#This Row],[weekday cnt]]&gt;0,"Weekday")</f>
        <v>Weekday</v>
      </c>
      <c r="K745">
        <v>4</v>
      </c>
      <c r="L745" t="str" cm="1">
        <f t="array" ref="L7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5">
        <v>1</v>
      </c>
      <c r="N745">
        <v>0.16</v>
      </c>
      <c r="O745">
        <f t="shared" si="4"/>
        <v>743</v>
      </c>
      <c r="P745">
        <f t="shared" si="5"/>
        <v>744</v>
      </c>
      <c r="Q745">
        <v>0.13639999999999999</v>
      </c>
      <c r="R745">
        <v>0.47</v>
      </c>
      <c r="S745">
        <v>0.29849999999999999</v>
      </c>
      <c r="T745">
        <v>6</v>
      </c>
      <c r="U745">
        <v>127</v>
      </c>
      <c r="V745">
        <v>133</v>
      </c>
    </row>
    <row r="746" spans="1:22" x14ac:dyDescent="0.3">
      <c r="A746">
        <v>745</v>
      </c>
      <c r="B746" s="1">
        <v>40577</v>
      </c>
      <c r="C746">
        <v>1</v>
      </c>
      <c r="D746">
        <v>0</v>
      </c>
      <c r="E746" t="str">
        <f>TEXT(Append1[[#This Row],[dteday]],"MMMM")</f>
        <v>February</v>
      </c>
      <c r="F746">
        <v>2</v>
      </c>
      <c r="G746">
        <v>10</v>
      </c>
      <c r="H746" t="b">
        <v>0</v>
      </c>
      <c r="I746" t="str">
        <f>TEXT(Append1[[#This Row],[dteday]],"DDDD")</f>
        <v>Thursday</v>
      </c>
      <c r="J746" t="str" cm="1">
        <f t="array" ref="J746">_xlfn.IFS(Append1[[#This Row],[weekday cnt]]=0,"Weekend",Append1[[#This Row],[weekday cnt]]=6,"Weekend",Append1[[#This Row],[weekday cnt]]&gt;0,"Weekday")</f>
        <v>Weekday</v>
      </c>
      <c r="K746">
        <v>4</v>
      </c>
      <c r="L746" t="str" cm="1">
        <f t="array" ref="L7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6">
        <v>1</v>
      </c>
      <c r="N746">
        <v>0.18</v>
      </c>
      <c r="O746">
        <f t="shared" si="4"/>
        <v>744</v>
      </c>
      <c r="P746">
        <f t="shared" si="5"/>
        <v>745</v>
      </c>
      <c r="Q746">
        <v>0.1515</v>
      </c>
      <c r="R746">
        <v>0.43</v>
      </c>
      <c r="S746">
        <v>0.32840000000000003</v>
      </c>
      <c r="T746">
        <v>2</v>
      </c>
      <c r="U746">
        <v>50</v>
      </c>
      <c r="V746">
        <v>52</v>
      </c>
    </row>
    <row r="747" spans="1:22" x14ac:dyDescent="0.3">
      <c r="A747">
        <v>746</v>
      </c>
      <c r="B747" s="1">
        <v>40577</v>
      </c>
      <c r="C747">
        <v>1</v>
      </c>
      <c r="D747">
        <v>0</v>
      </c>
      <c r="E747" t="str">
        <f>TEXT(Append1[[#This Row],[dteday]],"MMMM")</f>
        <v>February</v>
      </c>
      <c r="F747">
        <v>2</v>
      </c>
      <c r="G747">
        <v>11</v>
      </c>
      <c r="H747" t="b">
        <v>0</v>
      </c>
      <c r="I747" t="str">
        <f>TEXT(Append1[[#This Row],[dteday]],"DDDD")</f>
        <v>Thursday</v>
      </c>
      <c r="J747" t="str" cm="1">
        <f t="array" ref="J747">_xlfn.IFS(Append1[[#This Row],[weekday cnt]]=0,"Weekend",Append1[[#This Row],[weekday cnt]]=6,"Weekend",Append1[[#This Row],[weekday cnt]]&gt;0,"Weekday")</f>
        <v>Weekday</v>
      </c>
      <c r="K747">
        <v>4</v>
      </c>
      <c r="L747" t="str" cm="1">
        <f t="array" ref="L7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7">
        <v>1</v>
      </c>
      <c r="N747">
        <v>0.18</v>
      </c>
      <c r="O747">
        <f t="shared" si="4"/>
        <v>745</v>
      </c>
      <c r="P747">
        <f t="shared" si="5"/>
        <v>746</v>
      </c>
      <c r="Q747">
        <v>0.13639999999999999</v>
      </c>
      <c r="R747">
        <v>0.43</v>
      </c>
      <c r="S747">
        <v>0.44779999999999998</v>
      </c>
      <c r="T747">
        <v>9</v>
      </c>
      <c r="U747">
        <v>55</v>
      </c>
      <c r="V747">
        <v>64</v>
      </c>
    </row>
    <row r="748" spans="1:22" x14ac:dyDescent="0.3">
      <c r="A748">
        <v>747</v>
      </c>
      <c r="B748" s="1">
        <v>40577</v>
      </c>
      <c r="C748">
        <v>1</v>
      </c>
      <c r="D748">
        <v>0</v>
      </c>
      <c r="E748" t="str">
        <f>TEXT(Append1[[#This Row],[dteday]],"MMMM")</f>
        <v>February</v>
      </c>
      <c r="F748">
        <v>2</v>
      </c>
      <c r="G748">
        <v>12</v>
      </c>
      <c r="H748" t="b">
        <v>0</v>
      </c>
      <c r="I748" t="str">
        <f>TEXT(Append1[[#This Row],[dteday]],"DDDD")</f>
        <v>Thursday</v>
      </c>
      <c r="J748" t="str" cm="1">
        <f t="array" ref="J748">_xlfn.IFS(Append1[[#This Row],[weekday cnt]]=0,"Weekend",Append1[[#This Row],[weekday cnt]]=6,"Weekend",Append1[[#This Row],[weekday cnt]]&gt;0,"Weekday")</f>
        <v>Weekday</v>
      </c>
      <c r="K748">
        <v>4</v>
      </c>
      <c r="L748" t="str" cm="1">
        <f t="array" ref="L7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8">
        <v>1</v>
      </c>
      <c r="N748">
        <v>0.2</v>
      </c>
      <c r="O748">
        <f t="shared" si="4"/>
        <v>746</v>
      </c>
      <c r="P748">
        <f t="shared" si="5"/>
        <v>747</v>
      </c>
      <c r="Q748">
        <v>0.18179999999999999</v>
      </c>
      <c r="R748">
        <v>0.4</v>
      </c>
      <c r="S748">
        <v>0.35820000000000002</v>
      </c>
      <c r="T748">
        <v>2</v>
      </c>
      <c r="U748">
        <v>67</v>
      </c>
      <c r="V748">
        <v>69</v>
      </c>
    </row>
    <row r="749" spans="1:22" x14ac:dyDescent="0.3">
      <c r="A749">
        <v>748</v>
      </c>
      <c r="B749" s="1">
        <v>40577</v>
      </c>
      <c r="C749">
        <v>1</v>
      </c>
      <c r="D749">
        <v>0</v>
      </c>
      <c r="E749" t="str">
        <f>TEXT(Append1[[#This Row],[dteday]],"MMMM")</f>
        <v>February</v>
      </c>
      <c r="F749">
        <v>2</v>
      </c>
      <c r="G749">
        <v>13</v>
      </c>
      <c r="H749" t="b">
        <v>0</v>
      </c>
      <c r="I749" t="str">
        <f>TEXT(Append1[[#This Row],[dteday]],"DDDD")</f>
        <v>Thursday</v>
      </c>
      <c r="J749" t="str" cm="1">
        <f t="array" ref="J749">_xlfn.IFS(Append1[[#This Row],[weekday cnt]]=0,"Weekend",Append1[[#This Row],[weekday cnt]]=6,"Weekend",Append1[[#This Row],[weekday cnt]]&gt;0,"Weekday")</f>
        <v>Weekday</v>
      </c>
      <c r="K749">
        <v>4</v>
      </c>
      <c r="L749" t="str" cm="1">
        <f t="array" ref="L7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49">
        <v>1</v>
      </c>
      <c r="N749">
        <v>0.2</v>
      </c>
      <c r="O749">
        <f t="shared" si="4"/>
        <v>747</v>
      </c>
      <c r="P749">
        <f t="shared" si="5"/>
        <v>748</v>
      </c>
      <c r="Q749">
        <v>0.16669999999999999</v>
      </c>
      <c r="R749">
        <v>0.4</v>
      </c>
      <c r="S749">
        <v>0.41789999999999999</v>
      </c>
      <c r="T749">
        <v>4</v>
      </c>
      <c r="U749">
        <v>47</v>
      </c>
      <c r="V749">
        <v>51</v>
      </c>
    </row>
    <row r="750" spans="1:22" x14ac:dyDescent="0.3">
      <c r="A750">
        <v>749</v>
      </c>
      <c r="B750" s="1">
        <v>40577</v>
      </c>
      <c r="C750">
        <v>1</v>
      </c>
      <c r="D750">
        <v>0</v>
      </c>
      <c r="E750" t="str">
        <f>TEXT(Append1[[#This Row],[dteday]],"MMMM")</f>
        <v>February</v>
      </c>
      <c r="F750">
        <v>2</v>
      </c>
      <c r="G750">
        <v>14</v>
      </c>
      <c r="H750" t="b">
        <v>0</v>
      </c>
      <c r="I750" t="str">
        <f>TEXT(Append1[[#This Row],[dteday]],"DDDD")</f>
        <v>Thursday</v>
      </c>
      <c r="J750" t="str" cm="1">
        <f t="array" ref="J750">_xlfn.IFS(Append1[[#This Row],[weekday cnt]]=0,"Weekend",Append1[[#This Row],[weekday cnt]]=6,"Weekend",Append1[[#This Row],[weekday cnt]]&gt;0,"Weekday")</f>
        <v>Weekday</v>
      </c>
      <c r="K750">
        <v>4</v>
      </c>
      <c r="L750" t="str" cm="1">
        <f t="array" ref="L7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0">
        <v>1</v>
      </c>
      <c r="N750">
        <v>0.22</v>
      </c>
      <c r="O750">
        <f t="shared" si="4"/>
        <v>748</v>
      </c>
      <c r="P750">
        <f t="shared" si="5"/>
        <v>749</v>
      </c>
      <c r="Q750">
        <v>0.19700000000000001</v>
      </c>
      <c r="R750">
        <v>0.37</v>
      </c>
      <c r="S750">
        <v>0.3881</v>
      </c>
      <c r="T750">
        <v>4</v>
      </c>
      <c r="U750">
        <v>43</v>
      </c>
      <c r="V750">
        <v>47</v>
      </c>
    </row>
    <row r="751" spans="1:22" x14ac:dyDescent="0.3">
      <c r="A751">
        <v>750</v>
      </c>
      <c r="B751" s="1">
        <v>40577</v>
      </c>
      <c r="C751">
        <v>1</v>
      </c>
      <c r="D751">
        <v>0</v>
      </c>
      <c r="E751" t="str">
        <f>TEXT(Append1[[#This Row],[dteday]],"MMMM")</f>
        <v>February</v>
      </c>
      <c r="F751">
        <v>2</v>
      </c>
      <c r="G751">
        <v>15</v>
      </c>
      <c r="H751" t="b">
        <v>0</v>
      </c>
      <c r="I751" t="str">
        <f>TEXT(Append1[[#This Row],[dteday]],"DDDD")</f>
        <v>Thursday</v>
      </c>
      <c r="J751" t="str" cm="1">
        <f t="array" ref="J751">_xlfn.IFS(Append1[[#This Row],[weekday cnt]]=0,"Weekend",Append1[[#This Row],[weekday cnt]]=6,"Weekend",Append1[[#This Row],[weekday cnt]]&gt;0,"Weekday")</f>
        <v>Weekday</v>
      </c>
      <c r="K751">
        <v>4</v>
      </c>
      <c r="L751" t="str" cm="1">
        <f t="array" ref="L7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1">
        <v>1</v>
      </c>
      <c r="N751">
        <v>0.22</v>
      </c>
      <c r="O751">
        <f t="shared" si="4"/>
        <v>749</v>
      </c>
      <c r="P751">
        <f t="shared" si="5"/>
        <v>750</v>
      </c>
      <c r="Q751">
        <v>0.19700000000000001</v>
      </c>
      <c r="R751">
        <v>0.37</v>
      </c>
      <c r="S751">
        <v>0.32840000000000003</v>
      </c>
      <c r="T751">
        <v>4</v>
      </c>
      <c r="U751">
        <v>56</v>
      </c>
      <c r="V751">
        <v>60</v>
      </c>
    </row>
    <row r="752" spans="1:22" x14ac:dyDescent="0.3">
      <c r="A752">
        <v>751</v>
      </c>
      <c r="B752" s="1">
        <v>40577</v>
      </c>
      <c r="C752">
        <v>1</v>
      </c>
      <c r="D752">
        <v>0</v>
      </c>
      <c r="E752" t="str">
        <f>TEXT(Append1[[#This Row],[dteday]],"MMMM")</f>
        <v>February</v>
      </c>
      <c r="F752">
        <v>2</v>
      </c>
      <c r="G752">
        <v>16</v>
      </c>
      <c r="H752" t="b">
        <v>0</v>
      </c>
      <c r="I752" t="str">
        <f>TEXT(Append1[[#This Row],[dteday]],"DDDD")</f>
        <v>Thursday</v>
      </c>
      <c r="J752" t="str" cm="1">
        <f t="array" ref="J752">_xlfn.IFS(Append1[[#This Row],[weekday cnt]]=0,"Weekend",Append1[[#This Row],[weekday cnt]]=6,"Weekend",Append1[[#This Row],[weekday cnt]]&gt;0,"Weekday")</f>
        <v>Weekday</v>
      </c>
      <c r="K752">
        <v>4</v>
      </c>
      <c r="L752" t="str" cm="1">
        <f t="array" ref="L7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2">
        <v>1</v>
      </c>
      <c r="N752">
        <v>0.22</v>
      </c>
      <c r="O752">
        <f t="shared" si="4"/>
        <v>750</v>
      </c>
      <c r="P752">
        <f t="shared" si="5"/>
        <v>751</v>
      </c>
      <c r="Q752">
        <v>0.21210000000000001</v>
      </c>
      <c r="R752">
        <v>0.37</v>
      </c>
      <c r="S752">
        <v>0.25369999999999998</v>
      </c>
      <c r="T752">
        <v>5</v>
      </c>
      <c r="U752">
        <v>73</v>
      </c>
      <c r="V752">
        <v>78</v>
      </c>
    </row>
    <row r="753" spans="1:22" x14ac:dyDescent="0.3">
      <c r="A753">
        <v>752</v>
      </c>
      <c r="B753" s="1">
        <v>40577</v>
      </c>
      <c r="C753">
        <v>1</v>
      </c>
      <c r="D753">
        <v>0</v>
      </c>
      <c r="E753" t="str">
        <f>TEXT(Append1[[#This Row],[dteday]],"MMMM")</f>
        <v>February</v>
      </c>
      <c r="F753">
        <v>2</v>
      </c>
      <c r="G753">
        <v>17</v>
      </c>
      <c r="H753" t="b">
        <v>0</v>
      </c>
      <c r="I753" t="str">
        <f>TEXT(Append1[[#This Row],[dteday]],"DDDD")</f>
        <v>Thursday</v>
      </c>
      <c r="J753" t="str" cm="1">
        <f t="array" ref="J753">_xlfn.IFS(Append1[[#This Row],[weekday cnt]]=0,"Weekend",Append1[[#This Row],[weekday cnt]]=6,"Weekend",Append1[[#This Row],[weekday cnt]]&gt;0,"Weekday")</f>
        <v>Weekday</v>
      </c>
      <c r="K753">
        <v>4</v>
      </c>
      <c r="L753" t="str" cm="1">
        <f t="array" ref="L7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3">
        <v>1</v>
      </c>
      <c r="N753">
        <v>0.2</v>
      </c>
      <c r="O753">
        <f t="shared" si="4"/>
        <v>751</v>
      </c>
      <c r="P753">
        <f t="shared" si="5"/>
        <v>752</v>
      </c>
      <c r="Q753">
        <v>0.19700000000000001</v>
      </c>
      <c r="R753">
        <v>0.4</v>
      </c>
      <c r="S753">
        <v>0.19400000000000001</v>
      </c>
      <c r="T753">
        <v>5</v>
      </c>
      <c r="U753">
        <v>170</v>
      </c>
      <c r="V753">
        <v>175</v>
      </c>
    </row>
    <row r="754" spans="1:22" x14ac:dyDescent="0.3">
      <c r="A754">
        <v>753</v>
      </c>
      <c r="B754" s="1">
        <v>40577</v>
      </c>
      <c r="C754">
        <v>1</v>
      </c>
      <c r="D754">
        <v>0</v>
      </c>
      <c r="E754" t="str">
        <f>TEXT(Append1[[#This Row],[dteday]],"MMMM")</f>
        <v>February</v>
      </c>
      <c r="F754">
        <v>2</v>
      </c>
      <c r="G754">
        <v>18</v>
      </c>
      <c r="H754" t="b">
        <v>0</v>
      </c>
      <c r="I754" t="str">
        <f>TEXT(Append1[[#This Row],[dteday]],"DDDD")</f>
        <v>Thursday</v>
      </c>
      <c r="J754" t="str" cm="1">
        <f t="array" ref="J754">_xlfn.IFS(Append1[[#This Row],[weekday cnt]]=0,"Weekend",Append1[[#This Row],[weekday cnt]]=6,"Weekend",Append1[[#This Row],[weekday cnt]]&gt;0,"Weekday")</f>
        <v>Weekday</v>
      </c>
      <c r="K754">
        <v>4</v>
      </c>
      <c r="L754" t="str" cm="1">
        <f t="array" ref="L7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4">
        <v>1</v>
      </c>
      <c r="N754">
        <v>0.2</v>
      </c>
      <c r="O754">
        <f t="shared" si="4"/>
        <v>752</v>
      </c>
      <c r="P754">
        <f t="shared" si="5"/>
        <v>753</v>
      </c>
      <c r="Q754">
        <v>0.21210000000000001</v>
      </c>
      <c r="R754">
        <v>0.4</v>
      </c>
      <c r="S754">
        <v>0.16420000000000001</v>
      </c>
      <c r="T754">
        <v>2</v>
      </c>
      <c r="U754">
        <v>145</v>
      </c>
      <c r="V754">
        <v>147</v>
      </c>
    </row>
    <row r="755" spans="1:22" x14ac:dyDescent="0.3">
      <c r="A755">
        <v>754</v>
      </c>
      <c r="B755" s="1">
        <v>40577</v>
      </c>
      <c r="C755">
        <v>1</v>
      </c>
      <c r="D755">
        <v>0</v>
      </c>
      <c r="E755" t="str">
        <f>TEXT(Append1[[#This Row],[dteday]],"MMMM")</f>
        <v>February</v>
      </c>
      <c r="F755">
        <v>2</v>
      </c>
      <c r="G755">
        <v>19</v>
      </c>
      <c r="H755" t="b">
        <v>0</v>
      </c>
      <c r="I755" t="str">
        <f>TEXT(Append1[[#This Row],[dteday]],"DDDD")</f>
        <v>Thursday</v>
      </c>
      <c r="J755" t="str" cm="1">
        <f t="array" ref="J755">_xlfn.IFS(Append1[[#This Row],[weekday cnt]]=0,"Weekend",Append1[[#This Row],[weekday cnt]]=6,"Weekend",Append1[[#This Row],[weekday cnt]]&gt;0,"Weekday")</f>
        <v>Weekday</v>
      </c>
      <c r="K755">
        <v>4</v>
      </c>
      <c r="L755" t="str" cm="1">
        <f t="array" ref="L7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5">
        <v>1</v>
      </c>
      <c r="N755">
        <v>0.2</v>
      </c>
      <c r="O755">
        <f t="shared" si="4"/>
        <v>753</v>
      </c>
      <c r="P755">
        <f t="shared" si="5"/>
        <v>754</v>
      </c>
      <c r="Q755">
        <v>0.2576</v>
      </c>
      <c r="R755">
        <v>0.4</v>
      </c>
      <c r="S755">
        <v>0</v>
      </c>
      <c r="T755">
        <v>4</v>
      </c>
      <c r="U755">
        <v>92</v>
      </c>
      <c r="V755">
        <v>96</v>
      </c>
    </row>
    <row r="756" spans="1:22" x14ac:dyDescent="0.3">
      <c r="A756">
        <v>755</v>
      </c>
      <c r="B756" s="1">
        <v>40577</v>
      </c>
      <c r="C756">
        <v>1</v>
      </c>
      <c r="D756">
        <v>0</v>
      </c>
      <c r="E756" t="str">
        <f>TEXT(Append1[[#This Row],[dteday]],"MMMM")</f>
        <v>February</v>
      </c>
      <c r="F756">
        <v>2</v>
      </c>
      <c r="G756">
        <v>20</v>
      </c>
      <c r="H756" t="b">
        <v>0</v>
      </c>
      <c r="I756" t="str">
        <f>TEXT(Append1[[#This Row],[dteday]],"DDDD")</f>
        <v>Thursday</v>
      </c>
      <c r="J756" t="str" cm="1">
        <f t="array" ref="J756">_xlfn.IFS(Append1[[#This Row],[weekday cnt]]=0,"Weekend",Append1[[#This Row],[weekday cnt]]=6,"Weekend",Append1[[#This Row],[weekday cnt]]&gt;0,"Weekday")</f>
        <v>Weekday</v>
      </c>
      <c r="K756">
        <v>4</v>
      </c>
      <c r="L756" t="str" cm="1">
        <f t="array" ref="L7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6">
        <v>1</v>
      </c>
      <c r="N756">
        <v>0.2</v>
      </c>
      <c r="O756">
        <f t="shared" si="4"/>
        <v>754</v>
      </c>
      <c r="P756">
        <f t="shared" si="5"/>
        <v>755</v>
      </c>
      <c r="Q756">
        <v>0.2273</v>
      </c>
      <c r="R756">
        <v>0.47</v>
      </c>
      <c r="S756">
        <v>8.9599999999999999E-2</v>
      </c>
      <c r="T756">
        <v>1</v>
      </c>
      <c r="U756">
        <v>108</v>
      </c>
      <c r="V756">
        <v>109</v>
      </c>
    </row>
    <row r="757" spans="1:22" x14ac:dyDescent="0.3">
      <c r="A757">
        <v>756</v>
      </c>
      <c r="B757" s="1">
        <v>40577</v>
      </c>
      <c r="C757">
        <v>1</v>
      </c>
      <c r="D757">
        <v>0</v>
      </c>
      <c r="E757" t="str">
        <f>TEXT(Append1[[#This Row],[dteday]],"MMMM")</f>
        <v>February</v>
      </c>
      <c r="F757">
        <v>2</v>
      </c>
      <c r="G757">
        <v>21</v>
      </c>
      <c r="H757" t="b">
        <v>0</v>
      </c>
      <c r="I757" t="str">
        <f>TEXT(Append1[[#This Row],[dteday]],"DDDD")</f>
        <v>Thursday</v>
      </c>
      <c r="J757" t="str" cm="1">
        <f t="array" ref="J757">_xlfn.IFS(Append1[[#This Row],[weekday cnt]]=0,"Weekend",Append1[[#This Row],[weekday cnt]]=6,"Weekend",Append1[[#This Row],[weekday cnt]]&gt;0,"Weekday")</f>
        <v>Weekday</v>
      </c>
      <c r="K757">
        <v>4</v>
      </c>
      <c r="L757" t="str" cm="1">
        <f t="array" ref="L7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7">
        <v>1</v>
      </c>
      <c r="N757">
        <v>0.18</v>
      </c>
      <c r="O757">
        <f t="shared" si="4"/>
        <v>755</v>
      </c>
      <c r="P757">
        <f t="shared" si="5"/>
        <v>756</v>
      </c>
      <c r="Q757">
        <v>0.21210000000000001</v>
      </c>
      <c r="R757">
        <v>0.55000000000000004</v>
      </c>
      <c r="S757">
        <v>0.1045</v>
      </c>
      <c r="T757">
        <v>1</v>
      </c>
      <c r="U757">
        <v>53</v>
      </c>
      <c r="V757">
        <v>54</v>
      </c>
    </row>
    <row r="758" spans="1:22" x14ac:dyDescent="0.3">
      <c r="A758">
        <v>757</v>
      </c>
      <c r="B758" s="1">
        <v>40577</v>
      </c>
      <c r="C758">
        <v>1</v>
      </c>
      <c r="D758">
        <v>0</v>
      </c>
      <c r="E758" t="str">
        <f>TEXT(Append1[[#This Row],[dteday]],"MMMM")</f>
        <v>February</v>
      </c>
      <c r="F758">
        <v>2</v>
      </c>
      <c r="G758">
        <v>22</v>
      </c>
      <c r="H758" t="b">
        <v>0</v>
      </c>
      <c r="I758" t="str">
        <f>TEXT(Append1[[#This Row],[dteday]],"DDDD")</f>
        <v>Thursday</v>
      </c>
      <c r="J758" t="str" cm="1">
        <f t="array" ref="J758">_xlfn.IFS(Append1[[#This Row],[weekday cnt]]=0,"Weekend",Append1[[#This Row],[weekday cnt]]=6,"Weekend",Append1[[#This Row],[weekday cnt]]&gt;0,"Weekday")</f>
        <v>Weekday</v>
      </c>
      <c r="K758">
        <v>4</v>
      </c>
      <c r="L758" t="str" cm="1">
        <f t="array" ref="L7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8">
        <v>1</v>
      </c>
      <c r="N758">
        <v>0.18</v>
      </c>
      <c r="O758">
        <f t="shared" si="4"/>
        <v>756</v>
      </c>
      <c r="P758">
        <f t="shared" si="5"/>
        <v>757</v>
      </c>
      <c r="Q758">
        <v>0.21210000000000001</v>
      </c>
      <c r="R758">
        <v>0.51</v>
      </c>
      <c r="S758">
        <v>8.9599999999999999E-2</v>
      </c>
      <c r="T758">
        <v>2</v>
      </c>
      <c r="U758">
        <v>39</v>
      </c>
      <c r="V758">
        <v>41</v>
      </c>
    </row>
    <row r="759" spans="1:22" x14ac:dyDescent="0.3">
      <c r="A759">
        <v>758</v>
      </c>
      <c r="B759" s="1">
        <v>40577</v>
      </c>
      <c r="C759">
        <v>1</v>
      </c>
      <c r="D759">
        <v>0</v>
      </c>
      <c r="E759" t="str">
        <f>TEXT(Append1[[#This Row],[dteday]],"MMMM")</f>
        <v>February</v>
      </c>
      <c r="F759">
        <v>2</v>
      </c>
      <c r="G759">
        <v>23</v>
      </c>
      <c r="H759" t="b">
        <v>0</v>
      </c>
      <c r="I759" t="str">
        <f>TEXT(Append1[[#This Row],[dteday]],"DDDD")</f>
        <v>Thursday</v>
      </c>
      <c r="J759" t="str" cm="1">
        <f t="array" ref="J759">_xlfn.IFS(Append1[[#This Row],[weekday cnt]]=0,"Weekend",Append1[[#This Row],[weekday cnt]]=6,"Weekend",Append1[[#This Row],[weekday cnt]]&gt;0,"Weekday")</f>
        <v>Weekday</v>
      </c>
      <c r="K759">
        <v>4</v>
      </c>
      <c r="L759" t="str" cm="1">
        <f t="array" ref="L7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59">
        <v>1</v>
      </c>
      <c r="N759">
        <v>0.2</v>
      </c>
      <c r="O759">
        <f t="shared" si="4"/>
        <v>757</v>
      </c>
      <c r="P759">
        <f t="shared" si="5"/>
        <v>758</v>
      </c>
      <c r="Q759">
        <v>0.2273</v>
      </c>
      <c r="R759">
        <v>0.47</v>
      </c>
      <c r="S759">
        <v>0.1045</v>
      </c>
      <c r="T759">
        <v>4</v>
      </c>
      <c r="U759">
        <v>34</v>
      </c>
      <c r="V759">
        <v>38</v>
      </c>
    </row>
    <row r="760" spans="1:22" x14ac:dyDescent="0.3">
      <c r="A760">
        <v>759</v>
      </c>
      <c r="B760" s="1">
        <v>40578</v>
      </c>
      <c r="C760">
        <v>1</v>
      </c>
      <c r="D760">
        <v>0</v>
      </c>
      <c r="E760" t="str">
        <f>TEXT(Append1[[#This Row],[dteday]],"MMMM")</f>
        <v>February</v>
      </c>
      <c r="F760">
        <v>2</v>
      </c>
      <c r="G760">
        <v>0</v>
      </c>
      <c r="H760" t="b">
        <v>0</v>
      </c>
      <c r="I760" t="str">
        <f>TEXT(Append1[[#This Row],[dteday]],"DDDD")</f>
        <v>Friday</v>
      </c>
      <c r="J760" t="str" cm="1">
        <f t="array" ref="J760">_xlfn.IFS(Append1[[#This Row],[weekday cnt]]=0,"Weekend",Append1[[#This Row],[weekday cnt]]=6,"Weekend",Append1[[#This Row],[weekday cnt]]&gt;0,"Weekday")</f>
        <v>Weekday</v>
      </c>
      <c r="K760">
        <v>5</v>
      </c>
      <c r="L760" t="str" cm="1">
        <f t="array" ref="L7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60">
        <v>2</v>
      </c>
      <c r="N760">
        <v>0.2</v>
      </c>
      <c r="O760">
        <f t="shared" si="4"/>
        <v>758</v>
      </c>
      <c r="P760">
        <f t="shared" si="5"/>
        <v>759</v>
      </c>
      <c r="Q760">
        <v>0.2576</v>
      </c>
      <c r="R760">
        <v>0.44</v>
      </c>
      <c r="S760">
        <v>0</v>
      </c>
      <c r="T760">
        <v>3</v>
      </c>
      <c r="U760">
        <v>10</v>
      </c>
      <c r="V760">
        <v>13</v>
      </c>
    </row>
    <row r="761" spans="1:22" x14ac:dyDescent="0.3">
      <c r="A761">
        <v>760</v>
      </c>
      <c r="B761" s="1">
        <v>40578</v>
      </c>
      <c r="C761">
        <v>1</v>
      </c>
      <c r="D761">
        <v>0</v>
      </c>
      <c r="E761" t="str">
        <f>TEXT(Append1[[#This Row],[dteday]],"MMMM")</f>
        <v>February</v>
      </c>
      <c r="F761">
        <v>2</v>
      </c>
      <c r="G761">
        <v>1</v>
      </c>
      <c r="H761" t="b">
        <v>0</v>
      </c>
      <c r="I761" t="str">
        <f>TEXT(Append1[[#This Row],[dteday]],"DDDD")</f>
        <v>Friday</v>
      </c>
      <c r="J761" t="str" cm="1">
        <f t="array" ref="J761">_xlfn.IFS(Append1[[#This Row],[weekday cnt]]=0,"Weekend",Append1[[#This Row],[weekday cnt]]=6,"Weekend",Append1[[#This Row],[weekday cnt]]&gt;0,"Weekday")</f>
        <v>Weekday</v>
      </c>
      <c r="K761">
        <v>5</v>
      </c>
      <c r="L761" t="str" cm="1">
        <f t="array" ref="L7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61">
        <v>2</v>
      </c>
      <c r="N761">
        <v>0.16</v>
      </c>
      <c r="O761">
        <f t="shared" si="4"/>
        <v>759</v>
      </c>
      <c r="P761">
        <f t="shared" si="5"/>
        <v>760</v>
      </c>
      <c r="Q761">
        <v>0.2273</v>
      </c>
      <c r="R761">
        <v>0.59</v>
      </c>
      <c r="S761">
        <v>0</v>
      </c>
      <c r="T761">
        <v>0</v>
      </c>
      <c r="U761">
        <v>7</v>
      </c>
      <c r="V761">
        <v>7</v>
      </c>
    </row>
    <row r="762" spans="1:22" x14ac:dyDescent="0.3">
      <c r="A762">
        <v>761</v>
      </c>
      <c r="B762" s="1">
        <v>40578</v>
      </c>
      <c r="C762">
        <v>1</v>
      </c>
      <c r="D762">
        <v>0</v>
      </c>
      <c r="E762" t="str">
        <f>TEXT(Append1[[#This Row],[dteday]],"MMMM")</f>
        <v>February</v>
      </c>
      <c r="F762">
        <v>2</v>
      </c>
      <c r="G762">
        <v>2</v>
      </c>
      <c r="H762" t="b">
        <v>0</v>
      </c>
      <c r="I762" t="str">
        <f>TEXT(Append1[[#This Row],[dteday]],"DDDD")</f>
        <v>Friday</v>
      </c>
      <c r="J762" t="str" cm="1">
        <f t="array" ref="J762">_xlfn.IFS(Append1[[#This Row],[weekday cnt]]=0,"Weekend",Append1[[#This Row],[weekday cnt]]=6,"Weekend",Append1[[#This Row],[weekday cnt]]&gt;0,"Weekday")</f>
        <v>Weekday</v>
      </c>
      <c r="K762">
        <v>5</v>
      </c>
      <c r="L762" t="str" cm="1">
        <f t="array" ref="L7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62">
        <v>2</v>
      </c>
      <c r="N762">
        <v>0.14000000000000001</v>
      </c>
      <c r="O762">
        <f t="shared" si="4"/>
        <v>760</v>
      </c>
      <c r="P762">
        <f t="shared" si="5"/>
        <v>761</v>
      </c>
      <c r="Q762">
        <v>0.16669999999999999</v>
      </c>
      <c r="R762">
        <v>0.63</v>
      </c>
      <c r="S762">
        <v>0.1045</v>
      </c>
      <c r="T762">
        <v>0</v>
      </c>
      <c r="U762">
        <v>1</v>
      </c>
      <c r="V762">
        <v>1</v>
      </c>
    </row>
    <row r="763" spans="1:22" x14ac:dyDescent="0.3">
      <c r="A763">
        <v>762</v>
      </c>
      <c r="B763" s="1">
        <v>40578</v>
      </c>
      <c r="C763">
        <v>1</v>
      </c>
      <c r="D763">
        <v>0</v>
      </c>
      <c r="E763" t="str">
        <f>TEXT(Append1[[#This Row],[dteday]],"MMMM")</f>
        <v>February</v>
      </c>
      <c r="F763">
        <v>2</v>
      </c>
      <c r="G763">
        <v>3</v>
      </c>
      <c r="H763" t="b">
        <v>0</v>
      </c>
      <c r="I763" t="str">
        <f>TEXT(Append1[[#This Row],[dteday]],"DDDD")</f>
        <v>Friday</v>
      </c>
      <c r="J763" t="str" cm="1">
        <f t="array" ref="J763">_xlfn.IFS(Append1[[#This Row],[weekday cnt]]=0,"Weekend",Append1[[#This Row],[weekday cnt]]=6,"Weekend",Append1[[#This Row],[weekday cnt]]&gt;0,"Weekday")</f>
        <v>Weekday</v>
      </c>
      <c r="K763">
        <v>5</v>
      </c>
      <c r="L763" t="str" cm="1">
        <f t="array" ref="L7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63">
        <v>2</v>
      </c>
      <c r="N763">
        <v>0.14000000000000001</v>
      </c>
      <c r="O763">
        <f t="shared" si="4"/>
        <v>761</v>
      </c>
      <c r="P763">
        <f t="shared" si="5"/>
        <v>762</v>
      </c>
      <c r="Q763">
        <v>0.16669999999999999</v>
      </c>
      <c r="R763">
        <v>0.63</v>
      </c>
      <c r="S763">
        <v>0.1045</v>
      </c>
      <c r="T763">
        <v>0</v>
      </c>
      <c r="U763">
        <v>1</v>
      </c>
      <c r="V763">
        <v>1</v>
      </c>
    </row>
    <row r="764" spans="1:22" x14ac:dyDescent="0.3">
      <c r="A764">
        <v>763</v>
      </c>
      <c r="B764" s="1">
        <v>40578</v>
      </c>
      <c r="C764">
        <v>1</v>
      </c>
      <c r="D764">
        <v>0</v>
      </c>
      <c r="E764" t="str">
        <f>TEXT(Append1[[#This Row],[dteday]],"MMMM")</f>
        <v>February</v>
      </c>
      <c r="F764">
        <v>2</v>
      </c>
      <c r="G764">
        <v>5</v>
      </c>
      <c r="H764" t="b">
        <v>0</v>
      </c>
      <c r="I764" t="str">
        <f>TEXT(Append1[[#This Row],[dteday]],"DDDD")</f>
        <v>Friday</v>
      </c>
      <c r="J764" t="str" cm="1">
        <f t="array" ref="J764">_xlfn.IFS(Append1[[#This Row],[weekday cnt]]=0,"Weekend",Append1[[#This Row],[weekday cnt]]=6,"Weekend",Append1[[#This Row],[weekday cnt]]&gt;0,"Weekday")</f>
        <v>Weekday</v>
      </c>
      <c r="K764">
        <v>5</v>
      </c>
      <c r="L764" t="str" cm="1">
        <f t="array" ref="L7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64">
        <v>2</v>
      </c>
      <c r="N764">
        <v>0.14000000000000001</v>
      </c>
      <c r="O764">
        <f t="shared" si="4"/>
        <v>762</v>
      </c>
      <c r="P764">
        <f t="shared" si="5"/>
        <v>763</v>
      </c>
      <c r="Q764">
        <v>0.1515</v>
      </c>
      <c r="R764">
        <v>0.63</v>
      </c>
      <c r="S764">
        <v>0.1343</v>
      </c>
      <c r="T764">
        <v>0</v>
      </c>
      <c r="U764">
        <v>7</v>
      </c>
      <c r="V764">
        <v>7</v>
      </c>
    </row>
    <row r="765" spans="1:22" x14ac:dyDescent="0.3">
      <c r="A765">
        <v>764</v>
      </c>
      <c r="B765" s="1">
        <v>40578</v>
      </c>
      <c r="C765">
        <v>1</v>
      </c>
      <c r="D765">
        <v>0</v>
      </c>
      <c r="E765" t="str">
        <f>TEXT(Append1[[#This Row],[dteday]],"MMMM")</f>
        <v>February</v>
      </c>
      <c r="F765">
        <v>2</v>
      </c>
      <c r="G765">
        <v>6</v>
      </c>
      <c r="H765" t="b">
        <v>0</v>
      </c>
      <c r="I765" t="str">
        <f>TEXT(Append1[[#This Row],[dteday]],"DDDD")</f>
        <v>Friday</v>
      </c>
      <c r="J765" t="str" cm="1">
        <f t="array" ref="J765">_xlfn.IFS(Append1[[#This Row],[weekday cnt]]=0,"Weekend",Append1[[#This Row],[weekday cnt]]=6,"Weekend",Append1[[#This Row],[weekday cnt]]&gt;0,"Weekday")</f>
        <v>Weekday</v>
      </c>
      <c r="K765">
        <v>5</v>
      </c>
      <c r="L765" t="str" cm="1">
        <f t="array" ref="L7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65">
        <v>2</v>
      </c>
      <c r="N765">
        <v>0.16</v>
      </c>
      <c r="O765">
        <f t="shared" si="4"/>
        <v>763</v>
      </c>
      <c r="P765">
        <f t="shared" si="5"/>
        <v>764</v>
      </c>
      <c r="Q765">
        <v>0.2273</v>
      </c>
      <c r="R765">
        <v>0.55000000000000004</v>
      </c>
      <c r="S765">
        <v>0</v>
      </c>
      <c r="T765">
        <v>2</v>
      </c>
      <c r="U765">
        <v>26</v>
      </c>
      <c r="V765">
        <v>28</v>
      </c>
    </row>
    <row r="766" spans="1:22" x14ac:dyDescent="0.3">
      <c r="A766">
        <v>765</v>
      </c>
      <c r="B766" s="1">
        <v>40578</v>
      </c>
      <c r="C766">
        <v>1</v>
      </c>
      <c r="D766">
        <v>0</v>
      </c>
      <c r="E766" t="str">
        <f>TEXT(Append1[[#This Row],[dteday]],"MMMM")</f>
        <v>February</v>
      </c>
      <c r="F766">
        <v>2</v>
      </c>
      <c r="G766">
        <v>7</v>
      </c>
      <c r="H766" t="b">
        <v>0</v>
      </c>
      <c r="I766" t="str">
        <f>TEXT(Append1[[#This Row],[dteday]],"DDDD")</f>
        <v>Friday</v>
      </c>
      <c r="J766" t="str" cm="1">
        <f t="array" ref="J766">_xlfn.IFS(Append1[[#This Row],[weekday cnt]]=0,"Weekend",Append1[[#This Row],[weekday cnt]]=6,"Weekend",Append1[[#This Row],[weekday cnt]]&gt;0,"Weekday")</f>
        <v>Weekday</v>
      </c>
      <c r="K766">
        <v>5</v>
      </c>
      <c r="L766" t="str" cm="1">
        <f t="array" ref="L7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66">
        <v>1</v>
      </c>
      <c r="N766">
        <v>0.14000000000000001</v>
      </c>
      <c r="O766">
        <f t="shared" si="4"/>
        <v>764</v>
      </c>
      <c r="P766">
        <f t="shared" si="5"/>
        <v>765</v>
      </c>
      <c r="Q766">
        <v>0.21210000000000001</v>
      </c>
      <c r="R766">
        <v>0.59</v>
      </c>
      <c r="S766">
        <v>0</v>
      </c>
      <c r="T766">
        <v>0</v>
      </c>
      <c r="U766">
        <v>87</v>
      </c>
      <c r="V766">
        <v>87</v>
      </c>
    </row>
    <row r="767" spans="1:22" x14ac:dyDescent="0.3">
      <c r="A767">
        <v>766</v>
      </c>
      <c r="B767" s="1">
        <v>40578</v>
      </c>
      <c r="C767">
        <v>1</v>
      </c>
      <c r="D767">
        <v>0</v>
      </c>
      <c r="E767" t="str">
        <f>TEXT(Append1[[#This Row],[dteday]],"MMMM")</f>
        <v>February</v>
      </c>
      <c r="F767">
        <v>2</v>
      </c>
      <c r="G767">
        <v>8</v>
      </c>
      <c r="H767" t="b">
        <v>0</v>
      </c>
      <c r="I767" t="str">
        <f>TEXT(Append1[[#This Row],[dteday]],"DDDD")</f>
        <v>Friday</v>
      </c>
      <c r="J767" t="str" cm="1">
        <f t="array" ref="J767">_xlfn.IFS(Append1[[#This Row],[weekday cnt]]=0,"Weekend",Append1[[#This Row],[weekday cnt]]=6,"Weekend",Append1[[#This Row],[weekday cnt]]&gt;0,"Weekday")</f>
        <v>Weekday</v>
      </c>
      <c r="K767">
        <v>5</v>
      </c>
      <c r="L767" t="str" cm="1">
        <f t="array" ref="L7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67">
        <v>1</v>
      </c>
      <c r="N767">
        <v>0.14000000000000001</v>
      </c>
      <c r="O767">
        <f t="shared" si="4"/>
        <v>765</v>
      </c>
      <c r="P767">
        <f t="shared" si="5"/>
        <v>766</v>
      </c>
      <c r="Q767">
        <v>0.1515</v>
      </c>
      <c r="R767">
        <v>0.74</v>
      </c>
      <c r="S767">
        <v>0.1343</v>
      </c>
      <c r="T767">
        <v>3</v>
      </c>
      <c r="U767">
        <v>217</v>
      </c>
      <c r="V767">
        <v>220</v>
      </c>
    </row>
    <row r="768" spans="1:22" x14ac:dyDescent="0.3">
      <c r="A768">
        <v>767</v>
      </c>
      <c r="B768" s="1">
        <v>40578</v>
      </c>
      <c r="C768">
        <v>1</v>
      </c>
      <c r="D768">
        <v>0</v>
      </c>
      <c r="E768" t="str">
        <f>TEXT(Append1[[#This Row],[dteday]],"MMMM")</f>
        <v>February</v>
      </c>
      <c r="F768">
        <v>2</v>
      </c>
      <c r="G768">
        <v>9</v>
      </c>
      <c r="H768" t="b">
        <v>0</v>
      </c>
      <c r="I768" t="str">
        <f>TEXT(Append1[[#This Row],[dteday]],"DDDD")</f>
        <v>Friday</v>
      </c>
      <c r="J768" t="str" cm="1">
        <f t="array" ref="J768">_xlfn.IFS(Append1[[#This Row],[weekday cnt]]=0,"Weekend",Append1[[#This Row],[weekday cnt]]=6,"Weekend",Append1[[#This Row],[weekday cnt]]&gt;0,"Weekday")</f>
        <v>Weekday</v>
      </c>
      <c r="K768">
        <v>5</v>
      </c>
      <c r="L768" t="str" cm="1">
        <f t="array" ref="L7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68">
        <v>2</v>
      </c>
      <c r="N768">
        <v>0.16</v>
      </c>
      <c r="O768">
        <f t="shared" si="4"/>
        <v>766</v>
      </c>
      <c r="P768">
        <f t="shared" si="5"/>
        <v>767</v>
      </c>
      <c r="Q768">
        <v>0.18179999999999999</v>
      </c>
      <c r="R768">
        <v>0.8</v>
      </c>
      <c r="S768">
        <v>0.1343</v>
      </c>
      <c r="T768">
        <v>3</v>
      </c>
      <c r="U768">
        <v>124</v>
      </c>
      <c r="V768">
        <v>127</v>
      </c>
    </row>
    <row r="769" spans="1:22" x14ac:dyDescent="0.3">
      <c r="A769">
        <v>768</v>
      </c>
      <c r="B769" s="1">
        <v>40578</v>
      </c>
      <c r="C769">
        <v>1</v>
      </c>
      <c r="D769">
        <v>0</v>
      </c>
      <c r="E769" t="str">
        <f>TEXT(Append1[[#This Row],[dteday]],"MMMM")</f>
        <v>February</v>
      </c>
      <c r="F769">
        <v>2</v>
      </c>
      <c r="G769">
        <v>10</v>
      </c>
      <c r="H769" t="b">
        <v>0</v>
      </c>
      <c r="I769" t="str">
        <f>TEXT(Append1[[#This Row],[dteday]],"DDDD")</f>
        <v>Friday</v>
      </c>
      <c r="J769" t="str" cm="1">
        <f t="array" ref="J769">_xlfn.IFS(Append1[[#This Row],[weekday cnt]]=0,"Weekend",Append1[[#This Row],[weekday cnt]]=6,"Weekend",Append1[[#This Row],[weekday cnt]]&gt;0,"Weekday")</f>
        <v>Weekday</v>
      </c>
      <c r="K769">
        <v>5</v>
      </c>
      <c r="L769" t="str" cm="1">
        <f t="array" ref="L7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69">
        <v>2</v>
      </c>
      <c r="N769">
        <v>0.2</v>
      </c>
      <c r="O769">
        <f t="shared" si="4"/>
        <v>767</v>
      </c>
      <c r="P769">
        <f t="shared" si="5"/>
        <v>768</v>
      </c>
      <c r="Q769">
        <v>0.21210000000000001</v>
      </c>
      <c r="R769">
        <v>0.51</v>
      </c>
      <c r="S769">
        <v>0.1343</v>
      </c>
      <c r="T769">
        <v>5</v>
      </c>
      <c r="U769">
        <v>46</v>
      </c>
      <c r="V769">
        <v>51</v>
      </c>
    </row>
    <row r="770" spans="1:22" x14ac:dyDescent="0.3">
      <c r="A770">
        <v>769</v>
      </c>
      <c r="B770" s="1">
        <v>40578</v>
      </c>
      <c r="C770">
        <v>1</v>
      </c>
      <c r="D770">
        <v>0</v>
      </c>
      <c r="E770" t="str">
        <f>TEXT(Append1[[#This Row],[dteday]],"MMMM")</f>
        <v>February</v>
      </c>
      <c r="F770">
        <v>2</v>
      </c>
      <c r="G770">
        <v>11</v>
      </c>
      <c r="H770" t="b">
        <v>0</v>
      </c>
      <c r="I770" t="str">
        <f>TEXT(Append1[[#This Row],[dteday]],"DDDD")</f>
        <v>Friday</v>
      </c>
      <c r="J770" t="str" cm="1">
        <f t="array" ref="J770">_xlfn.IFS(Append1[[#This Row],[weekday cnt]]=0,"Weekend",Append1[[#This Row],[weekday cnt]]=6,"Weekend",Append1[[#This Row],[weekday cnt]]&gt;0,"Weekday")</f>
        <v>Weekday</v>
      </c>
      <c r="K770">
        <v>5</v>
      </c>
      <c r="L770" t="str" cm="1">
        <f t="array" ref="L7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770">
        <v>1</v>
      </c>
      <c r="N770">
        <v>0.22</v>
      </c>
      <c r="O770">
        <f t="shared" si="4"/>
        <v>768</v>
      </c>
      <c r="P770">
        <f t="shared" si="5"/>
        <v>769</v>
      </c>
      <c r="Q770">
        <v>0.2273</v>
      </c>
      <c r="R770">
        <v>0.51</v>
      </c>
      <c r="S770">
        <v>0.16420000000000001</v>
      </c>
      <c r="T770">
        <v>3</v>
      </c>
      <c r="U770">
        <v>61</v>
      </c>
      <c r="V770">
        <v>64</v>
      </c>
    </row>
    <row r="771" spans="1:22" x14ac:dyDescent="0.3">
      <c r="A771">
        <v>770</v>
      </c>
      <c r="B771" s="1">
        <v>40578</v>
      </c>
      <c r="C771">
        <v>1</v>
      </c>
      <c r="D771">
        <v>0</v>
      </c>
      <c r="E771" t="str">
        <f>TEXT(Append1[[#This Row],[dteday]],"MMMM")</f>
        <v>February</v>
      </c>
      <c r="F771">
        <v>2</v>
      </c>
      <c r="G771">
        <v>12</v>
      </c>
      <c r="H771" t="b">
        <v>0</v>
      </c>
      <c r="I771" t="str">
        <f>TEXT(Append1[[#This Row],[dteday]],"DDDD")</f>
        <v>Friday</v>
      </c>
      <c r="J771" t="str" cm="1">
        <f t="array" ref="J771">_xlfn.IFS(Append1[[#This Row],[weekday cnt]]=0,"Weekend",Append1[[#This Row],[weekday cnt]]=6,"Weekend",Append1[[#This Row],[weekday cnt]]&gt;0,"Weekday")</f>
        <v>Weekday</v>
      </c>
      <c r="K771">
        <v>5</v>
      </c>
      <c r="L771" t="str" cm="1">
        <f t="array" ref="L7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71">
        <v>2</v>
      </c>
      <c r="N771">
        <v>0.24</v>
      </c>
      <c r="O771">
        <f t="shared" si="4"/>
        <v>769</v>
      </c>
      <c r="P771">
        <f t="shared" si="5"/>
        <v>770</v>
      </c>
      <c r="Q771">
        <v>0.2424</v>
      </c>
      <c r="R771">
        <v>0.48</v>
      </c>
      <c r="S771">
        <v>0.16420000000000001</v>
      </c>
      <c r="T771">
        <v>8</v>
      </c>
      <c r="U771">
        <v>78</v>
      </c>
      <c r="V771">
        <v>86</v>
      </c>
    </row>
    <row r="772" spans="1:22" x14ac:dyDescent="0.3">
      <c r="A772">
        <v>771</v>
      </c>
      <c r="B772" s="1">
        <v>40578</v>
      </c>
      <c r="C772">
        <v>1</v>
      </c>
      <c r="D772">
        <v>0</v>
      </c>
      <c r="E772" t="str">
        <f>TEXT(Append1[[#This Row],[dteday]],"MMMM")</f>
        <v>February</v>
      </c>
      <c r="F772">
        <v>2</v>
      </c>
      <c r="G772">
        <v>13</v>
      </c>
      <c r="H772" t="b">
        <v>0</v>
      </c>
      <c r="I772" t="str">
        <f>TEXT(Append1[[#This Row],[dteday]],"DDDD")</f>
        <v>Friday</v>
      </c>
      <c r="J772" t="str" cm="1">
        <f t="array" ref="J772">_xlfn.IFS(Append1[[#This Row],[weekday cnt]]=0,"Weekend",Append1[[#This Row],[weekday cnt]]=6,"Weekend",Append1[[#This Row],[weekday cnt]]&gt;0,"Weekday")</f>
        <v>Weekday</v>
      </c>
      <c r="K772">
        <v>5</v>
      </c>
      <c r="L772" t="str" cm="1">
        <f t="array" ref="L7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72">
        <v>2</v>
      </c>
      <c r="N772">
        <v>0.26</v>
      </c>
      <c r="O772">
        <f t="shared" si="4"/>
        <v>770</v>
      </c>
      <c r="P772">
        <f t="shared" si="5"/>
        <v>771</v>
      </c>
      <c r="Q772">
        <v>0.2576</v>
      </c>
      <c r="R772">
        <v>0.5</v>
      </c>
      <c r="S772">
        <v>0.22389999999999999</v>
      </c>
      <c r="T772">
        <v>9</v>
      </c>
      <c r="U772">
        <v>73</v>
      </c>
      <c r="V772">
        <v>82</v>
      </c>
    </row>
    <row r="773" spans="1:22" x14ac:dyDescent="0.3">
      <c r="A773">
        <v>772</v>
      </c>
      <c r="B773" s="1">
        <v>40578</v>
      </c>
      <c r="C773">
        <v>1</v>
      </c>
      <c r="D773">
        <v>0</v>
      </c>
      <c r="E773" t="str">
        <f>TEXT(Append1[[#This Row],[dteday]],"MMMM")</f>
        <v>February</v>
      </c>
      <c r="F773">
        <v>2</v>
      </c>
      <c r="G773">
        <v>14</v>
      </c>
      <c r="H773" t="b">
        <v>0</v>
      </c>
      <c r="I773" t="str">
        <f>TEXT(Append1[[#This Row],[dteday]],"DDDD")</f>
        <v>Friday</v>
      </c>
      <c r="J773" t="str" cm="1">
        <f t="array" ref="J773">_xlfn.IFS(Append1[[#This Row],[weekday cnt]]=0,"Weekend",Append1[[#This Row],[weekday cnt]]=6,"Weekend",Append1[[#This Row],[weekday cnt]]&gt;0,"Weekday")</f>
        <v>Weekday</v>
      </c>
      <c r="K773">
        <v>5</v>
      </c>
      <c r="L773" t="str" cm="1">
        <f t="array" ref="L7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73">
        <v>2</v>
      </c>
      <c r="N773">
        <v>0.28000000000000003</v>
      </c>
      <c r="O773">
        <f t="shared" si="4"/>
        <v>771</v>
      </c>
      <c r="P773">
        <f t="shared" si="5"/>
        <v>772</v>
      </c>
      <c r="Q773">
        <v>0.2727</v>
      </c>
      <c r="R773">
        <v>0.45</v>
      </c>
      <c r="S773">
        <v>0.16420000000000001</v>
      </c>
      <c r="T773">
        <v>15</v>
      </c>
      <c r="U773">
        <v>76</v>
      </c>
      <c r="V773">
        <v>91</v>
      </c>
    </row>
    <row r="774" spans="1:22" x14ac:dyDescent="0.3">
      <c r="A774">
        <v>773</v>
      </c>
      <c r="B774" s="1">
        <v>40578</v>
      </c>
      <c r="C774">
        <v>1</v>
      </c>
      <c r="D774">
        <v>0</v>
      </c>
      <c r="E774" t="str">
        <f>TEXT(Append1[[#This Row],[dteday]],"MMMM")</f>
        <v>February</v>
      </c>
      <c r="F774">
        <v>2</v>
      </c>
      <c r="G774">
        <v>15</v>
      </c>
      <c r="H774" t="b">
        <v>0</v>
      </c>
      <c r="I774" t="str">
        <f>TEXT(Append1[[#This Row],[dteday]],"DDDD")</f>
        <v>Friday</v>
      </c>
      <c r="J774" t="str" cm="1">
        <f t="array" ref="J774">_xlfn.IFS(Append1[[#This Row],[weekday cnt]]=0,"Weekend",Append1[[#This Row],[weekday cnt]]=6,"Weekend",Append1[[#This Row],[weekday cnt]]&gt;0,"Weekday")</f>
        <v>Weekday</v>
      </c>
      <c r="K774">
        <v>5</v>
      </c>
      <c r="L774" t="str" cm="1">
        <f t="array" ref="L7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74">
        <v>2</v>
      </c>
      <c r="N774">
        <v>0.28000000000000003</v>
      </c>
      <c r="O774">
        <f t="shared" si="4"/>
        <v>772</v>
      </c>
      <c r="P774">
        <f t="shared" si="5"/>
        <v>773</v>
      </c>
      <c r="Q774">
        <v>0.2727</v>
      </c>
      <c r="R774">
        <v>0.48</v>
      </c>
      <c r="S774">
        <v>0.25369999999999998</v>
      </c>
      <c r="T774">
        <v>9</v>
      </c>
      <c r="U774">
        <v>81</v>
      </c>
      <c r="V774">
        <v>90</v>
      </c>
    </row>
    <row r="775" spans="1:22" x14ac:dyDescent="0.3">
      <c r="A775">
        <v>774</v>
      </c>
      <c r="B775" s="1">
        <v>40578</v>
      </c>
      <c r="C775">
        <v>1</v>
      </c>
      <c r="D775">
        <v>0</v>
      </c>
      <c r="E775" t="str">
        <f>TEXT(Append1[[#This Row],[dteday]],"MMMM")</f>
        <v>February</v>
      </c>
      <c r="F775">
        <v>2</v>
      </c>
      <c r="G775">
        <v>16</v>
      </c>
      <c r="H775" t="b">
        <v>0</v>
      </c>
      <c r="I775" t="str">
        <f>TEXT(Append1[[#This Row],[dteday]],"DDDD")</f>
        <v>Friday</v>
      </c>
      <c r="J775" t="str" cm="1">
        <f t="array" ref="J775">_xlfn.IFS(Append1[[#This Row],[weekday cnt]]=0,"Weekend",Append1[[#This Row],[weekday cnt]]=6,"Weekend",Append1[[#This Row],[weekday cnt]]&gt;0,"Weekday")</f>
        <v>Weekday</v>
      </c>
      <c r="K775">
        <v>5</v>
      </c>
      <c r="L775" t="str" cm="1">
        <f t="array" ref="L7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75">
        <v>2</v>
      </c>
      <c r="N775">
        <v>0.3</v>
      </c>
      <c r="O775">
        <f t="shared" si="4"/>
        <v>773</v>
      </c>
      <c r="P775">
        <f t="shared" si="5"/>
        <v>774</v>
      </c>
      <c r="Q775">
        <v>0.28789999999999999</v>
      </c>
      <c r="R775">
        <v>0.42</v>
      </c>
      <c r="S775">
        <v>0.22389999999999999</v>
      </c>
      <c r="T775">
        <v>8</v>
      </c>
      <c r="U775">
        <v>91</v>
      </c>
      <c r="V775">
        <v>99</v>
      </c>
    </row>
    <row r="776" spans="1:22" x14ac:dyDescent="0.3">
      <c r="A776">
        <v>775</v>
      </c>
      <c r="B776" s="1">
        <v>40578</v>
      </c>
      <c r="C776">
        <v>1</v>
      </c>
      <c r="D776">
        <v>0</v>
      </c>
      <c r="E776" t="str">
        <f>TEXT(Append1[[#This Row],[dteday]],"MMMM")</f>
        <v>February</v>
      </c>
      <c r="F776">
        <v>2</v>
      </c>
      <c r="G776">
        <v>17</v>
      </c>
      <c r="H776" t="b">
        <v>0</v>
      </c>
      <c r="I776" t="str">
        <f>TEXT(Append1[[#This Row],[dteday]],"DDDD")</f>
        <v>Friday</v>
      </c>
      <c r="J776" t="str" cm="1">
        <f t="array" ref="J776">_xlfn.IFS(Append1[[#This Row],[weekday cnt]]=0,"Weekend",Append1[[#This Row],[weekday cnt]]=6,"Weekend",Append1[[#This Row],[weekday cnt]]&gt;0,"Weekday")</f>
        <v>Weekday</v>
      </c>
      <c r="K776">
        <v>5</v>
      </c>
      <c r="L776" t="str" cm="1">
        <f t="array" ref="L7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76">
        <v>2</v>
      </c>
      <c r="N776">
        <v>0.26</v>
      </c>
      <c r="O776">
        <f t="shared" si="4"/>
        <v>774</v>
      </c>
      <c r="P776">
        <f t="shared" si="5"/>
        <v>775</v>
      </c>
      <c r="Q776">
        <v>0.2727</v>
      </c>
      <c r="R776">
        <v>0.56000000000000005</v>
      </c>
      <c r="S776">
        <v>0.1343</v>
      </c>
      <c r="T776">
        <v>10</v>
      </c>
      <c r="U776">
        <v>195</v>
      </c>
      <c r="V776">
        <v>205</v>
      </c>
    </row>
    <row r="777" spans="1:22" x14ac:dyDescent="0.3">
      <c r="A777">
        <v>776</v>
      </c>
      <c r="B777" s="1">
        <v>40578</v>
      </c>
      <c r="C777">
        <v>1</v>
      </c>
      <c r="D777">
        <v>0</v>
      </c>
      <c r="E777" t="str">
        <f>TEXT(Append1[[#This Row],[dteday]],"MMMM")</f>
        <v>February</v>
      </c>
      <c r="F777">
        <v>2</v>
      </c>
      <c r="G777">
        <v>18</v>
      </c>
      <c r="H777" t="b">
        <v>0</v>
      </c>
      <c r="I777" t="str">
        <f>TEXT(Append1[[#This Row],[dteday]],"DDDD")</f>
        <v>Friday</v>
      </c>
      <c r="J777" t="str" cm="1">
        <f t="array" ref="J777">_xlfn.IFS(Append1[[#This Row],[weekday cnt]]=0,"Weekend",Append1[[#This Row],[weekday cnt]]=6,"Weekend",Append1[[#This Row],[weekday cnt]]&gt;0,"Weekday")</f>
        <v>Weekday</v>
      </c>
      <c r="K777">
        <v>5</v>
      </c>
      <c r="L777" t="str" cm="1">
        <f t="array" ref="L7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77">
        <v>2</v>
      </c>
      <c r="N777">
        <v>0.24</v>
      </c>
      <c r="O777">
        <f t="shared" si="4"/>
        <v>775</v>
      </c>
      <c r="P777">
        <f t="shared" si="5"/>
        <v>776</v>
      </c>
      <c r="Q777">
        <v>0.2576</v>
      </c>
      <c r="R777">
        <v>0.6</v>
      </c>
      <c r="S777">
        <v>0.1045</v>
      </c>
      <c r="T777">
        <v>3</v>
      </c>
      <c r="U777">
        <v>152</v>
      </c>
      <c r="V777">
        <v>155</v>
      </c>
    </row>
    <row r="778" spans="1:22" x14ac:dyDescent="0.3">
      <c r="A778">
        <v>777</v>
      </c>
      <c r="B778" s="1">
        <v>40578</v>
      </c>
      <c r="C778">
        <v>1</v>
      </c>
      <c r="D778">
        <v>0</v>
      </c>
      <c r="E778" t="str">
        <f>TEXT(Append1[[#This Row],[dteday]],"MMMM")</f>
        <v>February</v>
      </c>
      <c r="F778">
        <v>2</v>
      </c>
      <c r="G778">
        <v>19</v>
      </c>
      <c r="H778" t="b">
        <v>0</v>
      </c>
      <c r="I778" t="str">
        <f>TEXT(Append1[[#This Row],[dteday]],"DDDD")</f>
        <v>Friday</v>
      </c>
      <c r="J778" t="str" cm="1">
        <f t="array" ref="J778">_xlfn.IFS(Append1[[#This Row],[weekday cnt]]=0,"Weekend",Append1[[#This Row],[weekday cnt]]=6,"Weekend",Append1[[#This Row],[weekday cnt]]&gt;0,"Weekday")</f>
        <v>Weekday</v>
      </c>
      <c r="K778">
        <v>5</v>
      </c>
      <c r="L778" t="str" cm="1">
        <f t="array" ref="L7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78">
        <v>2</v>
      </c>
      <c r="N778">
        <v>0.24</v>
      </c>
      <c r="O778">
        <f t="shared" si="4"/>
        <v>776</v>
      </c>
      <c r="P778">
        <f t="shared" si="5"/>
        <v>777</v>
      </c>
      <c r="Q778">
        <v>0.2424</v>
      </c>
      <c r="R778">
        <v>0.65</v>
      </c>
      <c r="S778">
        <v>0.1343</v>
      </c>
      <c r="T778">
        <v>1</v>
      </c>
      <c r="U778">
        <v>102</v>
      </c>
      <c r="V778">
        <v>103</v>
      </c>
    </row>
    <row r="779" spans="1:22" x14ac:dyDescent="0.3">
      <c r="A779">
        <v>778</v>
      </c>
      <c r="B779" s="1">
        <v>40578</v>
      </c>
      <c r="C779">
        <v>1</v>
      </c>
      <c r="D779">
        <v>0</v>
      </c>
      <c r="E779" t="str">
        <f>TEXT(Append1[[#This Row],[dteday]],"MMMM")</f>
        <v>February</v>
      </c>
      <c r="F779">
        <v>2</v>
      </c>
      <c r="G779">
        <v>20</v>
      </c>
      <c r="H779" t="b">
        <v>0</v>
      </c>
      <c r="I779" t="str">
        <f>TEXT(Append1[[#This Row],[dteday]],"DDDD")</f>
        <v>Friday</v>
      </c>
      <c r="J779" t="str" cm="1">
        <f t="array" ref="J779">_xlfn.IFS(Append1[[#This Row],[weekday cnt]]=0,"Weekend",Append1[[#This Row],[weekday cnt]]=6,"Weekend",Append1[[#This Row],[weekday cnt]]&gt;0,"Weekday")</f>
        <v>Weekday</v>
      </c>
      <c r="K779">
        <v>5</v>
      </c>
      <c r="L779" t="str" cm="1">
        <f t="array" ref="L7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79">
        <v>2</v>
      </c>
      <c r="N779">
        <v>0.24</v>
      </c>
      <c r="O779">
        <f t="shared" si="4"/>
        <v>777</v>
      </c>
      <c r="P779">
        <f t="shared" si="5"/>
        <v>778</v>
      </c>
      <c r="Q779">
        <v>0.2424</v>
      </c>
      <c r="R779">
        <v>0.65</v>
      </c>
      <c r="S779">
        <v>0.16420000000000001</v>
      </c>
      <c r="T779">
        <v>2</v>
      </c>
      <c r="U779">
        <v>69</v>
      </c>
      <c r="V779">
        <v>71</v>
      </c>
    </row>
    <row r="780" spans="1:22" x14ac:dyDescent="0.3">
      <c r="A780">
        <v>779</v>
      </c>
      <c r="B780" s="1">
        <v>40578</v>
      </c>
      <c r="C780">
        <v>1</v>
      </c>
      <c r="D780">
        <v>0</v>
      </c>
      <c r="E780" t="str">
        <f>TEXT(Append1[[#This Row],[dteday]],"MMMM")</f>
        <v>February</v>
      </c>
      <c r="F780">
        <v>2</v>
      </c>
      <c r="G780">
        <v>21</v>
      </c>
      <c r="H780" t="b">
        <v>0</v>
      </c>
      <c r="I780" t="str">
        <f>TEXT(Append1[[#This Row],[dteday]],"DDDD")</f>
        <v>Friday</v>
      </c>
      <c r="J780" t="str" cm="1">
        <f t="array" ref="J780">_xlfn.IFS(Append1[[#This Row],[weekday cnt]]=0,"Weekend",Append1[[#This Row],[weekday cnt]]=6,"Weekend",Append1[[#This Row],[weekday cnt]]&gt;0,"Weekday")</f>
        <v>Weekday</v>
      </c>
      <c r="K780">
        <v>5</v>
      </c>
      <c r="L780" t="str" cm="1">
        <f t="array" ref="L7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80">
        <v>2</v>
      </c>
      <c r="N780">
        <v>0.24</v>
      </c>
      <c r="O780">
        <f t="shared" si="4"/>
        <v>778</v>
      </c>
      <c r="P780">
        <f t="shared" si="5"/>
        <v>779</v>
      </c>
      <c r="Q780">
        <v>0.2424</v>
      </c>
      <c r="R780">
        <v>0.7</v>
      </c>
      <c r="S780">
        <v>0.16420000000000001</v>
      </c>
      <c r="T780">
        <v>2</v>
      </c>
      <c r="U780">
        <v>41</v>
      </c>
      <c r="V780">
        <v>43</v>
      </c>
    </row>
    <row r="781" spans="1:22" x14ac:dyDescent="0.3">
      <c r="A781">
        <v>780</v>
      </c>
      <c r="B781" s="1">
        <v>40578</v>
      </c>
      <c r="C781">
        <v>1</v>
      </c>
      <c r="D781">
        <v>0</v>
      </c>
      <c r="E781" t="str">
        <f>TEXT(Append1[[#This Row],[dteday]],"MMMM")</f>
        <v>February</v>
      </c>
      <c r="F781">
        <v>2</v>
      </c>
      <c r="G781">
        <v>22</v>
      </c>
      <c r="H781" t="b">
        <v>0</v>
      </c>
      <c r="I781" t="str">
        <f>TEXT(Append1[[#This Row],[dteday]],"DDDD")</f>
        <v>Friday</v>
      </c>
      <c r="J781" t="str" cm="1">
        <f t="array" ref="J781">_xlfn.IFS(Append1[[#This Row],[weekday cnt]]=0,"Weekend",Append1[[#This Row],[weekday cnt]]=6,"Weekend",Append1[[#This Row],[weekday cnt]]&gt;0,"Weekday")</f>
        <v>Weekday</v>
      </c>
      <c r="K781">
        <v>5</v>
      </c>
      <c r="L781" t="str" cm="1">
        <f t="array" ref="L7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81">
        <v>2</v>
      </c>
      <c r="N781">
        <v>0.24</v>
      </c>
      <c r="O781">
        <f t="shared" si="4"/>
        <v>779</v>
      </c>
      <c r="P781">
        <f t="shared" si="5"/>
        <v>780</v>
      </c>
      <c r="Q781">
        <v>0.2424</v>
      </c>
      <c r="R781">
        <v>0.65</v>
      </c>
      <c r="S781">
        <v>0.16420000000000001</v>
      </c>
      <c r="T781">
        <v>1</v>
      </c>
      <c r="U781">
        <v>45</v>
      </c>
      <c r="V781">
        <v>46</v>
      </c>
    </row>
    <row r="782" spans="1:22" x14ac:dyDescent="0.3">
      <c r="A782">
        <v>781</v>
      </c>
      <c r="B782" s="1">
        <v>40578</v>
      </c>
      <c r="C782">
        <v>1</v>
      </c>
      <c r="D782">
        <v>0</v>
      </c>
      <c r="E782" t="str">
        <f>TEXT(Append1[[#This Row],[dteday]],"MMMM")</f>
        <v>February</v>
      </c>
      <c r="F782">
        <v>2</v>
      </c>
      <c r="G782">
        <v>23</v>
      </c>
      <c r="H782" t="b">
        <v>0</v>
      </c>
      <c r="I782" t="str">
        <f>TEXT(Append1[[#This Row],[dteday]],"DDDD")</f>
        <v>Friday</v>
      </c>
      <c r="J782" t="str" cm="1">
        <f t="array" ref="J782">_xlfn.IFS(Append1[[#This Row],[weekday cnt]]=0,"Weekend",Append1[[#This Row],[weekday cnt]]=6,"Weekend",Append1[[#This Row],[weekday cnt]]&gt;0,"Weekday")</f>
        <v>Weekday</v>
      </c>
      <c r="K782">
        <v>5</v>
      </c>
      <c r="L782" t="str" cm="1">
        <f t="array" ref="L7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82">
        <v>2</v>
      </c>
      <c r="N782">
        <v>0.24</v>
      </c>
      <c r="O782">
        <f t="shared" si="4"/>
        <v>780</v>
      </c>
      <c r="P782">
        <f t="shared" si="5"/>
        <v>781</v>
      </c>
      <c r="Q782">
        <v>0.2424</v>
      </c>
      <c r="R782">
        <v>0.7</v>
      </c>
      <c r="S782">
        <v>0.1343</v>
      </c>
      <c r="T782">
        <v>1</v>
      </c>
      <c r="U782">
        <v>30</v>
      </c>
      <c r="V782">
        <v>31</v>
      </c>
    </row>
    <row r="783" spans="1:22" x14ac:dyDescent="0.3">
      <c r="A783">
        <v>782</v>
      </c>
      <c r="B783" s="1">
        <v>40579</v>
      </c>
      <c r="C783">
        <v>1</v>
      </c>
      <c r="D783">
        <v>0</v>
      </c>
      <c r="E783" t="str">
        <f>TEXT(Append1[[#This Row],[dteday]],"MMMM")</f>
        <v>February</v>
      </c>
      <c r="F783">
        <v>2</v>
      </c>
      <c r="G783">
        <v>0</v>
      </c>
      <c r="H783" t="b">
        <v>0</v>
      </c>
      <c r="I783" t="str">
        <f>TEXT(Append1[[#This Row],[dteday]],"DDDD")</f>
        <v>Saturday</v>
      </c>
      <c r="J783" t="str" cm="1">
        <f t="array" ref="J783">_xlfn.IFS(Append1[[#This Row],[weekday cnt]]=0,"Weekend",Append1[[#This Row],[weekday cnt]]=6,"Weekend",Append1[[#This Row],[weekday cnt]]&gt;0,"Weekday")</f>
        <v>Weekend</v>
      </c>
      <c r="K783">
        <v>6</v>
      </c>
      <c r="L783" t="str" cm="1">
        <f t="array" ref="L7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83">
        <v>2</v>
      </c>
      <c r="N783">
        <v>0.24</v>
      </c>
      <c r="O783">
        <f t="shared" si="4"/>
        <v>781</v>
      </c>
      <c r="P783">
        <f t="shared" si="5"/>
        <v>782</v>
      </c>
      <c r="Q783">
        <v>0.2424</v>
      </c>
      <c r="R783">
        <v>0.7</v>
      </c>
      <c r="S783">
        <v>0.16420000000000001</v>
      </c>
      <c r="T783">
        <v>3</v>
      </c>
      <c r="U783">
        <v>36</v>
      </c>
      <c r="V783">
        <v>39</v>
      </c>
    </row>
    <row r="784" spans="1:22" x14ac:dyDescent="0.3">
      <c r="A784">
        <v>783</v>
      </c>
      <c r="B784" s="1">
        <v>40579</v>
      </c>
      <c r="C784">
        <v>1</v>
      </c>
      <c r="D784">
        <v>0</v>
      </c>
      <c r="E784" t="str">
        <f>TEXT(Append1[[#This Row],[dteday]],"MMMM")</f>
        <v>February</v>
      </c>
      <c r="F784">
        <v>2</v>
      </c>
      <c r="G784">
        <v>1</v>
      </c>
      <c r="H784" t="b">
        <v>0</v>
      </c>
      <c r="I784" t="str">
        <f>TEXT(Append1[[#This Row],[dteday]],"DDDD")</f>
        <v>Saturday</v>
      </c>
      <c r="J784" t="str" cm="1">
        <f t="array" ref="J784">_xlfn.IFS(Append1[[#This Row],[weekday cnt]]=0,"Weekend",Append1[[#This Row],[weekday cnt]]=6,"Weekend",Append1[[#This Row],[weekday cnt]]&gt;0,"Weekday")</f>
        <v>Weekend</v>
      </c>
      <c r="K784">
        <v>6</v>
      </c>
      <c r="L784" t="str" cm="1">
        <f t="array" ref="L7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84">
        <v>2</v>
      </c>
      <c r="N784">
        <v>0.24</v>
      </c>
      <c r="O784">
        <f t="shared" si="4"/>
        <v>782</v>
      </c>
      <c r="P784">
        <f t="shared" si="5"/>
        <v>783</v>
      </c>
      <c r="Q784">
        <v>0.2424</v>
      </c>
      <c r="R784">
        <v>0.65</v>
      </c>
      <c r="S784">
        <v>0.16420000000000001</v>
      </c>
      <c r="T784">
        <v>1</v>
      </c>
      <c r="U784">
        <v>17</v>
      </c>
      <c r="V784">
        <v>18</v>
      </c>
    </row>
    <row r="785" spans="1:22" x14ac:dyDescent="0.3">
      <c r="A785">
        <v>784</v>
      </c>
      <c r="B785" s="1">
        <v>40579</v>
      </c>
      <c r="C785">
        <v>1</v>
      </c>
      <c r="D785">
        <v>0</v>
      </c>
      <c r="E785" t="str">
        <f>TEXT(Append1[[#This Row],[dteday]],"MMMM")</f>
        <v>February</v>
      </c>
      <c r="F785">
        <v>2</v>
      </c>
      <c r="G785">
        <v>2</v>
      </c>
      <c r="H785" t="b">
        <v>0</v>
      </c>
      <c r="I785" t="str">
        <f>TEXT(Append1[[#This Row],[dteday]],"DDDD")</f>
        <v>Saturday</v>
      </c>
      <c r="J785" t="str" cm="1">
        <f t="array" ref="J785">_xlfn.IFS(Append1[[#This Row],[weekday cnt]]=0,"Weekend",Append1[[#This Row],[weekday cnt]]=6,"Weekend",Append1[[#This Row],[weekday cnt]]&gt;0,"Weekday")</f>
        <v>Weekend</v>
      </c>
      <c r="K785">
        <v>6</v>
      </c>
      <c r="L785" t="str" cm="1">
        <f t="array" ref="L7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85">
        <v>2</v>
      </c>
      <c r="N785">
        <v>0.24</v>
      </c>
      <c r="O785">
        <f t="shared" si="4"/>
        <v>783</v>
      </c>
      <c r="P785">
        <f t="shared" si="5"/>
        <v>784</v>
      </c>
      <c r="Q785">
        <v>0.2424</v>
      </c>
      <c r="R785">
        <v>0.75</v>
      </c>
      <c r="S785">
        <v>0.16420000000000001</v>
      </c>
      <c r="T785">
        <v>5</v>
      </c>
      <c r="U785">
        <v>12</v>
      </c>
      <c r="V785">
        <v>17</v>
      </c>
    </row>
    <row r="786" spans="1:22" x14ac:dyDescent="0.3">
      <c r="A786">
        <v>785</v>
      </c>
      <c r="B786" s="1">
        <v>40579</v>
      </c>
      <c r="C786">
        <v>1</v>
      </c>
      <c r="D786">
        <v>0</v>
      </c>
      <c r="E786" t="str">
        <f>TEXT(Append1[[#This Row],[dteday]],"MMMM")</f>
        <v>February</v>
      </c>
      <c r="F786">
        <v>2</v>
      </c>
      <c r="G786">
        <v>3</v>
      </c>
      <c r="H786" t="b">
        <v>0</v>
      </c>
      <c r="I786" t="str">
        <f>TEXT(Append1[[#This Row],[dteday]],"DDDD")</f>
        <v>Saturday</v>
      </c>
      <c r="J786" t="str" cm="1">
        <f t="array" ref="J786">_xlfn.IFS(Append1[[#This Row],[weekday cnt]]=0,"Weekend",Append1[[#This Row],[weekday cnt]]=6,"Weekend",Append1[[#This Row],[weekday cnt]]&gt;0,"Weekday")</f>
        <v>Weekend</v>
      </c>
      <c r="K786">
        <v>6</v>
      </c>
      <c r="L786" t="str" cm="1">
        <f t="array" ref="L7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786">
        <v>2</v>
      </c>
      <c r="N786">
        <v>0.24</v>
      </c>
      <c r="O786">
        <f t="shared" si="4"/>
        <v>784</v>
      </c>
      <c r="P786">
        <f t="shared" si="5"/>
        <v>785</v>
      </c>
      <c r="Q786">
        <v>0.2424</v>
      </c>
      <c r="R786">
        <v>0.75</v>
      </c>
      <c r="S786">
        <v>0.16420000000000001</v>
      </c>
      <c r="T786">
        <v>1</v>
      </c>
      <c r="U786">
        <v>10</v>
      </c>
      <c r="V786">
        <v>11</v>
      </c>
    </row>
    <row r="787" spans="1:22" x14ac:dyDescent="0.3">
      <c r="A787">
        <v>786</v>
      </c>
      <c r="B787" s="1">
        <v>40579</v>
      </c>
      <c r="C787">
        <v>1</v>
      </c>
      <c r="D787">
        <v>0</v>
      </c>
      <c r="E787" t="str">
        <f>TEXT(Append1[[#This Row],[dteday]],"MMMM")</f>
        <v>February</v>
      </c>
      <c r="F787">
        <v>2</v>
      </c>
      <c r="G787">
        <v>4</v>
      </c>
      <c r="H787" t="b">
        <v>0</v>
      </c>
      <c r="I787" t="str">
        <f>TEXT(Append1[[#This Row],[dteday]],"DDDD")</f>
        <v>Saturday</v>
      </c>
      <c r="J787" t="str" cm="1">
        <f t="array" ref="J787">_xlfn.IFS(Append1[[#This Row],[weekday cnt]]=0,"Weekend",Append1[[#This Row],[weekday cnt]]=6,"Weekend",Append1[[#This Row],[weekday cnt]]&gt;0,"Weekday")</f>
        <v>Weekend</v>
      </c>
      <c r="K787">
        <v>6</v>
      </c>
      <c r="L787" t="str" cm="1">
        <f t="array" ref="L7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87">
        <v>3</v>
      </c>
      <c r="N787">
        <v>0.22</v>
      </c>
      <c r="O787">
        <f t="shared" si="4"/>
        <v>785</v>
      </c>
      <c r="P787">
        <f t="shared" si="5"/>
        <v>786</v>
      </c>
      <c r="Q787">
        <v>0.2273</v>
      </c>
      <c r="R787">
        <v>0.93</v>
      </c>
      <c r="S787">
        <v>0.1343</v>
      </c>
      <c r="T787">
        <v>0</v>
      </c>
      <c r="U787">
        <v>8</v>
      </c>
      <c r="V787">
        <v>8</v>
      </c>
    </row>
    <row r="788" spans="1:22" x14ac:dyDescent="0.3">
      <c r="A788">
        <v>787</v>
      </c>
      <c r="B788" s="1">
        <v>40579</v>
      </c>
      <c r="C788">
        <v>1</v>
      </c>
      <c r="D788">
        <v>0</v>
      </c>
      <c r="E788" t="str">
        <f>TEXT(Append1[[#This Row],[dteday]],"MMMM")</f>
        <v>February</v>
      </c>
      <c r="F788">
        <v>2</v>
      </c>
      <c r="G788">
        <v>5</v>
      </c>
      <c r="H788" t="b">
        <v>0</v>
      </c>
      <c r="I788" t="str">
        <f>TEXT(Append1[[#This Row],[dteday]],"DDDD")</f>
        <v>Saturday</v>
      </c>
      <c r="J788" t="str" cm="1">
        <f t="array" ref="J788">_xlfn.IFS(Append1[[#This Row],[weekday cnt]]=0,"Weekend",Append1[[#This Row],[weekday cnt]]=6,"Weekend",Append1[[#This Row],[weekday cnt]]&gt;0,"Weekday")</f>
        <v>Weekend</v>
      </c>
      <c r="K788">
        <v>6</v>
      </c>
      <c r="L788" t="str" cm="1">
        <f t="array" ref="L7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88">
        <v>3</v>
      </c>
      <c r="N788">
        <v>0.2</v>
      </c>
      <c r="O788">
        <f t="shared" si="4"/>
        <v>786</v>
      </c>
      <c r="P788">
        <f t="shared" si="5"/>
        <v>787</v>
      </c>
      <c r="Q788">
        <v>0.2273</v>
      </c>
      <c r="R788">
        <v>1</v>
      </c>
      <c r="S788">
        <v>8.9599999999999999E-2</v>
      </c>
      <c r="T788">
        <v>0</v>
      </c>
      <c r="U788">
        <v>9</v>
      </c>
      <c r="V788">
        <v>9</v>
      </c>
    </row>
    <row r="789" spans="1:22" x14ac:dyDescent="0.3">
      <c r="A789">
        <v>788</v>
      </c>
      <c r="B789" s="1">
        <v>40579</v>
      </c>
      <c r="C789">
        <v>1</v>
      </c>
      <c r="D789">
        <v>0</v>
      </c>
      <c r="E789" t="str">
        <f>TEXT(Append1[[#This Row],[dteday]],"MMMM")</f>
        <v>February</v>
      </c>
      <c r="F789">
        <v>2</v>
      </c>
      <c r="G789">
        <v>6</v>
      </c>
      <c r="H789" t="b">
        <v>0</v>
      </c>
      <c r="I789" t="str">
        <f>TEXT(Append1[[#This Row],[dteday]],"DDDD")</f>
        <v>Saturday</v>
      </c>
      <c r="J789" t="str" cm="1">
        <f t="array" ref="J789">_xlfn.IFS(Append1[[#This Row],[weekday cnt]]=0,"Weekend",Append1[[#This Row],[weekday cnt]]=6,"Weekend",Append1[[#This Row],[weekday cnt]]&gt;0,"Weekday")</f>
        <v>Weekend</v>
      </c>
      <c r="K789">
        <v>6</v>
      </c>
      <c r="L789" t="str" cm="1">
        <f t="array" ref="L7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89">
        <v>3</v>
      </c>
      <c r="N789">
        <v>0.2</v>
      </c>
      <c r="O789">
        <f t="shared" si="4"/>
        <v>787</v>
      </c>
      <c r="P789">
        <f t="shared" si="5"/>
        <v>788</v>
      </c>
      <c r="Q789">
        <v>0.2576</v>
      </c>
      <c r="R789">
        <v>1</v>
      </c>
      <c r="S789">
        <v>0</v>
      </c>
      <c r="T789">
        <v>0</v>
      </c>
      <c r="U789">
        <v>4</v>
      </c>
      <c r="V789">
        <v>4</v>
      </c>
    </row>
    <row r="790" spans="1:22" x14ac:dyDescent="0.3">
      <c r="A790">
        <v>789</v>
      </c>
      <c r="B790" s="1">
        <v>40579</v>
      </c>
      <c r="C790">
        <v>1</v>
      </c>
      <c r="D790">
        <v>0</v>
      </c>
      <c r="E790" t="str">
        <f>TEXT(Append1[[#This Row],[dteday]],"MMMM")</f>
        <v>February</v>
      </c>
      <c r="F790">
        <v>2</v>
      </c>
      <c r="G790">
        <v>7</v>
      </c>
      <c r="H790" t="b">
        <v>0</v>
      </c>
      <c r="I790" t="str">
        <f>TEXT(Append1[[#This Row],[dteday]],"DDDD")</f>
        <v>Saturday</v>
      </c>
      <c r="J790" t="str" cm="1">
        <f t="array" ref="J790">_xlfn.IFS(Append1[[#This Row],[weekday cnt]]=0,"Weekend",Append1[[#This Row],[weekday cnt]]=6,"Weekend",Append1[[#This Row],[weekday cnt]]&gt;0,"Weekday")</f>
        <v>Weekend</v>
      </c>
      <c r="K790">
        <v>6</v>
      </c>
      <c r="L790" t="str" cm="1">
        <f t="array" ref="L7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0">
        <v>3</v>
      </c>
      <c r="N790">
        <v>0.22</v>
      </c>
      <c r="O790">
        <f t="shared" si="4"/>
        <v>788</v>
      </c>
      <c r="P790">
        <f t="shared" si="5"/>
        <v>789</v>
      </c>
      <c r="Q790">
        <v>0.2576</v>
      </c>
      <c r="R790">
        <v>0.93</v>
      </c>
      <c r="S790">
        <v>8.9599999999999999E-2</v>
      </c>
      <c r="T790">
        <v>0</v>
      </c>
      <c r="U790">
        <v>4</v>
      </c>
      <c r="V790">
        <v>4</v>
      </c>
    </row>
    <row r="791" spans="1:22" x14ac:dyDescent="0.3">
      <c r="A791">
        <v>790</v>
      </c>
      <c r="B791" s="1">
        <v>40579</v>
      </c>
      <c r="C791">
        <v>1</v>
      </c>
      <c r="D791">
        <v>0</v>
      </c>
      <c r="E791" t="str">
        <f>TEXT(Append1[[#This Row],[dteday]],"MMMM")</f>
        <v>February</v>
      </c>
      <c r="F791">
        <v>2</v>
      </c>
      <c r="G791">
        <v>8</v>
      </c>
      <c r="H791" t="b">
        <v>0</v>
      </c>
      <c r="I791" t="str">
        <f>TEXT(Append1[[#This Row],[dteday]],"DDDD")</f>
        <v>Saturday</v>
      </c>
      <c r="J791" t="str" cm="1">
        <f t="array" ref="J791">_xlfn.IFS(Append1[[#This Row],[weekday cnt]]=0,"Weekend",Append1[[#This Row],[weekday cnt]]=6,"Weekend",Append1[[#This Row],[weekday cnt]]&gt;0,"Weekday")</f>
        <v>Weekend</v>
      </c>
      <c r="K791">
        <v>6</v>
      </c>
      <c r="L791" t="str" cm="1">
        <f t="array" ref="L7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1">
        <v>3</v>
      </c>
      <c r="N791">
        <v>0.2</v>
      </c>
      <c r="O791">
        <f t="shared" si="4"/>
        <v>789</v>
      </c>
      <c r="P791">
        <f t="shared" si="5"/>
        <v>790</v>
      </c>
      <c r="Q791">
        <v>0.2273</v>
      </c>
      <c r="R791">
        <v>1</v>
      </c>
      <c r="S791">
        <v>8.9599999999999999E-2</v>
      </c>
      <c r="T791">
        <v>0</v>
      </c>
      <c r="U791">
        <v>10</v>
      </c>
      <c r="V791">
        <v>10</v>
      </c>
    </row>
    <row r="792" spans="1:22" x14ac:dyDescent="0.3">
      <c r="A792">
        <v>791</v>
      </c>
      <c r="B792" s="1">
        <v>40579</v>
      </c>
      <c r="C792">
        <v>1</v>
      </c>
      <c r="D792">
        <v>0</v>
      </c>
      <c r="E792" t="str">
        <f>TEXT(Append1[[#This Row],[dteday]],"MMMM")</f>
        <v>February</v>
      </c>
      <c r="F792">
        <v>2</v>
      </c>
      <c r="G792">
        <v>9</v>
      </c>
      <c r="H792" t="b">
        <v>0</v>
      </c>
      <c r="I792" t="str">
        <f>TEXT(Append1[[#This Row],[dteday]],"DDDD")</f>
        <v>Saturday</v>
      </c>
      <c r="J792" t="str" cm="1">
        <f t="array" ref="J792">_xlfn.IFS(Append1[[#This Row],[weekday cnt]]=0,"Weekend",Append1[[#This Row],[weekday cnt]]=6,"Weekend",Append1[[#This Row],[weekday cnt]]&gt;0,"Weekday")</f>
        <v>Weekend</v>
      </c>
      <c r="K792">
        <v>6</v>
      </c>
      <c r="L792" t="str" cm="1">
        <f t="array" ref="L7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2">
        <v>3</v>
      </c>
      <c r="N792">
        <v>0.2</v>
      </c>
      <c r="O792">
        <f t="shared" si="4"/>
        <v>790</v>
      </c>
      <c r="P792">
        <f t="shared" si="5"/>
        <v>791</v>
      </c>
      <c r="Q792">
        <v>0.2273</v>
      </c>
      <c r="R792">
        <v>1</v>
      </c>
      <c r="S792">
        <v>8.9599999999999999E-2</v>
      </c>
      <c r="T792">
        <v>3</v>
      </c>
      <c r="U792">
        <v>17</v>
      </c>
      <c r="V792">
        <v>20</v>
      </c>
    </row>
    <row r="793" spans="1:22" x14ac:dyDescent="0.3">
      <c r="A793">
        <v>792</v>
      </c>
      <c r="B793" s="1">
        <v>40579</v>
      </c>
      <c r="C793">
        <v>1</v>
      </c>
      <c r="D793">
        <v>0</v>
      </c>
      <c r="E793" t="str">
        <f>TEXT(Append1[[#This Row],[dteday]],"MMMM")</f>
        <v>February</v>
      </c>
      <c r="F793">
        <v>2</v>
      </c>
      <c r="G793">
        <v>10</v>
      </c>
      <c r="H793" t="b">
        <v>0</v>
      </c>
      <c r="I793" t="str">
        <f>TEXT(Append1[[#This Row],[dteday]],"DDDD")</f>
        <v>Saturday</v>
      </c>
      <c r="J793" t="str" cm="1">
        <f t="array" ref="J793">_xlfn.IFS(Append1[[#This Row],[weekday cnt]]=0,"Weekend",Append1[[#This Row],[weekday cnt]]=6,"Weekend",Append1[[#This Row],[weekday cnt]]&gt;0,"Weekday")</f>
        <v>Weekend</v>
      </c>
      <c r="K793">
        <v>6</v>
      </c>
      <c r="L793" t="str" cm="1">
        <f t="array" ref="L7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3">
        <v>3</v>
      </c>
      <c r="N793">
        <v>0.2</v>
      </c>
      <c r="O793">
        <f t="shared" si="4"/>
        <v>791</v>
      </c>
      <c r="P793">
        <f t="shared" si="5"/>
        <v>792</v>
      </c>
      <c r="Q793">
        <v>0.21210000000000001</v>
      </c>
      <c r="R793">
        <v>1</v>
      </c>
      <c r="S793">
        <v>0.1343</v>
      </c>
      <c r="T793">
        <v>3</v>
      </c>
      <c r="U793">
        <v>31</v>
      </c>
      <c r="V793">
        <v>34</v>
      </c>
    </row>
    <row r="794" spans="1:22" x14ac:dyDescent="0.3">
      <c r="A794">
        <v>793</v>
      </c>
      <c r="B794" s="1">
        <v>40579</v>
      </c>
      <c r="C794">
        <v>1</v>
      </c>
      <c r="D794">
        <v>0</v>
      </c>
      <c r="E794" t="str">
        <f>TEXT(Append1[[#This Row],[dteday]],"MMMM")</f>
        <v>February</v>
      </c>
      <c r="F794">
        <v>2</v>
      </c>
      <c r="G794">
        <v>11</v>
      </c>
      <c r="H794" t="b">
        <v>0</v>
      </c>
      <c r="I794" t="str">
        <f>TEXT(Append1[[#This Row],[dteday]],"DDDD")</f>
        <v>Saturday</v>
      </c>
      <c r="J794" t="str" cm="1">
        <f t="array" ref="J794">_xlfn.IFS(Append1[[#This Row],[weekday cnt]]=0,"Weekend",Append1[[#This Row],[weekday cnt]]=6,"Weekend",Append1[[#This Row],[weekday cnt]]&gt;0,"Weekday")</f>
        <v>Weekend</v>
      </c>
      <c r="K794">
        <v>6</v>
      </c>
      <c r="L794" t="str" cm="1">
        <f t="array" ref="L7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4">
        <v>3</v>
      </c>
      <c r="N794">
        <v>0.22</v>
      </c>
      <c r="O794">
        <f t="shared" si="4"/>
        <v>792</v>
      </c>
      <c r="P794">
        <f t="shared" si="5"/>
        <v>793</v>
      </c>
      <c r="Q794">
        <v>0.2273</v>
      </c>
      <c r="R794">
        <v>1</v>
      </c>
      <c r="S794">
        <v>0.1343</v>
      </c>
      <c r="T794">
        <v>1</v>
      </c>
      <c r="U794">
        <v>46</v>
      </c>
      <c r="V794">
        <v>47</v>
      </c>
    </row>
    <row r="795" spans="1:22" x14ac:dyDescent="0.3">
      <c r="A795">
        <v>794</v>
      </c>
      <c r="B795" s="1">
        <v>40579</v>
      </c>
      <c r="C795">
        <v>1</v>
      </c>
      <c r="D795">
        <v>0</v>
      </c>
      <c r="E795" t="str">
        <f>TEXT(Append1[[#This Row],[dteday]],"MMMM")</f>
        <v>February</v>
      </c>
      <c r="F795">
        <v>2</v>
      </c>
      <c r="G795">
        <v>12</v>
      </c>
      <c r="H795" t="b">
        <v>0</v>
      </c>
      <c r="I795" t="str">
        <f>TEXT(Append1[[#This Row],[dteday]],"DDDD")</f>
        <v>Saturday</v>
      </c>
      <c r="J795" t="str" cm="1">
        <f t="array" ref="J795">_xlfn.IFS(Append1[[#This Row],[weekday cnt]]=0,"Weekend",Append1[[#This Row],[weekday cnt]]=6,"Weekend",Append1[[#This Row],[weekday cnt]]&gt;0,"Weekday")</f>
        <v>Weekend</v>
      </c>
      <c r="K795">
        <v>6</v>
      </c>
      <c r="L795" t="str" cm="1">
        <f t="array" ref="L7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5">
        <v>3</v>
      </c>
      <c r="N795">
        <v>0.22</v>
      </c>
      <c r="O795">
        <f t="shared" si="4"/>
        <v>793</v>
      </c>
      <c r="P795">
        <f t="shared" si="5"/>
        <v>794</v>
      </c>
      <c r="Q795">
        <v>0.2273</v>
      </c>
      <c r="R795">
        <v>1</v>
      </c>
      <c r="S795">
        <v>0.16420000000000001</v>
      </c>
      <c r="T795">
        <v>10</v>
      </c>
      <c r="U795">
        <v>42</v>
      </c>
      <c r="V795">
        <v>52</v>
      </c>
    </row>
    <row r="796" spans="1:22" x14ac:dyDescent="0.3">
      <c r="A796">
        <v>795</v>
      </c>
      <c r="B796" s="1">
        <v>40579</v>
      </c>
      <c r="C796">
        <v>1</v>
      </c>
      <c r="D796">
        <v>0</v>
      </c>
      <c r="E796" t="str">
        <f>TEXT(Append1[[#This Row],[dteday]],"MMMM")</f>
        <v>February</v>
      </c>
      <c r="F796">
        <v>2</v>
      </c>
      <c r="G796">
        <v>13</v>
      </c>
      <c r="H796" t="b">
        <v>0</v>
      </c>
      <c r="I796" t="str">
        <f>TEXT(Append1[[#This Row],[dteday]],"DDDD")</f>
        <v>Saturday</v>
      </c>
      <c r="J796" t="str" cm="1">
        <f t="array" ref="J796">_xlfn.IFS(Append1[[#This Row],[weekday cnt]]=0,"Weekend",Append1[[#This Row],[weekday cnt]]=6,"Weekend",Append1[[#This Row],[weekday cnt]]&gt;0,"Weekday")</f>
        <v>Weekend</v>
      </c>
      <c r="K796">
        <v>6</v>
      </c>
      <c r="L796" t="str" cm="1">
        <f t="array" ref="L7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6">
        <v>3</v>
      </c>
      <c r="N796">
        <v>0.22</v>
      </c>
      <c r="O796">
        <f t="shared" si="4"/>
        <v>794</v>
      </c>
      <c r="P796">
        <f t="shared" si="5"/>
        <v>795</v>
      </c>
      <c r="Q796">
        <v>0.2273</v>
      </c>
      <c r="R796">
        <v>1</v>
      </c>
      <c r="S796">
        <v>0.16420000000000001</v>
      </c>
      <c r="T796">
        <v>10</v>
      </c>
      <c r="U796">
        <v>62</v>
      </c>
      <c r="V796">
        <v>72</v>
      </c>
    </row>
    <row r="797" spans="1:22" x14ac:dyDescent="0.3">
      <c r="A797">
        <v>796</v>
      </c>
      <c r="B797" s="1">
        <v>40579</v>
      </c>
      <c r="C797">
        <v>1</v>
      </c>
      <c r="D797">
        <v>0</v>
      </c>
      <c r="E797" t="str">
        <f>TEXT(Append1[[#This Row],[dteday]],"MMMM")</f>
        <v>February</v>
      </c>
      <c r="F797">
        <v>2</v>
      </c>
      <c r="G797">
        <v>14</v>
      </c>
      <c r="H797" t="b">
        <v>0</v>
      </c>
      <c r="I797" t="str">
        <f>TEXT(Append1[[#This Row],[dteday]],"DDDD")</f>
        <v>Saturday</v>
      </c>
      <c r="J797" t="str" cm="1">
        <f t="array" ref="J797">_xlfn.IFS(Append1[[#This Row],[weekday cnt]]=0,"Weekend",Append1[[#This Row],[weekday cnt]]=6,"Weekend",Append1[[#This Row],[weekday cnt]]&gt;0,"Weekday")</f>
        <v>Weekend</v>
      </c>
      <c r="K797">
        <v>6</v>
      </c>
      <c r="L797" t="str" cm="1">
        <f t="array" ref="L7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7">
        <v>3</v>
      </c>
      <c r="N797">
        <v>0.22</v>
      </c>
      <c r="O797">
        <f t="shared" si="4"/>
        <v>795</v>
      </c>
      <c r="P797">
        <f t="shared" si="5"/>
        <v>796</v>
      </c>
      <c r="Q797">
        <v>0.2727</v>
      </c>
      <c r="R797">
        <v>1</v>
      </c>
      <c r="S797">
        <v>0</v>
      </c>
      <c r="T797">
        <v>5</v>
      </c>
      <c r="U797">
        <v>50</v>
      </c>
      <c r="V797">
        <v>55</v>
      </c>
    </row>
    <row r="798" spans="1:22" x14ac:dyDescent="0.3">
      <c r="A798">
        <v>797</v>
      </c>
      <c r="B798" s="1">
        <v>40579</v>
      </c>
      <c r="C798">
        <v>1</v>
      </c>
      <c r="D798">
        <v>0</v>
      </c>
      <c r="E798" t="str">
        <f>TEXT(Append1[[#This Row],[dteday]],"MMMM")</f>
        <v>February</v>
      </c>
      <c r="F798">
        <v>2</v>
      </c>
      <c r="G798">
        <v>15</v>
      </c>
      <c r="H798" t="b">
        <v>0</v>
      </c>
      <c r="I798" t="str">
        <f>TEXT(Append1[[#This Row],[dteday]],"DDDD")</f>
        <v>Saturday</v>
      </c>
      <c r="J798" t="str" cm="1">
        <f t="array" ref="J798">_xlfn.IFS(Append1[[#This Row],[weekday cnt]]=0,"Weekend",Append1[[#This Row],[weekday cnt]]=6,"Weekend",Append1[[#This Row],[weekday cnt]]&gt;0,"Weekday")</f>
        <v>Weekend</v>
      </c>
      <c r="K798">
        <v>6</v>
      </c>
      <c r="L798" t="str" cm="1">
        <f t="array" ref="L7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8">
        <v>3</v>
      </c>
      <c r="N798">
        <v>0.22</v>
      </c>
      <c r="O798">
        <f t="shared" si="4"/>
        <v>796</v>
      </c>
      <c r="P798">
        <f t="shared" si="5"/>
        <v>797</v>
      </c>
      <c r="Q798">
        <v>0.2727</v>
      </c>
      <c r="R798">
        <v>1</v>
      </c>
      <c r="S798">
        <v>0</v>
      </c>
      <c r="T798">
        <v>11</v>
      </c>
      <c r="U798">
        <v>49</v>
      </c>
      <c r="V798">
        <v>60</v>
      </c>
    </row>
    <row r="799" spans="1:22" x14ac:dyDescent="0.3">
      <c r="A799">
        <v>798</v>
      </c>
      <c r="B799" s="1">
        <v>40579</v>
      </c>
      <c r="C799">
        <v>1</v>
      </c>
      <c r="D799">
        <v>0</v>
      </c>
      <c r="E799" t="str">
        <f>TEXT(Append1[[#This Row],[dteday]],"MMMM")</f>
        <v>February</v>
      </c>
      <c r="F799">
        <v>2</v>
      </c>
      <c r="G799">
        <v>16</v>
      </c>
      <c r="H799" t="b">
        <v>0</v>
      </c>
      <c r="I799" t="str">
        <f>TEXT(Append1[[#This Row],[dteday]],"DDDD")</f>
        <v>Saturday</v>
      </c>
      <c r="J799" t="str" cm="1">
        <f t="array" ref="J799">_xlfn.IFS(Append1[[#This Row],[weekday cnt]]=0,"Weekend",Append1[[#This Row],[weekday cnt]]=6,"Weekend",Append1[[#This Row],[weekday cnt]]&gt;0,"Weekday")</f>
        <v>Weekend</v>
      </c>
      <c r="K799">
        <v>6</v>
      </c>
      <c r="L799" t="str" cm="1">
        <f t="array" ref="L7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799">
        <v>3</v>
      </c>
      <c r="N799">
        <v>0.22</v>
      </c>
      <c r="O799">
        <f t="shared" si="4"/>
        <v>797</v>
      </c>
      <c r="P799">
        <f t="shared" si="5"/>
        <v>798</v>
      </c>
      <c r="Q799">
        <v>0.2273</v>
      </c>
      <c r="R799">
        <v>1</v>
      </c>
      <c r="S799">
        <v>0.1343</v>
      </c>
      <c r="T799">
        <v>8</v>
      </c>
      <c r="U799">
        <v>63</v>
      </c>
      <c r="V799">
        <v>71</v>
      </c>
    </row>
    <row r="800" spans="1:22" x14ac:dyDescent="0.3">
      <c r="A800">
        <v>799</v>
      </c>
      <c r="B800" s="1">
        <v>40579</v>
      </c>
      <c r="C800">
        <v>1</v>
      </c>
      <c r="D800">
        <v>0</v>
      </c>
      <c r="E800" t="str">
        <f>TEXT(Append1[[#This Row],[dteday]],"MMMM")</f>
        <v>February</v>
      </c>
      <c r="F800">
        <v>2</v>
      </c>
      <c r="G800">
        <v>17</v>
      </c>
      <c r="H800" t="b">
        <v>0</v>
      </c>
      <c r="I800" t="str">
        <f>TEXT(Append1[[#This Row],[dteday]],"DDDD")</f>
        <v>Saturday</v>
      </c>
      <c r="J800" t="str" cm="1">
        <f t="array" ref="J800">_xlfn.IFS(Append1[[#This Row],[weekday cnt]]=0,"Weekend",Append1[[#This Row],[weekday cnt]]=6,"Weekend",Append1[[#This Row],[weekday cnt]]&gt;0,"Weekday")</f>
        <v>Weekend</v>
      </c>
      <c r="K800">
        <v>6</v>
      </c>
      <c r="L800" t="str" cm="1">
        <f t="array" ref="L8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00">
        <v>2</v>
      </c>
      <c r="N800">
        <v>0.24</v>
      </c>
      <c r="O800">
        <f t="shared" si="4"/>
        <v>798</v>
      </c>
      <c r="P800">
        <f t="shared" si="5"/>
        <v>799</v>
      </c>
      <c r="Q800">
        <v>0.21210000000000001</v>
      </c>
      <c r="R800">
        <v>1</v>
      </c>
      <c r="S800">
        <v>0.28360000000000002</v>
      </c>
      <c r="T800">
        <v>14</v>
      </c>
      <c r="U800">
        <v>64</v>
      </c>
      <c r="V800">
        <v>78</v>
      </c>
    </row>
    <row r="801" spans="1:22" x14ac:dyDescent="0.3">
      <c r="A801">
        <v>800</v>
      </c>
      <c r="B801" s="1">
        <v>40579</v>
      </c>
      <c r="C801">
        <v>1</v>
      </c>
      <c r="D801">
        <v>0</v>
      </c>
      <c r="E801" t="str">
        <f>TEXT(Append1[[#This Row],[dteday]],"MMMM")</f>
        <v>February</v>
      </c>
      <c r="F801">
        <v>2</v>
      </c>
      <c r="G801">
        <v>18</v>
      </c>
      <c r="H801" t="b">
        <v>0</v>
      </c>
      <c r="I801" t="str">
        <f>TEXT(Append1[[#This Row],[dteday]],"DDDD")</f>
        <v>Saturday</v>
      </c>
      <c r="J801" t="str" cm="1">
        <f t="array" ref="J801">_xlfn.IFS(Append1[[#This Row],[weekday cnt]]=0,"Weekend",Append1[[#This Row],[weekday cnt]]=6,"Weekend",Append1[[#This Row],[weekday cnt]]&gt;0,"Weekday")</f>
        <v>Weekend</v>
      </c>
      <c r="K801">
        <v>6</v>
      </c>
      <c r="L801" t="str" cm="1">
        <f t="array" ref="L8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01">
        <v>2</v>
      </c>
      <c r="N801">
        <v>0.28000000000000003</v>
      </c>
      <c r="O801">
        <f t="shared" si="4"/>
        <v>799</v>
      </c>
      <c r="P801">
        <f t="shared" si="5"/>
        <v>800</v>
      </c>
      <c r="Q801">
        <v>0.2424</v>
      </c>
      <c r="R801">
        <v>0.93</v>
      </c>
      <c r="S801">
        <v>0.44779999999999998</v>
      </c>
      <c r="T801">
        <v>2</v>
      </c>
      <c r="U801">
        <v>81</v>
      </c>
      <c r="V801">
        <v>83</v>
      </c>
    </row>
    <row r="802" spans="1:22" x14ac:dyDescent="0.3">
      <c r="A802">
        <v>801</v>
      </c>
      <c r="B802" s="1">
        <v>40579</v>
      </c>
      <c r="C802">
        <v>1</v>
      </c>
      <c r="D802">
        <v>0</v>
      </c>
      <c r="E802" t="str">
        <f>TEXT(Append1[[#This Row],[dteday]],"MMMM")</f>
        <v>February</v>
      </c>
      <c r="F802">
        <v>2</v>
      </c>
      <c r="G802">
        <v>19</v>
      </c>
      <c r="H802" t="b">
        <v>0</v>
      </c>
      <c r="I802" t="str">
        <f>TEXT(Append1[[#This Row],[dteday]],"DDDD")</f>
        <v>Saturday</v>
      </c>
      <c r="J802" t="str" cm="1">
        <f t="array" ref="J802">_xlfn.IFS(Append1[[#This Row],[weekday cnt]]=0,"Weekend",Append1[[#This Row],[weekday cnt]]=6,"Weekend",Append1[[#This Row],[weekday cnt]]&gt;0,"Weekday")</f>
        <v>Weekend</v>
      </c>
      <c r="K802">
        <v>6</v>
      </c>
      <c r="L802" t="str" cm="1">
        <f t="array" ref="L80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02">
        <v>2</v>
      </c>
      <c r="N802">
        <v>0.28000000000000003</v>
      </c>
      <c r="O802">
        <f t="shared" si="4"/>
        <v>800</v>
      </c>
      <c r="P802">
        <f t="shared" si="5"/>
        <v>801</v>
      </c>
      <c r="Q802">
        <v>0.2424</v>
      </c>
      <c r="R802">
        <v>0.93</v>
      </c>
      <c r="S802">
        <v>0.44779999999999998</v>
      </c>
      <c r="T802">
        <v>6</v>
      </c>
      <c r="U802">
        <v>78</v>
      </c>
      <c r="V802">
        <v>84</v>
      </c>
    </row>
    <row r="803" spans="1:22" x14ac:dyDescent="0.3">
      <c r="A803">
        <v>802</v>
      </c>
      <c r="B803" s="1">
        <v>40579</v>
      </c>
      <c r="C803">
        <v>1</v>
      </c>
      <c r="D803">
        <v>0</v>
      </c>
      <c r="E803" t="str">
        <f>TEXT(Append1[[#This Row],[dteday]],"MMMM")</f>
        <v>February</v>
      </c>
      <c r="F803">
        <v>2</v>
      </c>
      <c r="G803">
        <v>20</v>
      </c>
      <c r="H803" t="b">
        <v>0</v>
      </c>
      <c r="I803" t="str">
        <f>TEXT(Append1[[#This Row],[dteday]],"DDDD")</f>
        <v>Saturday</v>
      </c>
      <c r="J803" t="str" cm="1">
        <f t="array" ref="J803">_xlfn.IFS(Append1[[#This Row],[weekday cnt]]=0,"Weekend",Append1[[#This Row],[weekday cnt]]=6,"Weekend",Append1[[#This Row],[weekday cnt]]&gt;0,"Weekday")</f>
        <v>Weekend</v>
      </c>
      <c r="K803">
        <v>6</v>
      </c>
      <c r="L803" t="str" cm="1">
        <f t="array" ref="L80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03">
        <v>1</v>
      </c>
      <c r="N803">
        <v>0.3</v>
      </c>
      <c r="O803">
        <f t="shared" si="4"/>
        <v>801</v>
      </c>
      <c r="P803">
        <f t="shared" si="5"/>
        <v>802</v>
      </c>
      <c r="Q803">
        <v>0.28789999999999999</v>
      </c>
      <c r="R803">
        <v>0.87</v>
      </c>
      <c r="S803">
        <v>0.25369999999999998</v>
      </c>
      <c r="T803">
        <v>5</v>
      </c>
      <c r="U803">
        <v>64</v>
      </c>
      <c r="V803">
        <v>69</v>
      </c>
    </row>
    <row r="804" spans="1:22" x14ac:dyDescent="0.3">
      <c r="A804">
        <v>803</v>
      </c>
      <c r="B804" s="1">
        <v>40579</v>
      </c>
      <c r="C804">
        <v>1</v>
      </c>
      <c r="D804">
        <v>0</v>
      </c>
      <c r="E804" t="str">
        <f>TEXT(Append1[[#This Row],[dteday]],"MMMM")</f>
        <v>February</v>
      </c>
      <c r="F804">
        <v>2</v>
      </c>
      <c r="G804">
        <v>21</v>
      </c>
      <c r="H804" t="b">
        <v>0</v>
      </c>
      <c r="I804" t="str">
        <f>TEXT(Append1[[#This Row],[dteday]],"DDDD")</f>
        <v>Saturday</v>
      </c>
      <c r="J804" t="str" cm="1">
        <f t="array" ref="J804">_xlfn.IFS(Append1[[#This Row],[weekday cnt]]=0,"Weekend",Append1[[#This Row],[weekday cnt]]=6,"Weekend",Append1[[#This Row],[weekday cnt]]&gt;0,"Weekday")</f>
        <v>Weekend</v>
      </c>
      <c r="K804">
        <v>6</v>
      </c>
      <c r="L804" t="str" cm="1">
        <f t="array" ref="L80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04">
        <v>1</v>
      </c>
      <c r="N804">
        <v>0.26</v>
      </c>
      <c r="O804">
        <f t="shared" si="4"/>
        <v>802</v>
      </c>
      <c r="P804">
        <f t="shared" si="5"/>
        <v>803</v>
      </c>
      <c r="Q804">
        <v>0.2576</v>
      </c>
      <c r="R804">
        <v>1</v>
      </c>
      <c r="S804">
        <v>0.19400000000000001</v>
      </c>
      <c r="T804">
        <v>3</v>
      </c>
      <c r="U804">
        <v>53</v>
      </c>
      <c r="V804">
        <v>56</v>
      </c>
    </row>
    <row r="805" spans="1:22" x14ac:dyDescent="0.3">
      <c r="A805">
        <v>804</v>
      </c>
      <c r="B805" s="1">
        <v>40579</v>
      </c>
      <c r="C805">
        <v>1</v>
      </c>
      <c r="D805">
        <v>0</v>
      </c>
      <c r="E805" t="str">
        <f>TEXT(Append1[[#This Row],[dteday]],"MMMM")</f>
        <v>February</v>
      </c>
      <c r="F805">
        <v>2</v>
      </c>
      <c r="G805">
        <v>22</v>
      </c>
      <c r="H805" t="b">
        <v>0</v>
      </c>
      <c r="I805" t="str">
        <f>TEXT(Append1[[#This Row],[dteday]],"DDDD")</f>
        <v>Saturday</v>
      </c>
      <c r="J805" t="str" cm="1">
        <f t="array" ref="J805">_xlfn.IFS(Append1[[#This Row],[weekday cnt]]=0,"Weekend",Append1[[#This Row],[weekday cnt]]=6,"Weekend",Append1[[#This Row],[weekday cnt]]&gt;0,"Weekday")</f>
        <v>Weekend</v>
      </c>
      <c r="K805">
        <v>6</v>
      </c>
      <c r="L805" t="str" cm="1">
        <f t="array" ref="L80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05">
        <v>1</v>
      </c>
      <c r="N805">
        <v>0.26</v>
      </c>
      <c r="O805">
        <f t="shared" ref="O805:O868" si="6">O804+1</f>
        <v>803</v>
      </c>
      <c r="P805">
        <f t="shared" ref="P805:P868" si="7">P804+1</f>
        <v>804</v>
      </c>
      <c r="Q805">
        <v>0.2727</v>
      </c>
      <c r="R805">
        <v>0.93</v>
      </c>
      <c r="S805">
        <v>0.1343</v>
      </c>
      <c r="T805">
        <v>2</v>
      </c>
      <c r="U805">
        <v>43</v>
      </c>
      <c r="V805">
        <v>45</v>
      </c>
    </row>
    <row r="806" spans="1:22" x14ac:dyDescent="0.3">
      <c r="A806">
        <v>805</v>
      </c>
      <c r="B806" s="1">
        <v>40579</v>
      </c>
      <c r="C806">
        <v>1</v>
      </c>
      <c r="D806">
        <v>0</v>
      </c>
      <c r="E806" t="str">
        <f>TEXT(Append1[[#This Row],[dteday]],"MMMM")</f>
        <v>February</v>
      </c>
      <c r="F806">
        <v>2</v>
      </c>
      <c r="G806">
        <v>23</v>
      </c>
      <c r="H806" t="b">
        <v>0</v>
      </c>
      <c r="I806" t="str">
        <f>TEXT(Append1[[#This Row],[dteday]],"DDDD")</f>
        <v>Saturday</v>
      </c>
      <c r="J806" t="str" cm="1">
        <f t="array" ref="J806">_xlfn.IFS(Append1[[#This Row],[weekday cnt]]=0,"Weekend",Append1[[#This Row],[weekday cnt]]=6,"Weekend",Append1[[#This Row],[weekday cnt]]&gt;0,"Weekday")</f>
        <v>Weekend</v>
      </c>
      <c r="K806">
        <v>6</v>
      </c>
      <c r="L806" t="str" cm="1">
        <f t="array" ref="L80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06">
        <v>1</v>
      </c>
      <c r="N806">
        <v>0.26</v>
      </c>
      <c r="O806">
        <f t="shared" si="6"/>
        <v>804</v>
      </c>
      <c r="P806">
        <f t="shared" si="7"/>
        <v>805</v>
      </c>
      <c r="Q806">
        <v>0.2576</v>
      </c>
      <c r="R806">
        <v>0.93</v>
      </c>
      <c r="S806">
        <v>0.22389999999999999</v>
      </c>
      <c r="T806">
        <v>7</v>
      </c>
      <c r="U806">
        <v>52</v>
      </c>
      <c r="V806">
        <v>59</v>
      </c>
    </row>
    <row r="807" spans="1:22" x14ac:dyDescent="0.3">
      <c r="A807">
        <v>806</v>
      </c>
      <c r="B807" s="1">
        <v>40580</v>
      </c>
      <c r="C807">
        <v>1</v>
      </c>
      <c r="D807">
        <v>0</v>
      </c>
      <c r="E807" t="str">
        <f>TEXT(Append1[[#This Row],[dteday]],"MMMM")</f>
        <v>February</v>
      </c>
      <c r="F807">
        <v>2</v>
      </c>
      <c r="G807">
        <v>0</v>
      </c>
      <c r="H807" t="b">
        <v>0</v>
      </c>
      <c r="I807" t="str">
        <f>TEXT(Append1[[#This Row],[dteday]],"DDDD")</f>
        <v>Sunday</v>
      </c>
      <c r="J807" t="str" cm="1">
        <f t="array" ref="J807">_xlfn.IFS(Append1[[#This Row],[weekday cnt]]=0,"Weekend",Append1[[#This Row],[weekday cnt]]=6,"Weekend",Append1[[#This Row],[weekday cnt]]&gt;0,"Weekday")</f>
        <v>Weekend</v>
      </c>
      <c r="K807">
        <v>0</v>
      </c>
      <c r="L807" t="str" cm="1">
        <f t="array" ref="L80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07">
        <v>1</v>
      </c>
      <c r="N807">
        <v>0.26</v>
      </c>
      <c r="O807">
        <f t="shared" si="6"/>
        <v>805</v>
      </c>
      <c r="P807">
        <f t="shared" si="7"/>
        <v>806</v>
      </c>
      <c r="Q807">
        <v>0.2576</v>
      </c>
      <c r="R807">
        <v>0.7</v>
      </c>
      <c r="S807">
        <v>0.19400000000000001</v>
      </c>
      <c r="T807">
        <v>2</v>
      </c>
      <c r="U807">
        <v>37</v>
      </c>
      <c r="V807">
        <v>39</v>
      </c>
    </row>
    <row r="808" spans="1:22" x14ac:dyDescent="0.3">
      <c r="A808">
        <v>807</v>
      </c>
      <c r="B808" s="1">
        <v>40580</v>
      </c>
      <c r="C808">
        <v>1</v>
      </c>
      <c r="D808">
        <v>0</v>
      </c>
      <c r="E808" t="str">
        <f>TEXT(Append1[[#This Row],[dteday]],"MMMM")</f>
        <v>February</v>
      </c>
      <c r="F808">
        <v>2</v>
      </c>
      <c r="G808">
        <v>1</v>
      </c>
      <c r="H808" t="b">
        <v>0</v>
      </c>
      <c r="I808" t="str">
        <f>TEXT(Append1[[#This Row],[dteday]],"DDDD")</f>
        <v>Sunday</v>
      </c>
      <c r="J808" t="str" cm="1">
        <f t="array" ref="J808">_xlfn.IFS(Append1[[#This Row],[weekday cnt]]=0,"Weekend",Append1[[#This Row],[weekday cnt]]=6,"Weekend",Append1[[#This Row],[weekday cnt]]&gt;0,"Weekday")</f>
        <v>Weekend</v>
      </c>
      <c r="K808">
        <v>0</v>
      </c>
      <c r="L808" t="str" cm="1">
        <f t="array" ref="L80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08">
        <v>1</v>
      </c>
      <c r="N808">
        <v>0.26</v>
      </c>
      <c r="O808">
        <f t="shared" si="6"/>
        <v>806</v>
      </c>
      <c r="P808">
        <f t="shared" si="7"/>
        <v>807</v>
      </c>
      <c r="Q808">
        <v>0.2273</v>
      </c>
      <c r="R808">
        <v>0.65</v>
      </c>
      <c r="S808">
        <v>0.41789999999999999</v>
      </c>
      <c r="T808">
        <v>4</v>
      </c>
      <c r="U808">
        <v>40</v>
      </c>
      <c r="V808">
        <v>44</v>
      </c>
    </row>
    <row r="809" spans="1:22" x14ac:dyDescent="0.3">
      <c r="A809">
        <v>808</v>
      </c>
      <c r="B809" s="1">
        <v>40580</v>
      </c>
      <c r="C809">
        <v>1</v>
      </c>
      <c r="D809">
        <v>0</v>
      </c>
      <c r="E809" t="str">
        <f>TEXT(Append1[[#This Row],[dteday]],"MMMM")</f>
        <v>February</v>
      </c>
      <c r="F809">
        <v>2</v>
      </c>
      <c r="G809">
        <v>2</v>
      </c>
      <c r="H809" t="b">
        <v>0</v>
      </c>
      <c r="I809" t="str">
        <f>TEXT(Append1[[#This Row],[dteday]],"DDDD")</f>
        <v>Sunday</v>
      </c>
      <c r="J809" t="str" cm="1">
        <f t="array" ref="J809">_xlfn.IFS(Append1[[#This Row],[weekday cnt]]=0,"Weekend",Append1[[#This Row],[weekday cnt]]=6,"Weekend",Append1[[#This Row],[weekday cnt]]&gt;0,"Weekday")</f>
        <v>Weekend</v>
      </c>
      <c r="K809">
        <v>0</v>
      </c>
      <c r="L809" t="str" cm="1">
        <f t="array" ref="L80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09">
        <v>1</v>
      </c>
      <c r="N809">
        <v>0.26</v>
      </c>
      <c r="O809">
        <f t="shared" si="6"/>
        <v>807</v>
      </c>
      <c r="P809">
        <f t="shared" si="7"/>
        <v>808</v>
      </c>
      <c r="Q809">
        <v>0.2273</v>
      </c>
      <c r="R809">
        <v>0.6</v>
      </c>
      <c r="S809">
        <v>0.32840000000000003</v>
      </c>
      <c r="T809">
        <v>0</v>
      </c>
      <c r="U809">
        <v>20</v>
      </c>
      <c r="V809">
        <v>20</v>
      </c>
    </row>
    <row r="810" spans="1:22" x14ac:dyDescent="0.3">
      <c r="A810">
        <v>809</v>
      </c>
      <c r="B810" s="1">
        <v>40580</v>
      </c>
      <c r="C810">
        <v>1</v>
      </c>
      <c r="D810">
        <v>0</v>
      </c>
      <c r="E810" t="str">
        <f>TEXT(Append1[[#This Row],[dteday]],"MMMM")</f>
        <v>February</v>
      </c>
      <c r="F810">
        <v>2</v>
      </c>
      <c r="G810">
        <v>3</v>
      </c>
      <c r="H810" t="b">
        <v>0</v>
      </c>
      <c r="I810" t="str">
        <f>TEXT(Append1[[#This Row],[dteday]],"DDDD")</f>
        <v>Sunday</v>
      </c>
      <c r="J810" t="str" cm="1">
        <f t="array" ref="J810">_xlfn.IFS(Append1[[#This Row],[weekday cnt]]=0,"Weekend",Append1[[#This Row],[weekday cnt]]=6,"Weekend",Append1[[#This Row],[weekday cnt]]&gt;0,"Weekday")</f>
        <v>Weekend</v>
      </c>
      <c r="K810">
        <v>0</v>
      </c>
      <c r="L810" t="str" cm="1">
        <f t="array" ref="L8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0">
        <v>1</v>
      </c>
      <c r="N810">
        <v>0.26</v>
      </c>
      <c r="O810">
        <f t="shared" si="6"/>
        <v>808</v>
      </c>
      <c r="P810">
        <f t="shared" si="7"/>
        <v>809</v>
      </c>
      <c r="Q810">
        <v>0.28789999999999999</v>
      </c>
      <c r="R810">
        <v>0.6</v>
      </c>
      <c r="S810">
        <v>8.9599999999999999E-2</v>
      </c>
      <c r="T810">
        <v>3</v>
      </c>
      <c r="U810">
        <v>10</v>
      </c>
      <c r="V810">
        <v>13</v>
      </c>
    </row>
    <row r="811" spans="1:22" x14ac:dyDescent="0.3">
      <c r="A811">
        <v>810</v>
      </c>
      <c r="B811" s="1">
        <v>40580</v>
      </c>
      <c r="C811">
        <v>1</v>
      </c>
      <c r="D811">
        <v>0</v>
      </c>
      <c r="E811" t="str">
        <f>TEXT(Append1[[#This Row],[dteday]],"MMMM")</f>
        <v>February</v>
      </c>
      <c r="F811">
        <v>2</v>
      </c>
      <c r="G811">
        <v>4</v>
      </c>
      <c r="H811" t="b">
        <v>0</v>
      </c>
      <c r="I811" t="str">
        <f>TEXT(Append1[[#This Row],[dteday]],"DDDD")</f>
        <v>Sunday</v>
      </c>
      <c r="J811" t="str" cm="1">
        <f t="array" ref="J811">_xlfn.IFS(Append1[[#This Row],[weekday cnt]]=0,"Weekend",Append1[[#This Row],[weekday cnt]]=6,"Weekend",Append1[[#This Row],[weekday cnt]]&gt;0,"Weekday")</f>
        <v>Weekend</v>
      </c>
      <c r="K811">
        <v>0</v>
      </c>
      <c r="L811" t="str" cm="1">
        <f t="array" ref="L8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1">
        <v>1</v>
      </c>
      <c r="N811">
        <v>0.26</v>
      </c>
      <c r="O811">
        <f t="shared" si="6"/>
        <v>809</v>
      </c>
      <c r="P811">
        <f t="shared" si="7"/>
        <v>810</v>
      </c>
      <c r="Q811">
        <v>0.2273</v>
      </c>
      <c r="R811">
        <v>0.6</v>
      </c>
      <c r="S811">
        <v>0.35820000000000002</v>
      </c>
      <c r="T811">
        <v>0</v>
      </c>
      <c r="U811">
        <v>2</v>
      </c>
      <c r="V811">
        <v>2</v>
      </c>
    </row>
    <row r="812" spans="1:22" x14ac:dyDescent="0.3">
      <c r="A812">
        <v>811</v>
      </c>
      <c r="B812" s="1">
        <v>40580</v>
      </c>
      <c r="C812">
        <v>1</v>
      </c>
      <c r="D812">
        <v>0</v>
      </c>
      <c r="E812" t="str">
        <f>TEXT(Append1[[#This Row],[dteday]],"MMMM")</f>
        <v>February</v>
      </c>
      <c r="F812">
        <v>2</v>
      </c>
      <c r="G812">
        <v>5</v>
      </c>
      <c r="H812" t="b">
        <v>0</v>
      </c>
      <c r="I812" t="str">
        <f>TEXT(Append1[[#This Row],[dteday]],"DDDD")</f>
        <v>Sunday</v>
      </c>
      <c r="J812" t="str" cm="1">
        <f t="array" ref="J812">_xlfn.IFS(Append1[[#This Row],[weekday cnt]]=0,"Weekend",Append1[[#This Row],[weekday cnt]]=6,"Weekend",Append1[[#This Row],[weekday cnt]]&gt;0,"Weekday")</f>
        <v>Weekend</v>
      </c>
      <c r="K812">
        <v>0</v>
      </c>
      <c r="L812" t="str" cm="1">
        <f t="array" ref="L8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2">
        <v>1</v>
      </c>
      <c r="N812">
        <v>0.26</v>
      </c>
      <c r="O812">
        <f t="shared" si="6"/>
        <v>810</v>
      </c>
      <c r="P812">
        <f t="shared" si="7"/>
        <v>811</v>
      </c>
      <c r="Q812">
        <v>0.2576</v>
      </c>
      <c r="R812">
        <v>0.6</v>
      </c>
      <c r="S812">
        <v>0.22389999999999999</v>
      </c>
      <c r="T812">
        <v>0</v>
      </c>
      <c r="U812">
        <v>1</v>
      </c>
      <c r="V812">
        <v>1</v>
      </c>
    </row>
    <row r="813" spans="1:22" x14ac:dyDescent="0.3">
      <c r="A813">
        <v>812</v>
      </c>
      <c r="B813" s="1">
        <v>40580</v>
      </c>
      <c r="C813">
        <v>1</v>
      </c>
      <c r="D813">
        <v>0</v>
      </c>
      <c r="E813" t="str">
        <f>TEXT(Append1[[#This Row],[dteday]],"MMMM")</f>
        <v>February</v>
      </c>
      <c r="F813">
        <v>2</v>
      </c>
      <c r="G813">
        <v>6</v>
      </c>
      <c r="H813" t="b">
        <v>0</v>
      </c>
      <c r="I813" t="str">
        <f>TEXT(Append1[[#This Row],[dteday]],"DDDD")</f>
        <v>Sunday</v>
      </c>
      <c r="J813" t="str" cm="1">
        <f t="array" ref="J813">_xlfn.IFS(Append1[[#This Row],[weekday cnt]]=0,"Weekend",Append1[[#This Row],[weekday cnt]]=6,"Weekend",Append1[[#This Row],[weekday cnt]]&gt;0,"Weekday")</f>
        <v>Weekend</v>
      </c>
      <c r="K813">
        <v>0</v>
      </c>
      <c r="L813" t="str" cm="1">
        <f t="array" ref="L8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3">
        <v>1</v>
      </c>
      <c r="N813">
        <v>0.26</v>
      </c>
      <c r="O813">
        <f t="shared" si="6"/>
        <v>811</v>
      </c>
      <c r="P813">
        <f t="shared" si="7"/>
        <v>812</v>
      </c>
      <c r="Q813">
        <v>0.2576</v>
      </c>
      <c r="R813">
        <v>0.6</v>
      </c>
      <c r="S813">
        <v>0.22389999999999999</v>
      </c>
      <c r="T813">
        <v>0</v>
      </c>
      <c r="U813">
        <v>1</v>
      </c>
      <c r="V813">
        <v>1</v>
      </c>
    </row>
    <row r="814" spans="1:22" x14ac:dyDescent="0.3">
      <c r="A814">
        <v>813</v>
      </c>
      <c r="B814" s="1">
        <v>40580</v>
      </c>
      <c r="C814">
        <v>1</v>
      </c>
      <c r="D814">
        <v>0</v>
      </c>
      <c r="E814" t="str">
        <f>TEXT(Append1[[#This Row],[dteday]],"MMMM")</f>
        <v>February</v>
      </c>
      <c r="F814">
        <v>2</v>
      </c>
      <c r="G814">
        <v>7</v>
      </c>
      <c r="H814" t="b">
        <v>0</v>
      </c>
      <c r="I814" t="str">
        <f>TEXT(Append1[[#This Row],[dteday]],"DDDD")</f>
        <v>Sunday</v>
      </c>
      <c r="J814" t="str" cm="1">
        <f t="array" ref="J814">_xlfn.IFS(Append1[[#This Row],[weekday cnt]]=0,"Weekend",Append1[[#This Row],[weekday cnt]]=6,"Weekend",Append1[[#This Row],[weekday cnt]]&gt;0,"Weekday")</f>
        <v>Weekend</v>
      </c>
      <c r="K814">
        <v>0</v>
      </c>
      <c r="L814" t="str" cm="1">
        <f t="array" ref="L8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4">
        <v>1</v>
      </c>
      <c r="N814">
        <v>0.24</v>
      </c>
      <c r="O814">
        <f t="shared" si="6"/>
        <v>812</v>
      </c>
      <c r="P814">
        <f t="shared" si="7"/>
        <v>813</v>
      </c>
      <c r="Q814">
        <v>0.2424</v>
      </c>
      <c r="R814">
        <v>0.65</v>
      </c>
      <c r="S814">
        <v>0.16420000000000001</v>
      </c>
      <c r="T814">
        <v>0</v>
      </c>
      <c r="U814">
        <v>8</v>
      </c>
      <c r="V814">
        <v>8</v>
      </c>
    </row>
    <row r="815" spans="1:22" x14ac:dyDescent="0.3">
      <c r="A815">
        <v>814</v>
      </c>
      <c r="B815" s="1">
        <v>40580</v>
      </c>
      <c r="C815">
        <v>1</v>
      </c>
      <c r="D815">
        <v>0</v>
      </c>
      <c r="E815" t="str">
        <f>TEXT(Append1[[#This Row],[dteday]],"MMMM")</f>
        <v>February</v>
      </c>
      <c r="F815">
        <v>2</v>
      </c>
      <c r="G815">
        <v>8</v>
      </c>
      <c r="H815" t="b">
        <v>0</v>
      </c>
      <c r="I815" t="str">
        <f>TEXT(Append1[[#This Row],[dteday]],"DDDD")</f>
        <v>Sunday</v>
      </c>
      <c r="J815" t="str" cm="1">
        <f t="array" ref="J815">_xlfn.IFS(Append1[[#This Row],[weekday cnt]]=0,"Weekend",Append1[[#This Row],[weekday cnt]]=6,"Weekend",Append1[[#This Row],[weekday cnt]]&gt;0,"Weekday")</f>
        <v>Weekend</v>
      </c>
      <c r="K815">
        <v>0</v>
      </c>
      <c r="L815" t="str" cm="1">
        <f t="array" ref="L8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5">
        <v>1</v>
      </c>
      <c r="N815">
        <v>0.24</v>
      </c>
      <c r="O815">
        <f t="shared" si="6"/>
        <v>813</v>
      </c>
      <c r="P815">
        <f t="shared" si="7"/>
        <v>814</v>
      </c>
      <c r="Q815">
        <v>0.2576</v>
      </c>
      <c r="R815">
        <v>0.65</v>
      </c>
      <c r="S815">
        <v>0.1045</v>
      </c>
      <c r="T815">
        <v>2</v>
      </c>
      <c r="U815">
        <v>21</v>
      </c>
      <c r="V815">
        <v>23</v>
      </c>
    </row>
    <row r="816" spans="1:22" x14ac:dyDescent="0.3">
      <c r="A816">
        <v>815</v>
      </c>
      <c r="B816" s="1">
        <v>40580</v>
      </c>
      <c r="C816">
        <v>1</v>
      </c>
      <c r="D816">
        <v>0</v>
      </c>
      <c r="E816" t="str">
        <f>TEXT(Append1[[#This Row],[dteday]],"MMMM")</f>
        <v>February</v>
      </c>
      <c r="F816">
        <v>2</v>
      </c>
      <c r="G816">
        <v>9</v>
      </c>
      <c r="H816" t="b">
        <v>0</v>
      </c>
      <c r="I816" t="str">
        <f>TEXT(Append1[[#This Row],[dteday]],"DDDD")</f>
        <v>Sunday</v>
      </c>
      <c r="J816" t="str" cm="1">
        <f t="array" ref="J816">_xlfn.IFS(Append1[[#This Row],[weekday cnt]]=0,"Weekend",Append1[[#This Row],[weekday cnt]]=6,"Weekend",Append1[[#This Row],[weekday cnt]]&gt;0,"Weekday")</f>
        <v>Weekend</v>
      </c>
      <c r="K816">
        <v>0</v>
      </c>
      <c r="L816" t="str" cm="1">
        <f t="array" ref="L8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6">
        <v>1</v>
      </c>
      <c r="N816">
        <v>0.28000000000000003</v>
      </c>
      <c r="O816">
        <f t="shared" si="6"/>
        <v>814</v>
      </c>
      <c r="P816">
        <f t="shared" si="7"/>
        <v>815</v>
      </c>
      <c r="Q816">
        <v>0.28789999999999999</v>
      </c>
      <c r="R816">
        <v>0.56000000000000005</v>
      </c>
      <c r="S816">
        <v>0.1045</v>
      </c>
      <c r="T816">
        <v>7</v>
      </c>
      <c r="U816">
        <v>38</v>
      </c>
      <c r="V816">
        <v>45</v>
      </c>
    </row>
    <row r="817" spans="1:22" x14ac:dyDescent="0.3">
      <c r="A817">
        <v>816</v>
      </c>
      <c r="B817" s="1">
        <v>40580</v>
      </c>
      <c r="C817">
        <v>1</v>
      </c>
      <c r="D817">
        <v>0</v>
      </c>
      <c r="E817" t="str">
        <f>TEXT(Append1[[#This Row],[dteday]],"MMMM")</f>
        <v>February</v>
      </c>
      <c r="F817">
        <v>2</v>
      </c>
      <c r="G817">
        <v>10</v>
      </c>
      <c r="H817" t="b">
        <v>0</v>
      </c>
      <c r="I817" t="str">
        <f>TEXT(Append1[[#This Row],[dteday]],"DDDD")</f>
        <v>Sunday</v>
      </c>
      <c r="J817" t="str" cm="1">
        <f t="array" ref="J817">_xlfn.IFS(Append1[[#This Row],[weekday cnt]]=0,"Weekend",Append1[[#This Row],[weekday cnt]]=6,"Weekend",Append1[[#This Row],[weekday cnt]]&gt;0,"Weekday")</f>
        <v>Weekend</v>
      </c>
      <c r="K817">
        <v>0</v>
      </c>
      <c r="L817" t="str" cm="1">
        <f t="array" ref="L8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7">
        <v>1</v>
      </c>
      <c r="N817">
        <v>0.3</v>
      </c>
      <c r="O817">
        <f t="shared" si="6"/>
        <v>815</v>
      </c>
      <c r="P817">
        <f t="shared" si="7"/>
        <v>816</v>
      </c>
      <c r="Q817">
        <v>0.28789999999999999</v>
      </c>
      <c r="R817">
        <v>0.52</v>
      </c>
      <c r="S817">
        <v>0.25369999999999998</v>
      </c>
      <c r="T817">
        <v>15</v>
      </c>
      <c r="U817">
        <v>74</v>
      </c>
      <c r="V817">
        <v>89</v>
      </c>
    </row>
    <row r="818" spans="1:22" x14ac:dyDescent="0.3">
      <c r="A818">
        <v>817</v>
      </c>
      <c r="B818" s="1">
        <v>40580</v>
      </c>
      <c r="C818">
        <v>1</v>
      </c>
      <c r="D818">
        <v>0</v>
      </c>
      <c r="E818" t="str">
        <f>TEXT(Append1[[#This Row],[dteday]],"MMMM")</f>
        <v>February</v>
      </c>
      <c r="F818">
        <v>2</v>
      </c>
      <c r="G818">
        <v>11</v>
      </c>
      <c r="H818" t="b">
        <v>0</v>
      </c>
      <c r="I818" t="str">
        <f>TEXT(Append1[[#This Row],[dteday]],"DDDD")</f>
        <v>Sunday</v>
      </c>
      <c r="J818" t="str" cm="1">
        <f t="array" ref="J818">_xlfn.IFS(Append1[[#This Row],[weekday cnt]]=0,"Weekend",Append1[[#This Row],[weekday cnt]]=6,"Weekend",Append1[[#This Row],[weekday cnt]]&gt;0,"Weekday")</f>
        <v>Weekend</v>
      </c>
      <c r="K818">
        <v>0</v>
      </c>
      <c r="L818" t="str" cm="1">
        <f t="array" ref="L8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8">
        <v>1</v>
      </c>
      <c r="N818">
        <v>0.32</v>
      </c>
      <c r="O818">
        <f t="shared" si="6"/>
        <v>816</v>
      </c>
      <c r="P818">
        <f t="shared" si="7"/>
        <v>817</v>
      </c>
      <c r="Q818">
        <v>0.30299999999999999</v>
      </c>
      <c r="R818">
        <v>0.49</v>
      </c>
      <c r="S818">
        <v>0.25369999999999998</v>
      </c>
      <c r="T818">
        <v>28</v>
      </c>
      <c r="U818">
        <v>89</v>
      </c>
      <c r="V818">
        <v>117</v>
      </c>
    </row>
    <row r="819" spans="1:22" x14ac:dyDescent="0.3">
      <c r="A819">
        <v>818</v>
      </c>
      <c r="B819" s="1">
        <v>40580</v>
      </c>
      <c r="C819">
        <v>1</v>
      </c>
      <c r="D819">
        <v>0</v>
      </c>
      <c r="E819" t="str">
        <f>TEXT(Append1[[#This Row],[dteday]],"MMMM")</f>
        <v>February</v>
      </c>
      <c r="F819">
        <v>2</v>
      </c>
      <c r="G819">
        <v>12</v>
      </c>
      <c r="H819" t="b">
        <v>0</v>
      </c>
      <c r="I819" t="str">
        <f>TEXT(Append1[[#This Row],[dteday]],"DDDD")</f>
        <v>Sunday</v>
      </c>
      <c r="J819" t="str" cm="1">
        <f t="array" ref="J819">_xlfn.IFS(Append1[[#This Row],[weekday cnt]]=0,"Weekend",Append1[[#This Row],[weekday cnt]]=6,"Weekend",Append1[[#This Row],[weekday cnt]]&gt;0,"Weekday")</f>
        <v>Weekend</v>
      </c>
      <c r="K819">
        <v>0</v>
      </c>
      <c r="L819" t="str" cm="1">
        <f t="array" ref="L8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19">
        <v>1</v>
      </c>
      <c r="N819">
        <v>0.34</v>
      </c>
      <c r="O819">
        <f t="shared" si="6"/>
        <v>817</v>
      </c>
      <c r="P819">
        <f t="shared" si="7"/>
        <v>818</v>
      </c>
      <c r="Q819">
        <v>0.33329999999999999</v>
      </c>
      <c r="R819">
        <v>0.46</v>
      </c>
      <c r="S819">
        <v>0</v>
      </c>
      <c r="T819">
        <v>48</v>
      </c>
      <c r="U819">
        <v>126</v>
      </c>
      <c r="V819">
        <v>174</v>
      </c>
    </row>
    <row r="820" spans="1:22" x14ac:dyDescent="0.3">
      <c r="A820">
        <v>819</v>
      </c>
      <c r="B820" s="1">
        <v>40580</v>
      </c>
      <c r="C820">
        <v>1</v>
      </c>
      <c r="D820">
        <v>0</v>
      </c>
      <c r="E820" t="str">
        <f>TEXT(Append1[[#This Row],[dteday]],"MMMM")</f>
        <v>February</v>
      </c>
      <c r="F820">
        <v>2</v>
      </c>
      <c r="G820">
        <v>13</v>
      </c>
      <c r="H820" t="b">
        <v>0</v>
      </c>
      <c r="I820" t="str">
        <f>TEXT(Append1[[#This Row],[dteday]],"DDDD")</f>
        <v>Sunday</v>
      </c>
      <c r="J820" t="str" cm="1">
        <f t="array" ref="J820">_xlfn.IFS(Append1[[#This Row],[weekday cnt]]=0,"Weekend",Append1[[#This Row],[weekday cnt]]=6,"Weekend",Append1[[#This Row],[weekday cnt]]&gt;0,"Weekday")</f>
        <v>Weekend</v>
      </c>
      <c r="K820">
        <v>0</v>
      </c>
      <c r="L820" t="str" cm="1">
        <f t="array" ref="L8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0">
        <v>1</v>
      </c>
      <c r="N820">
        <v>0.34</v>
      </c>
      <c r="O820">
        <f t="shared" si="6"/>
        <v>818</v>
      </c>
      <c r="P820">
        <f t="shared" si="7"/>
        <v>819</v>
      </c>
      <c r="Q820">
        <v>0.36359999999999998</v>
      </c>
      <c r="R820">
        <v>0.46</v>
      </c>
      <c r="S820">
        <v>0</v>
      </c>
      <c r="T820">
        <v>47</v>
      </c>
      <c r="U820">
        <v>135</v>
      </c>
      <c r="V820">
        <v>182</v>
      </c>
    </row>
    <row r="821" spans="1:22" x14ac:dyDescent="0.3">
      <c r="A821">
        <v>820</v>
      </c>
      <c r="B821" s="1">
        <v>40580</v>
      </c>
      <c r="C821">
        <v>1</v>
      </c>
      <c r="D821">
        <v>0</v>
      </c>
      <c r="E821" t="str">
        <f>TEXT(Append1[[#This Row],[dteday]],"MMMM")</f>
        <v>February</v>
      </c>
      <c r="F821">
        <v>2</v>
      </c>
      <c r="G821">
        <v>14</v>
      </c>
      <c r="H821" t="b">
        <v>0</v>
      </c>
      <c r="I821" t="str">
        <f>TEXT(Append1[[#This Row],[dteday]],"DDDD")</f>
        <v>Sunday</v>
      </c>
      <c r="J821" t="str" cm="1">
        <f t="array" ref="J821">_xlfn.IFS(Append1[[#This Row],[weekday cnt]]=0,"Weekend",Append1[[#This Row],[weekday cnt]]=6,"Weekend",Append1[[#This Row],[weekday cnt]]&gt;0,"Weekday")</f>
        <v>Weekend</v>
      </c>
      <c r="K821">
        <v>0</v>
      </c>
      <c r="L821" t="str" cm="1">
        <f t="array" ref="L8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1">
        <v>1</v>
      </c>
      <c r="N821">
        <v>0.34</v>
      </c>
      <c r="O821">
        <f t="shared" si="6"/>
        <v>819</v>
      </c>
      <c r="P821">
        <f t="shared" si="7"/>
        <v>820</v>
      </c>
      <c r="Q821">
        <v>0.34849999999999998</v>
      </c>
      <c r="R821">
        <v>0.46</v>
      </c>
      <c r="S821">
        <v>8.9599999999999999E-2</v>
      </c>
      <c r="T821">
        <v>47</v>
      </c>
      <c r="U821">
        <v>114</v>
      </c>
      <c r="V821">
        <v>161</v>
      </c>
    </row>
    <row r="822" spans="1:22" x14ac:dyDescent="0.3">
      <c r="A822">
        <v>821</v>
      </c>
      <c r="B822" s="1">
        <v>40580</v>
      </c>
      <c r="C822">
        <v>1</v>
      </c>
      <c r="D822">
        <v>0</v>
      </c>
      <c r="E822" t="str">
        <f>TEXT(Append1[[#This Row],[dteday]],"MMMM")</f>
        <v>February</v>
      </c>
      <c r="F822">
        <v>2</v>
      </c>
      <c r="G822">
        <v>15</v>
      </c>
      <c r="H822" t="b">
        <v>0</v>
      </c>
      <c r="I822" t="str">
        <f>TEXT(Append1[[#This Row],[dteday]],"DDDD")</f>
        <v>Sunday</v>
      </c>
      <c r="J822" t="str" cm="1">
        <f t="array" ref="J822">_xlfn.IFS(Append1[[#This Row],[weekday cnt]]=0,"Weekend",Append1[[#This Row],[weekday cnt]]=6,"Weekend",Append1[[#This Row],[weekday cnt]]&gt;0,"Weekday")</f>
        <v>Weekend</v>
      </c>
      <c r="K822">
        <v>0</v>
      </c>
      <c r="L822" t="str" cm="1">
        <f t="array" ref="L8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2">
        <v>1</v>
      </c>
      <c r="N822">
        <v>0.34</v>
      </c>
      <c r="O822">
        <f t="shared" si="6"/>
        <v>820</v>
      </c>
      <c r="P822">
        <f t="shared" si="7"/>
        <v>821</v>
      </c>
      <c r="Q822">
        <v>0.34849999999999998</v>
      </c>
      <c r="R822">
        <v>0.46</v>
      </c>
      <c r="S822">
        <v>8.9599999999999999E-2</v>
      </c>
      <c r="T822">
        <v>52</v>
      </c>
      <c r="U822">
        <v>130</v>
      </c>
      <c r="V822">
        <v>182</v>
      </c>
    </row>
    <row r="823" spans="1:22" x14ac:dyDescent="0.3">
      <c r="A823">
        <v>822</v>
      </c>
      <c r="B823" s="1">
        <v>40580</v>
      </c>
      <c r="C823">
        <v>1</v>
      </c>
      <c r="D823">
        <v>0</v>
      </c>
      <c r="E823" t="str">
        <f>TEXT(Append1[[#This Row],[dteday]],"MMMM")</f>
        <v>February</v>
      </c>
      <c r="F823">
        <v>2</v>
      </c>
      <c r="G823">
        <v>16</v>
      </c>
      <c r="H823" t="b">
        <v>0</v>
      </c>
      <c r="I823" t="str">
        <f>TEXT(Append1[[#This Row],[dteday]],"DDDD")</f>
        <v>Sunday</v>
      </c>
      <c r="J823" t="str" cm="1">
        <f t="array" ref="J823">_xlfn.IFS(Append1[[#This Row],[weekday cnt]]=0,"Weekend",Append1[[#This Row],[weekday cnt]]=6,"Weekend",Append1[[#This Row],[weekday cnt]]&gt;0,"Weekday")</f>
        <v>Weekend</v>
      </c>
      <c r="K823">
        <v>0</v>
      </c>
      <c r="L823" t="str" cm="1">
        <f t="array" ref="L8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3">
        <v>1</v>
      </c>
      <c r="N823">
        <v>0.34</v>
      </c>
      <c r="O823">
        <f t="shared" si="6"/>
        <v>821</v>
      </c>
      <c r="P823">
        <f t="shared" si="7"/>
        <v>822</v>
      </c>
      <c r="Q823">
        <v>0.34849999999999998</v>
      </c>
      <c r="R823">
        <v>0.49</v>
      </c>
      <c r="S823">
        <v>0.1045</v>
      </c>
      <c r="T823">
        <v>42</v>
      </c>
      <c r="U823">
        <v>115</v>
      </c>
      <c r="V823">
        <v>157</v>
      </c>
    </row>
    <row r="824" spans="1:22" x14ac:dyDescent="0.3">
      <c r="A824">
        <v>823</v>
      </c>
      <c r="B824" s="1">
        <v>40580</v>
      </c>
      <c r="C824">
        <v>1</v>
      </c>
      <c r="D824">
        <v>0</v>
      </c>
      <c r="E824" t="str">
        <f>TEXT(Append1[[#This Row],[dteday]],"MMMM")</f>
        <v>February</v>
      </c>
      <c r="F824">
        <v>2</v>
      </c>
      <c r="G824">
        <v>17</v>
      </c>
      <c r="H824" t="b">
        <v>0</v>
      </c>
      <c r="I824" t="str">
        <f>TEXT(Append1[[#This Row],[dteday]],"DDDD")</f>
        <v>Sunday</v>
      </c>
      <c r="J824" t="str" cm="1">
        <f t="array" ref="J824">_xlfn.IFS(Append1[[#This Row],[weekday cnt]]=0,"Weekend",Append1[[#This Row],[weekday cnt]]=6,"Weekend",Append1[[#This Row],[weekday cnt]]&gt;0,"Weekday")</f>
        <v>Weekend</v>
      </c>
      <c r="K824">
        <v>0</v>
      </c>
      <c r="L824" t="str" cm="1">
        <f t="array" ref="L8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4">
        <v>1</v>
      </c>
      <c r="N824">
        <v>0.34</v>
      </c>
      <c r="O824">
        <f t="shared" si="6"/>
        <v>822</v>
      </c>
      <c r="P824">
        <f t="shared" si="7"/>
        <v>823</v>
      </c>
      <c r="Q824">
        <v>0.36359999999999998</v>
      </c>
      <c r="R824">
        <v>0.46</v>
      </c>
      <c r="S824">
        <v>0</v>
      </c>
      <c r="T824">
        <v>24</v>
      </c>
      <c r="U824">
        <v>97</v>
      </c>
      <c r="V824">
        <v>121</v>
      </c>
    </row>
    <row r="825" spans="1:22" x14ac:dyDescent="0.3">
      <c r="A825">
        <v>824</v>
      </c>
      <c r="B825" s="1">
        <v>40580</v>
      </c>
      <c r="C825">
        <v>1</v>
      </c>
      <c r="D825">
        <v>0</v>
      </c>
      <c r="E825" t="str">
        <f>TEXT(Append1[[#This Row],[dteday]],"MMMM")</f>
        <v>February</v>
      </c>
      <c r="F825">
        <v>2</v>
      </c>
      <c r="G825">
        <v>18</v>
      </c>
      <c r="H825" t="b">
        <v>0</v>
      </c>
      <c r="I825" t="str">
        <f>TEXT(Append1[[#This Row],[dteday]],"DDDD")</f>
        <v>Sunday</v>
      </c>
      <c r="J825" t="str" cm="1">
        <f t="array" ref="J825">_xlfn.IFS(Append1[[#This Row],[weekday cnt]]=0,"Weekend",Append1[[#This Row],[weekday cnt]]=6,"Weekend",Append1[[#This Row],[weekday cnt]]&gt;0,"Weekday")</f>
        <v>Weekend</v>
      </c>
      <c r="K825">
        <v>0</v>
      </c>
      <c r="L825" t="str" cm="1">
        <f t="array" ref="L8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5">
        <v>1</v>
      </c>
      <c r="N825">
        <v>0.3</v>
      </c>
      <c r="O825">
        <f t="shared" si="6"/>
        <v>823</v>
      </c>
      <c r="P825">
        <f t="shared" si="7"/>
        <v>824</v>
      </c>
      <c r="Q825">
        <v>0.30299999999999999</v>
      </c>
      <c r="R825">
        <v>0.56000000000000005</v>
      </c>
      <c r="S825">
        <v>0.16420000000000001</v>
      </c>
      <c r="T825">
        <v>13</v>
      </c>
      <c r="U825">
        <v>65</v>
      </c>
      <c r="V825">
        <v>78</v>
      </c>
    </row>
    <row r="826" spans="1:22" x14ac:dyDescent="0.3">
      <c r="A826">
        <v>825</v>
      </c>
      <c r="B826" s="1">
        <v>40580</v>
      </c>
      <c r="C826">
        <v>1</v>
      </c>
      <c r="D826">
        <v>0</v>
      </c>
      <c r="E826" t="str">
        <f>TEXT(Append1[[#This Row],[dteday]],"MMMM")</f>
        <v>February</v>
      </c>
      <c r="F826">
        <v>2</v>
      </c>
      <c r="G826">
        <v>19</v>
      </c>
      <c r="H826" t="b">
        <v>0</v>
      </c>
      <c r="I826" t="str">
        <f>TEXT(Append1[[#This Row],[dteday]],"DDDD")</f>
        <v>Sunday</v>
      </c>
      <c r="J826" t="str" cm="1">
        <f t="array" ref="J826">_xlfn.IFS(Append1[[#This Row],[weekday cnt]]=0,"Weekend",Append1[[#This Row],[weekday cnt]]=6,"Weekend",Append1[[#This Row],[weekday cnt]]&gt;0,"Weekday")</f>
        <v>Weekend</v>
      </c>
      <c r="K826">
        <v>0</v>
      </c>
      <c r="L826" t="str" cm="1">
        <f t="array" ref="L8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6">
        <v>1</v>
      </c>
      <c r="N826">
        <v>0.28000000000000003</v>
      </c>
      <c r="O826">
        <f t="shared" si="6"/>
        <v>824</v>
      </c>
      <c r="P826">
        <f t="shared" si="7"/>
        <v>825</v>
      </c>
      <c r="Q826">
        <v>0.28789999999999999</v>
      </c>
      <c r="R826">
        <v>0.61</v>
      </c>
      <c r="S826">
        <v>0.1343</v>
      </c>
      <c r="T826">
        <v>1</v>
      </c>
      <c r="U826">
        <v>20</v>
      </c>
      <c r="V826">
        <v>21</v>
      </c>
    </row>
    <row r="827" spans="1:22" x14ac:dyDescent="0.3">
      <c r="A827">
        <v>826</v>
      </c>
      <c r="B827" s="1">
        <v>40580</v>
      </c>
      <c r="C827">
        <v>1</v>
      </c>
      <c r="D827">
        <v>0</v>
      </c>
      <c r="E827" t="str">
        <f>TEXT(Append1[[#This Row],[dteday]],"MMMM")</f>
        <v>February</v>
      </c>
      <c r="F827">
        <v>2</v>
      </c>
      <c r="G827">
        <v>20</v>
      </c>
      <c r="H827" t="b">
        <v>0</v>
      </c>
      <c r="I827" t="str">
        <f>TEXT(Append1[[#This Row],[dteday]],"DDDD")</f>
        <v>Sunday</v>
      </c>
      <c r="J827" t="str" cm="1">
        <f t="array" ref="J827">_xlfn.IFS(Append1[[#This Row],[weekday cnt]]=0,"Weekend",Append1[[#This Row],[weekday cnt]]=6,"Weekend",Append1[[#This Row],[weekday cnt]]&gt;0,"Weekday")</f>
        <v>Weekend</v>
      </c>
      <c r="K827">
        <v>0</v>
      </c>
      <c r="L827" t="str" cm="1">
        <f t="array" ref="L8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7">
        <v>1</v>
      </c>
      <c r="N827">
        <v>0.28000000000000003</v>
      </c>
      <c r="O827">
        <f t="shared" si="6"/>
        <v>825</v>
      </c>
      <c r="P827">
        <f t="shared" si="7"/>
        <v>826</v>
      </c>
      <c r="Q827">
        <v>0.28789999999999999</v>
      </c>
      <c r="R827">
        <v>0.61</v>
      </c>
      <c r="S827">
        <v>0.1045</v>
      </c>
      <c r="T827">
        <v>5</v>
      </c>
      <c r="U827">
        <v>21</v>
      </c>
      <c r="V827">
        <v>26</v>
      </c>
    </row>
    <row r="828" spans="1:22" x14ac:dyDescent="0.3">
      <c r="A828">
        <v>827</v>
      </c>
      <c r="B828" s="1">
        <v>40580</v>
      </c>
      <c r="C828">
        <v>1</v>
      </c>
      <c r="D828">
        <v>0</v>
      </c>
      <c r="E828" t="str">
        <f>TEXT(Append1[[#This Row],[dteday]],"MMMM")</f>
        <v>February</v>
      </c>
      <c r="F828">
        <v>2</v>
      </c>
      <c r="G828">
        <v>21</v>
      </c>
      <c r="H828" t="b">
        <v>0</v>
      </c>
      <c r="I828" t="str">
        <f>TEXT(Append1[[#This Row],[dteday]],"DDDD")</f>
        <v>Sunday</v>
      </c>
      <c r="J828" t="str" cm="1">
        <f t="array" ref="J828">_xlfn.IFS(Append1[[#This Row],[weekday cnt]]=0,"Weekend",Append1[[#This Row],[weekday cnt]]=6,"Weekend",Append1[[#This Row],[weekday cnt]]&gt;0,"Weekday")</f>
        <v>Weekend</v>
      </c>
      <c r="K828">
        <v>0</v>
      </c>
      <c r="L828" t="str" cm="1">
        <f t="array" ref="L8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8">
        <v>1</v>
      </c>
      <c r="N828">
        <v>0.26</v>
      </c>
      <c r="O828">
        <f t="shared" si="6"/>
        <v>826</v>
      </c>
      <c r="P828">
        <f t="shared" si="7"/>
        <v>827</v>
      </c>
      <c r="Q828">
        <v>0.30299999999999999</v>
      </c>
      <c r="R828">
        <v>0.6</v>
      </c>
      <c r="S828">
        <v>0</v>
      </c>
      <c r="T828">
        <v>5</v>
      </c>
      <c r="U828">
        <v>22</v>
      </c>
      <c r="V828">
        <v>27</v>
      </c>
    </row>
    <row r="829" spans="1:22" x14ac:dyDescent="0.3">
      <c r="A829">
        <v>828</v>
      </c>
      <c r="B829" s="1">
        <v>40580</v>
      </c>
      <c r="C829">
        <v>1</v>
      </c>
      <c r="D829">
        <v>0</v>
      </c>
      <c r="E829" t="str">
        <f>TEXT(Append1[[#This Row],[dteday]],"MMMM")</f>
        <v>February</v>
      </c>
      <c r="F829">
        <v>2</v>
      </c>
      <c r="G829">
        <v>22</v>
      </c>
      <c r="H829" t="b">
        <v>0</v>
      </c>
      <c r="I829" t="str">
        <f>TEXT(Append1[[#This Row],[dteday]],"DDDD")</f>
        <v>Sunday</v>
      </c>
      <c r="J829" t="str" cm="1">
        <f t="array" ref="J829">_xlfn.IFS(Append1[[#This Row],[weekday cnt]]=0,"Weekend",Append1[[#This Row],[weekday cnt]]=6,"Weekend",Append1[[#This Row],[weekday cnt]]&gt;0,"Weekday")</f>
        <v>Weekend</v>
      </c>
      <c r="K829">
        <v>0</v>
      </c>
      <c r="L829" t="str" cm="1">
        <f t="array" ref="L8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29">
        <v>1</v>
      </c>
      <c r="N829">
        <v>0.26</v>
      </c>
      <c r="O829">
        <f t="shared" si="6"/>
        <v>827</v>
      </c>
      <c r="P829">
        <f t="shared" si="7"/>
        <v>828</v>
      </c>
      <c r="Q829">
        <v>0.30299999999999999</v>
      </c>
      <c r="R829">
        <v>0.6</v>
      </c>
      <c r="S829">
        <v>0</v>
      </c>
      <c r="T829">
        <v>5</v>
      </c>
      <c r="U829">
        <v>57</v>
      </c>
      <c r="V829">
        <v>62</v>
      </c>
    </row>
    <row r="830" spans="1:22" x14ac:dyDescent="0.3">
      <c r="A830">
        <v>829</v>
      </c>
      <c r="B830" s="1">
        <v>40580</v>
      </c>
      <c r="C830">
        <v>1</v>
      </c>
      <c r="D830">
        <v>0</v>
      </c>
      <c r="E830" t="str">
        <f>TEXT(Append1[[#This Row],[dteday]],"MMMM")</f>
        <v>February</v>
      </c>
      <c r="F830">
        <v>2</v>
      </c>
      <c r="G830">
        <v>23</v>
      </c>
      <c r="H830" t="b">
        <v>0</v>
      </c>
      <c r="I830" t="str">
        <f>TEXT(Append1[[#This Row],[dteday]],"DDDD")</f>
        <v>Sunday</v>
      </c>
      <c r="J830" t="str" cm="1">
        <f t="array" ref="J830">_xlfn.IFS(Append1[[#This Row],[weekday cnt]]=0,"Weekend",Append1[[#This Row],[weekday cnt]]=6,"Weekend",Append1[[#This Row],[weekday cnt]]&gt;0,"Weekday")</f>
        <v>Weekend</v>
      </c>
      <c r="K830">
        <v>0</v>
      </c>
      <c r="L830" t="str" cm="1">
        <f t="array" ref="L8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0">
        <v>1</v>
      </c>
      <c r="N830">
        <v>0.24</v>
      </c>
      <c r="O830">
        <f t="shared" si="6"/>
        <v>828</v>
      </c>
      <c r="P830">
        <f t="shared" si="7"/>
        <v>829</v>
      </c>
      <c r="Q830">
        <v>0.28789999999999999</v>
      </c>
      <c r="R830">
        <v>0.65</v>
      </c>
      <c r="S830">
        <v>0</v>
      </c>
      <c r="T830">
        <v>4</v>
      </c>
      <c r="U830">
        <v>26</v>
      </c>
      <c r="V830">
        <v>30</v>
      </c>
    </row>
    <row r="831" spans="1:22" x14ac:dyDescent="0.3">
      <c r="A831">
        <v>830</v>
      </c>
      <c r="B831" s="1">
        <v>40581</v>
      </c>
      <c r="C831">
        <v>1</v>
      </c>
      <c r="D831">
        <v>0</v>
      </c>
      <c r="E831" t="str">
        <f>TEXT(Append1[[#This Row],[dteday]],"MMMM")</f>
        <v>February</v>
      </c>
      <c r="F831">
        <v>2</v>
      </c>
      <c r="G831">
        <v>0</v>
      </c>
      <c r="H831" t="b">
        <v>0</v>
      </c>
      <c r="I831" t="str">
        <f>TEXT(Append1[[#This Row],[dteday]],"DDDD")</f>
        <v>Monday</v>
      </c>
      <c r="J831" t="str" cm="1">
        <f t="array" ref="J831">_xlfn.IFS(Append1[[#This Row],[weekday cnt]]=0,"Weekend",Append1[[#This Row],[weekday cnt]]=6,"Weekend",Append1[[#This Row],[weekday cnt]]&gt;0,"Weekday")</f>
        <v>Weekday</v>
      </c>
      <c r="K831">
        <v>1</v>
      </c>
      <c r="L831" t="str" cm="1">
        <f t="array" ref="L8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1">
        <v>1</v>
      </c>
      <c r="N831">
        <v>0.24</v>
      </c>
      <c r="O831">
        <f t="shared" si="6"/>
        <v>829</v>
      </c>
      <c r="P831">
        <f t="shared" si="7"/>
        <v>830</v>
      </c>
      <c r="Q831">
        <v>0.28789999999999999</v>
      </c>
      <c r="R831">
        <v>0.65</v>
      </c>
      <c r="S831">
        <v>0</v>
      </c>
      <c r="T831">
        <v>1</v>
      </c>
      <c r="U831">
        <v>14</v>
      </c>
      <c r="V831">
        <v>15</v>
      </c>
    </row>
    <row r="832" spans="1:22" x14ac:dyDescent="0.3">
      <c r="A832">
        <v>831</v>
      </c>
      <c r="B832" s="1">
        <v>40581</v>
      </c>
      <c r="C832">
        <v>1</v>
      </c>
      <c r="D832">
        <v>0</v>
      </c>
      <c r="E832" t="str">
        <f>TEXT(Append1[[#This Row],[dteday]],"MMMM")</f>
        <v>February</v>
      </c>
      <c r="F832">
        <v>2</v>
      </c>
      <c r="G832">
        <v>1</v>
      </c>
      <c r="H832" t="b">
        <v>0</v>
      </c>
      <c r="I832" t="str">
        <f>TEXT(Append1[[#This Row],[dteday]],"DDDD")</f>
        <v>Monday</v>
      </c>
      <c r="J832" t="str" cm="1">
        <f t="array" ref="J832">_xlfn.IFS(Append1[[#This Row],[weekday cnt]]=0,"Weekend",Append1[[#This Row],[weekday cnt]]=6,"Weekend",Append1[[#This Row],[weekday cnt]]&gt;0,"Weekday")</f>
        <v>Weekday</v>
      </c>
      <c r="K832">
        <v>1</v>
      </c>
      <c r="L832" t="str" cm="1">
        <f t="array" ref="L8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2">
        <v>1</v>
      </c>
      <c r="N832">
        <v>0.22</v>
      </c>
      <c r="O832">
        <f t="shared" si="6"/>
        <v>830</v>
      </c>
      <c r="P832">
        <f t="shared" si="7"/>
        <v>831</v>
      </c>
      <c r="Q832">
        <v>0.2727</v>
      </c>
      <c r="R832">
        <v>0.75</v>
      </c>
      <c r="S832">
        <v>0</v>
      </c>
      <c r="T832">
        <v>1</v>
      </c>
      <c r="U832">
        <v>4</v>
      </c>
      <c r="V832">
        <v>5</v>
      </c>
    </row>
    <row r="833" spans="1:22" x14ac:dyDescent="0.3">
      <c r="A833">
        <v>832</v>
      </c>
      <c r="B833" s="1">
        <v>40581</v>
      </c>
      <c r="C833">
        <v>1</v>
      </c>
      <c r="D833">
        <v>0</v>
      </c>
      <c r="E833" t="str">
        <f>TEXT(Append1[[#This Row],[dteday]],"MMMM")</f>
        <v>February</v>
      </c>
      <c r="F833">
        <v>2</v>
      </c>
      <c r="G833">
        <v>2</v>
      </c>
      <c r="H833" t="b">
        <v>0</v>
      </c>
      <c r="I833" t="str">
        <f>TEXT(Append1[[#This Row],[dteday]],"DDDD")</f>
        <v>Monday</v>
      </c>
      <c r="J833" t="str" cm="1">
        <f t="array" ref="J833">_xlfn.IFS(Append1[[#This Row],[weekday cnt]]=0,"Weekend",Append1[[#This Row],[weekday cnt]]=6,"Weekend",Append1[[#This Row],[weekday cnt]]&gt;0,"Weekday")</f>
        <v>Weekday</v>
      </c>
      <c r="K833">
        <v>1</v>
      </c>
      <c r="L833" t="str" cm="1">
        <f t="array" ref="L8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3">
        <v>1</v>
      </c>
      <c r="N833">
        <v>0.2</v>
      </c>
      <c r="O833">
        <f t="shared" si="6"/>
        <v>831</v>
      </c>
      <c r="P833">
        <f t="shared" si="7"/>
        <v>832</v>
      </c>
      <c r="Q833">
        <v>0.2576</v>
      </c>
      <c r="R833">
        <v>0.8</v>
      </c>
      <c r="S833">
        <v>0</v>
      </c>
      <c r="T833">
        <v>0</v>
      </c>
      <c r="U833">
        <v>3</v>
      </c>
      <c r="V833">
        <v>3</v>
      </c>
    </row>
    <row r="834" spans="1:22" x14ac:dyDescent="0.3">
      <c r="A834">
        <v>833</v>
      </c>
      <c r="B834" s="1">
        <v>40581</v>
      </c>
      <c r="C834">
        <v>1</v>
      </c>
      <c r="D834">
        <v>0</v>
      </c>
      <c r="E834" t="str">
        <f>TEXT(Append1[[#This Row],[dteday]],"MMMM")</f>
        <v>February</v>
      </c>
      <c r="F834">
        <v>2</v>
      </c>
      <c r="G834">
        <v>3</v>
      </c>
      <c r="H834" t="b">
        <v>0</v>
      </c>
      <c r="I834" t="str">
        <f>TEXT(Append1[[#This Row],[dteday]],"DDDD")</f>
        <v>Monday</v>
      </c>
      <c r="J834" t="str" cm="1">
        <f t="array" ref="J834">_xlfn.IFS(Append1[[#This Row],[weekday cnt]]=0,"Weekend",Append1[[#This Row],[weekday cnt]]=6,"Weekend",Append1[[#This Row],[weekday cnt]]&gt;0,"Weekday")</f>
        <v>Weekday</v>
      </c>
      <c r="K834">
        <v>1</v>
      </c>
      <c r="L834" t="str" cm="1">
        <f t="array" ref="L8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4">
        <v>1</v>
      </c>
      <c r="N834">
        <v>0.2</v>
      </c>
      <c r="O834">
        <f t="shared" si="6"/>
        <v>832</v>
      </c>
      <c r="P834">
        <f t="shared" si="7"/>
        <v>833</v>
      </c>
      <c r="Q834">
        <v>0.2576</v>
      </c>
      <c r="R834">
        <v>0.86</v>
      </c>
      <c r="S834">
        <v>0</v>
      </c>
      <c r="T834">
        <v>0</v>
      </c>
      <c r="U834">
        <v>1</v>
      </c>
      <c r="V834">
        <v>1</v>
      </c>
    </row>
    <row r="835" spans="1:22" x14ac:dyDescent="0.3">
      <c r="A835">
        <v>834</v>
      </c>
      <c r="B835" s="1">
        <v>40581</v>
      </c>
      <c r="C835">
        <v>1</v>
      </c>
      <c r="D835">
        <v>0</v>
      </c>
      <c r="E835" t="str">
        <f>TEXT(Append1[[#This Row],[dteday]],"MMMM")</f>
        <v>February</v>
      </c>
      <c r="F835">
        <v>2</v>
      </c>
      <c r="G835">
        <v>4</v>
      </c>
      <c r="H835" t="b">
        <v>0</v>
      </c>
      <c r="I835" t="str">
        <f>TEXT(Append1[[#This Row],[dteday]],"DDDD")</f>
        <v>Monday</v>
      </c>
      <c r="J835" t="str" cm="1">
        <f t="array" ref="J835">_xlfn.IFS(Append1[[#This Row],[weekday cnt]]=0,"Weekend",Append1[[#This Row],[weekday cnt]]=6,"Weekend",Append1[[#This Row],[weekday cnt]]&gt;0,"Weekday")</f>
        <v>Weekday</v>
      </c>
      <c r="K835">
        <v>1</v>
      </c>
      <c r="L835" t="str" cm="1">
        <f t="array" ref="L8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5">
        <v>1</v>
      </c>
      <c r="N835">
        <v>0.2</v>
      </c>
      <c r="O835">
        <f t="shared" si="6"/>
        <v>833</v>
      </c>
      <c r="P835">
        <f t="shared" si="7"/>
        <v>834</v>
      </c>
      <c r="Q835">
        <v>0.2576</v>
      </c>
      <c r="R835">
        <v>0.86</v>
      </c>
      <c r="S835">
        <v>0</v>
      </c>
      <c r="T835">
        <v>1</v>
      </c>
      <c r="U835">
        <v>1</v>
      </c>
      <c r="V835">
        <v>2</v>
      </c>
    </row>
    <row r="836" spans="1:22" x14ac:dyDescent="0.3">
      <c r="A836">
        <v>835</v>
      </c>
      <c r="B836" s="1">
        <v>40581</v>
      </c>
      <c r="C836">
        <v>1</v>
      </c>
      <c r="D836">
        <v>0</v>
      </c>
      <c r="E836" t="str">
        <f>TEXT(Append1[[#This Row],[dteday]],"MMMM")</f>
        <v>February</v>
      </c>
      <c r="F836">
        <v>2</v>
      </c>
      <c r="G836">
        <v>5</v>
      </c>
      <c r="H836" t="b">
        <v>0</v>
      </c>
      <c r="I836" t="str">
        <f>TEXT(Append1[[#This Row],[dteday]],"DDDD")</f>
        <v>Monday</v>
      </c>
      <c r="J836" t="str" cm="1">
        <f t="array" ref="J836">_xlfn.IFS(Append1[[#This Row],[weekday cnt]]=0,"Weekend",Append1[[#This Row],[weekday cnt]]=6,"Weekend",Append1[[#This Row],[weekday cnt]]&gt;0,"Weekday")</f>
        <v>Weekday</v>
      </c>
      <c r="K836">
        <v>1</v>
      </c>
      <c r="L836" t="str" cm="1">
        <f t="array" ref="L8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6">
        <v>1</v>
      </c>
      <c r="N836">
        <v>0.2</v>
      </c>
      <c r="O836">
        <f t="shared" si="6"/>
        <v>834</v>
      </c>
      <c r="P836">
        <f t="shared" si="7"/>
        <v>835</v>
      </c>
      <c r="Q836">
        <v>0.2576</v>
      </c>
      <c r="R836">
        <v>0.86</v>
      </c>
      <c r="S836">
        <v>0</v>
      </c>
      <c r="T836">
        <v>1</v>
      </c>
      <c r="U836">
        <v>9</v>
      </c>
      <c r="V836">
        <v>10</v>
      </c>
    </row>
    <row r="837" spans="1:22" x14ac:dyDescent="0.3">
      <c r="A837">
        <v>836</v>
      </c>
      <c r="B837" s="1">
        <v>40581</v>
      </c>
      <c r="C837">
        <v>1</v>
      </c>
      <c r="D837">
        <v>0</v>
      </c>
      <c r="E837" t="str">
        <f>TEXT(Append1[[#This Row],[dteday]],"MMMM")</f>
        <v>February</v>
      </c>
      <c r="F837">
        <v>2</v>
      </c>
      <c r="G837">
        <v>6</v>
      </c>
      <c r="H837" t="b">
        <v>0</v>
      </c>
      <c r="I837" t="str">
        <f>TEXT(Append1[[#This Row],[dteday]],"DDDD")</f>
        <v>Monday</v>
      </c>
      <c r="J837" t="str" cm="1">
        <f t="array" ref="J837">_xlfn.IFS(Append1[[#This Row],[weekday cnt]]=0,"Weekend",Append1[[#This Row],[weekday cnt]]=6,"Weekend",Append1[[#This Row],[weekday cnt]]&gt;0,"Weekday")</f>
        <v>Weekday</v>
      </c>
      <c r="K837">
        <v>1</v>
      </c>
      <c r="L837" t="str" cm="1">
        <f t="array" ref="L8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7">
        <v>1</v>
      </c>
      <c r="N837">
        <v>0.18</v>
      </c>
      <c r="O837">
        <f t="shared" si="6"/>
        <v>835</v>
      </c>
      <c r="P837">
        <f t="shared" si="7"/>
        <v>836</v>
      </c>
      <c r="Q837">
        <v>0.2424</v>
      </c>
      <c r="R837">
        <v>0.93</v>
      </c>
      <c r="S837">
        <v>0</v>
      </c>
      <c r="T837">
        <v>1</v>
      </c>
      <c r="U837">
        <v>29</v>
      </c>
      <c r="V837">
        <v>30</v>
      </c>
    </row>
    <row r="838" spans="1:22" x14ac:dyDescent="0.3">
      <c r="A838">
        <v>837</v>
      </c>
      <c r="B838" s="1">
        <v>40581</v>
      </c>
      <c r="C838">
        <v>1</v>
      </c>
      <c r="D838">
        <v>0</v>
      </c>
      <c r="E838" t="str">
        <f>TEXT(Append1[[#This Row],[dteday]],"MMMM")</f>
        <v>February</v>
      </c>
      <c r="F838">
        <v>2</v>
      </c>
      <c r="G838">
        <v>7</v>
      </c>
      <c r="H838" t="b">
        <v>0</v>
      </c>
      <c r="I838" t="str">
        <f>TEXT(Append1[[#This Row],[dteday]],"DDDD")</f>
        <v>Monday</v>
      </c>
      <c r="J838" t="str" cm="1">
        <f t="array" ref="J838">_xlfn.IFS(Append1[[#This Row],[weekday cnt]]=0,"Weekend",Append1[[#This Row],[weekday cnt]]=6,"Weekend",Append1[[#This Row],[weekday cnt]]&gt;0,"Weekday")</f>
        <v>Weekday</v>
      </c>
      <c r="K838">
        <v>1</v>
      </c>
      <c r="L838" t="str" cm="1">
        <f t="array" ref="L8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38">
        <v>1</v>
      </c>
      <c r="N838">
        <v>0.18</v>
      </c>
      <c r="O838">
        <f t="shared" si="6"/>
        <v>836</v>
      </c>
      <c r="P838">
        <f t="shared" si="7"/>
        <v>837</v>
      </c>
      <c r="Q838">
        <v>0.2424</v>
      </c>
      <c r="R838">
        <v>0.86</v>
      </c>
      <c r="S838">
        <v>0</v>
      </c>
      <c r="T838">
        <v>6</v>
      </c>
      <c r="U838">
        <v>89</v>
      </c>
      <c r="V838">
        <v>95</v>
      </c>
    </row>
    <row r="839" spans="1:22" x14ac:dyDescent="0.3">
      <c r="A839">
        <v>838</v>
      </c>
      <c r="B839" s="1">
        <v>40581</v>
      </c>
      <c r="C839">
        <v>1</v>
      </c>
      <c r="D839">
        <v>0</v>
      </c>
      <c r="E839" t="str">
        <f>TEXT(Append1[[#This Row],[dteday]],"MMMM")</f>
        <v>February</v>
      </c>
      <c r="F839">
        <v>2</v>
      </c>
      <c r="G839">
        <v>8</v>
      </c>
      <c r="H839" t="b">
        <v>0</v>
      </c>
      <c r="I839" t="str">
        <f>TEXT(Append1[[#This Row],[dteday]],"DDDD")</f>
        <v>Monday</v>
      </c>
      <c r="J839" t="str" cm="1">
        <f t="array" ref="J839">_xlfn.IFS(Append1[[#This Row],[weekday cnt]]=0,"Weekend",Append1[[#This Row],[weekday cnt]]=6,"Weekend",Append1[[#This Row],[weekday cnt]]&gt;0,"Weekday")</f>
        <v>Weekday</v>
      </c>
      <c r="K839">
        <v>1</v>
      </c>
      <c r="L839" t="str" cm="1">
        <f t="array" ref="L8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39">
        <v>2</v>
      </c>
      <c r="N839">
        <v>0.16</v>
      </c>
      <c r="O839">
        <f t="shared" si="6"/>
        <v>837</v>
      </c>
      <c r="P839">
        <f t="shared" si="7"/>
        <v>838</v>
      </c>
      <c r="Q839">
        <v>0.2273</v>
      </c>
      <c r="R839">
        <v>1</v>
      </c>
      <c r="S839">
        <v>0</v>
      </c>
      <c r="T839">
        <v>7</v>
      </c>
      <c r="U839">
        <v>223</v>
      </c>
      <c r="V839">
        <v>230</v>
      </c>
    </row>
    <row r="840" spans="1:22" x14ac:dyDescent="0.3">
      <c r="A840">
        <v>839</v>
      </c>
      <c r="B840" s="1">
        <v>40581</v>
      </c>
      <c r="C840">
        <v>1</v>
      </c>
      <c r="D840">
        <v>0</v>
      </c>
      <c r="E840" t="str">
        <f>TEXT(Append1[[#This Row],[dteday]],"MMMM")</f>
        <v>February</v>
      </c>
      <c r="F840">
        <v>2</v>
      </c>
      <c r="G840">
        <v>9</v>
      </c>
      <c r="H840" t="b">
        <v>0</v>
      </c>
      <c r="I840" t="str">
        <f>TEXT(Append1[[#This Row],[dteday]],"DDDD")</f>
        <v>Monday</v>
      </c>
      <c r="J840" t="str" cm="1">
        <f t="array" ref="J840">_xlfn.IFS(Append1[[#This Row],[weekday cnt]]=0,"Weekend",Append1[[#This Row],[weekday cnt]]=6,"Weekend",Append1[[#This Row],[weekday cnt]]&gt;0,"Weekday")</f>
        <v>Weekday</v>
      </c>
      <c r="K840">
        <v>1</v>
      </c>
      <c r="L840" t="str" cm="1">
        <f t="array" ref="L8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40">
        <v>1</v>
      </c>
      <c r="N840">
        <v>0.22</v>
      </c>
      <c r="O840">
        <f t="shared" si="6"/>
        <v>838</v>
      </c>
      <c r="P840">
        <f t="shared" si="7"/>
        <v>839</v>
      </c>
      <c r="Q840">
        <v>0.2727</v>
      </c>
      <c r="R840">
        <v>0.8</v>
      </c>
      <c r="S840">
        <v>0</v>
      </c>
      <c r="T840">
        <v>3</v>
      </c>
      <c r="U840">
        <v>115</v>
      </c>
      <c r="V840">
        <v>118</v>
      </c>
    </row>
    <row r="841" spans="1:22" x14ac:dyDescent="0.3">
      <c r="A841">
        <v>840</v>
      </c>
      <c r="B841" s="1">
        <v>40581</v>
      </c>
      <c r="C841">
        <v>1</v>
      </c>
      <c r="D841">
        <v>0</v>
      </c>
      <c r="E841" t="str">
        <f>TEXT(Append1[[#This Row],[dteday]],"MMMM")</f>
        <v>February</v>
      </c>
      <c r="F841">
        <v>2</v>
      </c>
      <c r="G841">
        <v>10</v>
      </c>
      <c r="H841" t="b">
        <v>0</v>
      </c>
      <c r="I841" t="str">
        <f>TEXT(Append1[[#This Row],[dteday]],"DDDD")</f>
        <v>Monday</v>
      </c>
      <c r="J841" t="str" cm="1">
        <f t="array" ref="J841">_xlfn.IFS(Append1[[#This Row],[weekday cnt]]=0,"Weekend",Append1[[#This Row],[weekday cnt]]=6,"Weekend",Append1[[#This Row],[weekday cnt]]&gt;0,"Weekday")</f>
        <v>Weekday</v>
      </c>
      <c r="K841">
        <v>1</v>
      </c>
      <c r="L841" t="str" cm="1">
        <f t="array" ref="L8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41">
        <v>1</v>
      </c>
      <c r="N841">
        <v>0.24</v>
      </c>
      <c r="O841">
        <f t="shared" si="6"/>
        <v>839</v>
      </c>
      <c r="P841">
        <f t="shared" si="7"/>
        <v>840</v>
      </c>
      <c r="Q841">
        <v>0.2576</v>
      </c>
      <c r="R841">
        <v>0.75</v>
      </c>
      <c r="S841">
        <v>0.1045</v>
      </c>
      <c r="T841">
        <v>6</v>
      </c>
      <c r="U841">
        <v>49</v>
      </c>
      <c r="V841">
        <v>55</v>
      </c>
    </row>
    <row r="842" spans="1:22" x14ac:dyDescent="0.3">
      <c r="A842">
        <v>841</v>
      </c>
      <c r="B842" s="1">
        <v>40581</v>
      </c>
      <c r="C842">
        <v>1</v>
      </c>
      <c r="D842">
        <v>0</v>
      </c>
      <c r="E842" t="str">
        <f>TEXT(Append1[[#This Row],[dteday]],"MMMM")</f>
        <v>February</v>
      </c>
      <c r="F842">
        <v>2</v>
      </c>
      <c r="G842">
        <v>11</v>
      </c>
      <c r="H842" t="b">
        <v>0</v>
      </c>
      <c r="I842" t="str">
        <f>TEXT(Append1[[#This Row],[dteday]],"DDDD")</f>
        <v>Monday</v>
      </c>
      <c r="J842" t="str" cm="1">
        <f t="array" ref="J842">_xlfn.IFS(Append1[[#This Row],[weekday cnt]]=0,"Weekend",Append1[[#This Row],[weekday cnt]]=6,"Weekend",Append1[[#This Row],[weekday cnt]]&gt;0,"Weekday")</f>
        <v>Weekday</v>
      </c>
      <c r="K842">
        <v>1</v>
      </c>
      <c r="L842" t="str" cm="1">
        <f t="array" ref="L8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42">
        <v>1</v>
      </c>
      <c r="N842">
        <v>0.3</v>
      </c>
      <c r="O842">
        <f t="shared" si="6"/>
        <v>840</v>
      </c>
      <c r="P842">
        <f t="shared" si="7"/>
        <v>841</v>
      </c>
      <c r="Q842">
        <v>0.31819999999999998</v>
      </c>
      <c r="R842">
        <v>0.65</v>
      </c>
      <c r="S842">
        <v>8.9599999999999999E-2</v>
      </c>
      <c r="T842">
        <v>11</v>
      </c>
      <c r="U842">
        <v>36</v>
      </c>
      <c r="V842">
        <v>47</v>
      </c>
    </row>
    <row r="843" spans="1:22" x14ac:dyDescent="0.3">
      <c r="A843">
        <v>842</v>
      </c>
      <c r="B843" s="1">
        <v>40581</v>
      </c>
      <c r="C843">
        <v>1</v>
      </c>
      <c r="D843">
        <v>0</v>
      </c>
      <c r="E843" t="str">
        <f>TEXT(Append1[[#This Row],[dteday]],"MMMM")</f>
        <v>February</v>
      </c>
      <c r="F843">
        <v>2</v>
      </c>
      <c r="G843">
        <v>12</v>
      </c>
      <c r="H843" t="b">
        <v>0</v>
      </c>
      <c r="I843" t="str">
        <f>TEXT(Append1[[#This Row],[dteday]],"DDDD")</f>
        <v>Monday</v>
      </c>
      <c r="J843" t="str" cm="1">
        <f t="array" ref="J843">_xlfn.IFS(Append1[[#This Row],[weekday cnt]]=0,"Weekend",Append1[[#This Row],[weekday cnt]]=6,"Weekend",Append1[[#This Row],[weekday cnt]]&gt;0,"Weekday")</f>
        <v>Weekday</v>
      </c>
      <c r="K843">
        <v>1</v>
      </c>
      <c r="L843" t="str" cm="1">
        <f t="array" ref="L8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43">
        <v>2</v>
      </c>
      <c r="N843">
        <v>0.32</v>
      </c>
      <c r="O843">
        <f t="shared" si="6"/>
        <v>841</v>
      </c>
      <c r="P843">
        <f t="shared" si="7"/>
        <v>842</v>
      </c>
      <c r="Q843">
        <v>0.34849999999999998</v>
      </c>
      <c r="R843">
        <v>0.62</v>
      </c>
      <c r="S843">
        <v>0</v>
      </c>
      <c r="T843">
        <v>7</v>
      </c>
      <c r="U843">
        <v>59</v>
      </c>
      <c r="V843">
        <v>66</v>
      </c>
    </row>
    <row r="844" spans="1:22" x14ac:dyDescent="0.3">
      <c r="A844">
        <v>843</v>
      </c>
      <c r="B844" s="1">
        <v>40581</v>
      </c>
      <c r="C844">
        <v>1</v>
      </c>
      <c r="D844">
        <v>0</v>
      </c>
      <c r="E844" t="str">
        <f>TEXT(Append1[[#This Row],[dteday]],"MMMM")</f>
        <v>February</v>
      </c>
      <c r="F844">
        <v>2</v>
      </c>
      <c r="G844">
        <v>13</v>
      </c>
      <c r="H844" t="b">
        <v>0</v>
      </c>
      <c r="I844" t="str">
        <f>TEXT(Append1[[#This Row],[dteday]],"DDDD")</f>
        <v>Monday</v>
      </c>
      <c r="J844" t="str" cm="1">
        <f t="array" ref="J844">_xlfn.IFS(Append1[[#This Row],[weekday cnt]]=0,"Weekend",Append1[[#This Row],[weekday cnt]]=6,"Weekend",Append1[[#This Row],[weekday cnt]]&gt;0,"Weekday")</f>
        <v>Weekday</v>
      </c>
      <c r="K844">
        <v>1</v>
      </c>
      <c r="L844" t="str" cm="1">
        <f t="array" ref="L8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44">
        <v>2</v>
      </c>
      <c r="N844">
        <v>0.36</v>
      </c>
      <c r="O844">
        <f t="shared" si="6"/>
        <v>842</v>
      </c>
      <c r="P844">
        <f t="shared" si="7"/>
        <v>843</v>
      </c>
      <c r="Q844">
        <v>0.36359999999999998</v>
      </c>
      <c r="R844">
        <v>0.56999999999999995</v>
      </c>
      <c r="S844">
        <v>8.9599999999999999E-2</v>
      </c>
      <c r="T844">
        <v>10</v>
      </c>
      <c r="U844">
        <v>54</v>
      </c>
      <c r="V844">
        <v>64</v>
      </c>
    </row>
    <row r="845" spans="1:22" x14ac:dyDescent="0.3">
      <c r="A845">
        <v>844</v>
      </c>
      <c r="B845" s="1">
        <v>40581</v>
      </c>
      <c r="C845">
        <v>1</v>
      </c>
      <c r="D845">
        <v>0</v>
      </c>
      <c r="E845" t="str">
        <f>TEXT(Append1[[#This Row],[dteday]],"MMMM")</f>
        <v>February</v>
      </c>
      <c r="F845">
        <v>2</v>
      </c>
      <c r="G845">
        <v>14</v>
      </c>
      <c r="H845" t="b">
        <v>0</v>
      </c>
      <c r="I845" t="str">
        <f>TEXT(Append1[[#This Row],[dteday]],"DDDD")</f>
        <v>Monday</v>
      </c>
      <c r="J845" t="str" cm="1">
        <f t="array" ref="J845">_xlfn.IFS(Append1[[#This Row],[weekday cnt]]=0,"Weekend",Append1[[#This Row],[weekday cnt]]=6,"Weekend",Append1[[#This Row],[weekday cnt]]&gt;0,"Weekday")</f>
        <v>Weekday</v>
      </c>
      <c r="K845">
        <v>1</v>
      </c>
      <c r="L845" t="str" cm="1">
        <f t="array" ref="L8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45">
        <v>2</v>
      </c>
      <c r="N845">
        <v>0.36</v>
      </c>
      <c r="O845">
        <f t="shared" si="6"/>
        <v>843</v>
      </c>
      <c r="P845">
        <f t="shared" si="7"/>
        <v>844</v>
      </c>
      <c r="Q845">
        <v>0.36359999999999998</v>
      </c>
      <c r="R845">
        <v>0.56999999999999995</v>
      </c>
      <c r="S845">
        <v>8.9599999999999999E-2</v>
      </c>
      <c r="T845">
        <v>8</v>
      </c>
      <c r="U845">
        <v>52</v>
      </c>
      <c r="V845">
        <v>60</v>
      </c>
    </row>
    <row r="846" spans="1:22" x14ac:dyDescent="0.3">
      <c r="A846">
        <v>845</v>
      </c>
      <c r="B846" s="1">
        <v>40581</v>
      </c>
      <c r="C846">
        <v>1</v>
      </c>
      <c r="D846">
        <v>0</v>
      </c>
      <c r="E846" t="str">
        <f>TEXT(Append1[[#This Row],[dteday]],"MMMM")</f>
        <v>February</v>
      </c>
      <c r="F846">
        <v>2</v>
      </c>
      <c r="G846">
        <v>15</v>
      </c>
      <c r="H846" t="b">
        <v>0</v>
      </c>
      <c r="I846" t="str">
        <f>TEXT(Append1[[#This Row],[dteday]],"DDDD")</f>
        <v>Monday</v>
      </c>
      <c r="J846" t="str" cm="1">
        <f t="array" ref="J846">_xlfn.IFS(Append1[[#This Row],[weekday cnt]]=0,"Weekend",Append1[[#This Row],[weekday cnt]]=6,"Weekend",Append1[[#This Row],[weekday cnt]]&gt;0,"Weekday")</f>
        <v>Weekday</v>
      </c>
      <c r="K846">
        <v>1</v>
      </c>
      <c r="L846" t="str" cm="1">
        <f t="array" ref="L8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46">
        <v>2</v>
      </c>
      <c r="N846">
        <v>0.38</v>
      </c>
      <c r="O846">
        <f t="shared" si="6"/>
        <v>844</v>
      </c>
      <c r="P846">
        <f t="shared" si="7"/>
        <v>845</v>
      </c>
      <c r="Q846">
        <v>0.39389999999999997</v>
      </c>
      <c r="R846">
        <v>0.54</v>
      </c>
      <c r="S846">
        <v>8.9599999999999999E-2</v>
      </c>
      <c r="T846">
        <v>4</v>
      </c>
      <c r="U846">
        <v>46</v>
      </c>
      <c r="V846">
        <v>50</v>
      </c>
    </row>
    <row r="847" spans="1:22" x14ac:dyDescent="0.3">
      <c r="A847">
        <v>846</v>
      </c>
      <c r="B847" s="1">
        <v>40581</v>
      </c>
      <c r="C847">
        <v>1</v>
      </c>
      <c r="D847">
        <v>0</v>
      </c>
      <c r="E847" t="str">
        <f>TEXT(Append1[[#This Row],[dteday]],"MMMM")</f>
        <v>February</v>
      </c>
      <c r="F847">
        <v>2</v>
      </c>
      <c r="G847">
        <v>16</v>
      </c>
      <c r="H847" t="b">
        <v>0</v>
      </c>
      <c r="I847" t="str">
        <f>TEXT(Append1[[#This Row],[dteday]],"DDDD")</f>
        <v>Monday</v>
      </c>
      <c r="J847" t="str" cm="1">
        <f t="array" ref="J847">_xlfn.IFS(Append1[[#This Row],[weekday cnt]]=0,"Weekend",Append1[[#This Row],[weekday cnt]]=6,"Weekend",Append1[[#This Row],[weekday cnt]]&gt;0,"Weekday")</f>
        <v>Weekday</v>
      </c>
      <c r="K847">
        <v>1</v>
      </c>
      <c r="L847" t="str" cm="1">
        <f t="array" ref="L8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47">
        <v>2</v>
      </c>
      <c r="N847">
        <v>0.36</v>
      </c>
      <c r="O847">
        <f t="shared" si="6"/>
        <v>845</v>
      </c>
      <c r="P847">
        <f t="shared" si="7"/>
        <v>846</v>
      </c>
      <c r="Q847">
        <v>0.34849999999999998</v>
      </c>
      <c r="R847">
        <v>0.56999999999999995</v>
      </c>
      <c r="S847">
        <v>0.1343</v>
      </c>
      <c r="T847">
        <v>16</v>
      </c>
      <c r="U847">
        <v>98</v>
      </c>
      <c r="V847">
        <v>114</v>
      </c>
    </row>
    <row r="848" spans="1:22" x14ac:dyDescent="0.3">
      <c r="A848">
        <v>847</v>
      </c>
      <c r="B848" s="1">
        <v>40581</v>
      </c>
      <c r="C848">
        <v>1</v>
      </c>
      <c r="D848">
        <v>0</v>
      </c>
      <c r="E848" t="str">
        <f>TEXT(Append1[[#This Row],[dteday]],"MMMM")</f>
        <v>February</v>
      </c>
      <c r="F848">
        <v>2</v>
      </c>
      <c r="G848">
        <v>17</v>
      </c>
      <c r="H848" t="b">
        <v>0</v>
      </c>
      <c r="I848" t="str">
        <f>TEXT(Append1[[#This Row],[dteday]],"DDDD")</f>
        <v>Monday</v>
      </c>
      <c r="J848" t="str" cm="1">
        <f t="array" ref="J848">_xlfn.IFS(Append1[[#This Row],[weekday cnt]]=0,"Weekend",Append1[[#This Row],[weekday cnt]]=6,"Weekend",Append1[[#This Row],[weekday cnt]]&gt;0,"Weekday")</f>
        <v>Weekday</v>
      </c>
      <c r="K848">
        <v>1</v>
      </c>
      <c r="L848" t="str" cm="1">
        <f t="array" ref="L8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48">
        <v>2</v>
      </c>
      <c r="N848">
        <v>0.32</v>
      </c>
      <c r="O848">
        <f t="shared" si="6"/>
        <v>846</v>
      </c>
      <c r="P848">
        <f t="shared" si="7"/>
        <v>847</v>
      </c>
      <c r="Q848">
        <v>0.31819999999999998</v>
      </c>
      <c r="R848">
        <v>0.7</v>
      </c>
      <c r="S848">
        <v>0.16420000000000001</v>
      </c>
      <c r="T848">
        <v>9</v>
      </c>
      <c r="U848">
        <v>207</v>
      </c>
      <c r="V848">
        <v>216</v>
      </c>
    </row>
    <row r="849" spans="1:22" x14ac:dyDescent="0.3">
      <c r="A849">
        <v>848</v>
      </c>
      <c r="B849" s="1">
        <v>40581</v>
      </c>
      <c r="C849">
        <v>1</v>
      </c>
      <c r="D849">
        <v>0</v>
      </c>
      <c r="E849" t="str">
        <f>TEXT(Append1[[#This Row],[dteday]],"MMMM")</f>
        <v>February</v>
      </c>
      <c r="F849">
        <v>2</v>
      </c>
      <c r="G849">
        <v>18</v>
      </c>
      <c r="H849" t="b">
        <v>0</v>
      </c>
      <c r="I849" t="str">
        <f>TEXT(Append1[[#This Row],[dteday]],"DDDD")</f>
        <v>Monday</v>
      </c>
      <c r="J849" t="str" cm="1">
        <f t="array" ref="J849">_xlfn.IFS(Append1[[#This Row],[weekday cnt]]=0,"Weekend",Append1[[#This Row],[weekday cnt]]=6,"Weekend",Append1[[#This Row],[weekday cnt]]&gt;0,"Weekday")</f>
        <v>Weekday</v>
      </c>
      <c r="K849">
        <v>1</v>
      </c>
      <c r="L849" t="str" cm="1">
        <f t="array" ref="L8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49">
        <v>2</v>
      </c>
      <c r="N849">
        <v>0.34</v>
      </c>
      <c r="O849">
        <f t="shared" si="6"/>
        <v>847</v>
      </c>
      <c r="P849">
        <f t="shared" si="7"/>
        <v>848</v>
      </c>
      <c r="Q849">
        <v>0.33329999999999999</v>
      </c>
      <c r="R849">
        <v>0.66</v>
      </c>
      <c r="S849">
        <v>0.1343</v>
      </c>
      <c r="T849">
        <v>5</v>
      </c>
      <c r="U849">
        <v>170</v>
      </c>
      <c r="V849">
        <v>175</v>
      </c>
    </row>
    <row r="850" spans="1:22" x14ac:dyDescent="0.3">
      <c r="A850">
        <v>849</v>
      </c>
      <c r="B850" s="1">
        <v>40581</v>
      </c>
      <c r="C850">
        <v>1</v>
      </c>
      <c r="D850">
        <v>0</v>
      </c>
      <c r="E850" t="str">
        <f>TEXT(Append1[[#This Row],[dteday]],"MMMM")</f>
        <v>February</v>
      </c>
      <c r="F850">
        <v>2</v>
      </c>
      <c r="G850">
        <v>19</v>
      </c>
      <c r="H850" t="b">
        <v>0</v>
      </c>
      <c r="I850" t="str">
        <f>TEXT(Append1[[#This Row],[dteday]],"DDDD")</f>
        <v>Monday</v>
      </c>
      <c r="J850" t="str" cm="1">
        <f t="array" ref="J850">_xlfn.IFS(Append1[[#This Row],[weekday cnt]]=0,"Weekend",Append1[[#This Row],[weekday cnt]]=6,"Weekend",Append1[[#This Row],[weekday cnt]]&gt;0,"Weekday")</f>
        <v>Weekday</v>
      </c>
      <c r="K850">
        <v>1</v>
      </c>
      <c r="L850" t="str" cm="1">
        <f t="array" ref="L8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50">
        <v>2</v>
      </c>
      <c r="N850">
        <v>0.32</v>
      </c>
      <c r="O850">
        <f t="shared" si="6"/>
        <v>848</v>
      </c>
      <c r="P850">
        <f t="shared" si="7"/>
        <v>849</v>
      </c>
      <c r="Q850">
        <v>0.34849999999999998</v>
      </c>
      <c r="R850">
        <v>0.7</v>
      </c>
      <c r="S850">
        <v>0</v>
      </c>
      <c r="T850">
        <v>5</v>
      </c>
      <c r="U850">
        <v>123</v>
      </c>
      <c r="V850">
        <v>128</v>
      </c>
    </row>
    <row r="851" spans="1:22" x14ac:dyDescent="0.3">
      <c r="A851">
        <v>850</v>
      </c>
      <c r="B851" s="1">
        <v>40581</v>
      </c>
      <c r="C851">
        <v>1</v>
      </c>
      <c r="D851">
        <v>0</v>
      </c>
      <c r="E851" t="str">
        <f>TEXT(Append1[[#This Row],[dteday]],"MMMM")</f>
        <v>February</v>
      </c>
      <c r="F851">
        <v>2</v>
      </c>
      <c r="G851">
        <v>20</v>
      </c>
      <c r="H851" t="b">
        <v>0</v>
      </c>
      <c r="I851" t="str">
        <f>TEXT(Append1[[#This Row],[dteday]],"DDDD")</f>
        <v>Monday</v>
      </c>
      <c r="J851" t="str" cm="1">
        <f t="array" ref="J851">_xlfn.IFS(Append1[[#This Row],[weekday cnt]]=0,"Weekend",Append1[[#This Row],[weekday cnt]]=6,"Weekend",Append1[[#This Row],[weekday cnt]]&gt;0,"Weekday")</f>
        <v>Weekday</v>
      </c>
      <c r="K851">
        <v>1</v>
      </c>
      <c r="L851" t="str" cm="1">
        <f t="array" ref="L8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51">
        <v>2</v>
      </c>
      <c r="N851">
        <v>0.32</v>
      </c>
      <c r="O851">
        <f t="shared" si="6"/>
        <v>849</v>
      </c>
      <c r="P851">
        <f t="shared" si="7"/>
        <v>850</v>
      </c>
      <c r="Q851">
        <v>0.33329999999999999</v>
      </c>
      <c r="R851">
        <v>0.7</v>
      </c>
      <c r="S851">
        <v>0.1045</v>
      </c>
      <c r="T851">
        <v>6</v>
      </c>
      <c r="U851">
        <v>82</v>
      </c>
      <c r="V851">
        <v>88</v>
      </c>
    </row>
    <row r="852" spans="1:22" x14ac:dyDescent="0.3">
      <c r="A852">
        <v>851</v>
      </c>
      <c r="B852" s="1">
        <v>40581</v>
      </c>
      <c r="C852">
        <v>1</v>
      </c>
      <c r="D852">
        <v>0</v>
      </c>
      <c r="E852" t="str">
        <f>TEXT(Append1[[#This Row],[dteday]],"MMMM")</f>
        <v>February</v>
      </c>
      <c r="F852">
        <v>2</v>
      </c>
      <c r="G852">
        <v>21</v>
      </c>
      <c r="H852" t="b">
        <v>0</v>
      </c>
      <c r="I852" t="str">
        <f>TEXT(Append1[[#This Row],[dteday]],"DDDD")</f>
        <v>Monday</v>
      </c>
      <c r="J852" t="str" cm="1">
        <f t="array" ref="J852">_xlfn.IFS(Append1[[#This Row],[weekday cnt]]=0,"Weekend",Append1[[#This Row],[weekday cnt]]=6,"Weekend",Append1[[#This Row],[weekday cnt]]&gt;0,"Weekday")</f>
        <v>Weekday</v>
      </c>
      <c r="K852">
        <v>1</v>
      </c>
      <c r="L852" t="str" cm="1">
        <f t="array" ref="L8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52">
        <v>1</v>
      </c>
      <c r="N852">
        <v>0.32</v>
      </c>
      <c r="O852">
        <f t="shared" si="6"/>
        <v>850</v>
      </c>
      <c r="P852">
        <f t="shared" si="7"/>
        <v>851</v>
      </c>
      <c r="Q852">
        <v>0.34849999999999998</v>
      </c>
      <c r="R852">
        <v>0.7</v>
      </c>
      <c r="S852">
        <v>0</v>
      </c>
      <c r="T852">
        <v>3</v>
      </c>
      <c r="U852">
        <v>75</v>
      </c>
      <c r="V852">
        <v>78</v>
      </c>
    </row>
    <row r="853" spans="1:22" x14ac:dyDescent="0.3">
      <c r="A853">
        <v>852</v>
      </c>
      <c r="B853" s="1">
        <v>40581</v>
      </c>
      <c r="C853">
        <v>1</v>
      </c>
      <c r="D853">
        <v>0</v>
      </c>
      <c r="E853" t="str">
        <f>TEXT(Append1[[#This Row],[dteday]],"MMMM")</f>
        <v>February</v>
      </c>
      <c r="F853">
        <v>2</v>
      </c>
      <c r="G853">
        <v>22</v>
      </c>
      <c r="H853" t="b">
        <v>0</v>
      </c>
      <c r="I853" t="str">
        <f>TEXT(Append1[[#This Row],[dteday]],"DDDD")</f>
        <v>Monday</v>
      </c>
      <c r="J853" t="str" cm="1">
        <f t="array" ref="J853">_xlfn.IFS(Append1[[#This Row],[weekday cnt]]=0,"Weekend",Append1[[#This Row],[weekday cnt]]=6,"Weekend",Append1[[#This Row],[weekday cnt]]&gt;0,"Weekday")</f>
        <v>Weekday</v>
      </c>
      <c r="K853">
        <v>1</v>
      </c>
      <c r="L853" t="str" cm="1">
        <f t="array" ref="L8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53">
        <v>1</v>
      </c>
      <c r="N853">
        <v>0.28000000000000003</v>
      </c>
      <c r="O853">
        <f t="shared" si="6"/>
        <v>851</v>
      </c>
      <c r="P853">
        <f t="shared" si="7"/>
        <v>852</v>
      </c>
      <c r="Q853">
        <v>0.30299999999999999</v>
      </c>
      <c r="R853">
        <v>0.81</v>
      </c>
      <c r="S853">
        <v>8.9599999999999999E-2</v>
      </c>
      <c r="T853">
        <v>3</v>
      </c>
      <c r="U853">
        <v>34</v>
      </c>
      <c r="V853">
        <v>37</v>
      </c>
    </row>
    <row r="854" spans="1:22" x14ac:dyDescent="0.3">
      <c r="A854">
        <v>853</v>
      </c>
      <c r="B854" s="1">
        <v>40581</v>
      </c>
      <c r="C854">
        <v>1</v>
      </c>
      <c r="D854">
        <v>0</v>
      </c>
      <c r="E854" t="str">
        <f>TEXT(Append1[[#This Row],[dteday]],"MMMM")</f>
        <v>February</v>
      </c>
      <c r="F854">
        <v>2</v>
      </c>
      <c r="G854">
        <v>23</v>
      </c>
      <c r="H854" t="b">
        <v>0</v>
      </c>
      <c r="I854" t="str">
        <f>TEXT(Append1[[#This Row],[dteday]],"DDDD")</f>
        <v>Monday</v>
      </c>
      <c r="J854" t="str" cm="1">
        <f t="array" ref="J854">_xlfn.IFS(Append1[[#This Row],[weekday cnt]]=0,"Weekend",Append1[[#This Row],[weekday cnt]]=6,"Weekend",Append1[[#This Row],[weekday cnt]]&gt;0,"Weekday")</f>
        <v>Weekday</v>
      </c>
      <c r="K854">
        <v>1</v>
      </c>
      <c r="L854" t="str" cm="1">
        <f t="array" ref="L8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54">
        <v>2</v>
      </c>
      <c r="N854">
        <v>0.3</v>
      </c>
      <c r="O854">
        <f t="shared" si="6"/>
        <v>852</v>
      </c>
      <c r="P854">
        <f t="shared" si="7"/>
        <v>853</v>
      </c>
      <c r="Q854">
        <v>0.33329999999999999</v>
      </c>
      <c r="R854">
        <v>0.81</v>
      </c>
      <c r="S854">
        <v>0</v>
      </c>
      <c r="T854">
        <v>6</v>
      </c>
      <c r="U854">
        <v>19</v>
      </c>
      <c r="V854">
        <v>25</v>
      </c>
    </row>
    <row r="855" spans="1:22" x14ac:dyDescent="0.3">
      <c r="A855">
        <v>854</v>
      </c>
      <c r="B855" s="1">
        <v>40582</v>
      </c>
      <c r="C855">
        <v>1</v>
      </c>
      <c r="D855">
        <v>0</v>
      </c>
      <c r="E855" t="str">
        <f>TEXT(Append1[[#This Row],[dteday]],"MMMM")</f>
        <v>February</v>
      </c>
      <c r="F855">
        <v>2</v>
      </c>
      <c r="G855">
        <v>0</v>
      </c>
      <c r="H855" t="b">
        <v>0</v>
      </c>
      <c r="I855" t="str">
        <f>TEXT(Append1[[#This Row],[dteday]],"DDDD")</f>
        <v>Tuesday</v>
      </c>
      <c r="J855" t="str" cm="1">
        <f t="array" ref="J855">_xlfn.IFS(Append1[[#This Row],[weekday cnt]]=0,"Weekend",Append1[[#This Row],[weekday cnt]]=6,"Weekend",Append1[[#This Row],[weekday cnt]]&gt;0,"Weekday")</f>
        <v>Weekday</v>
      </c>
      <c r="K855">
        <v>2</v>
      </c>
      <c r="L855" t="str" cm="1">
        <f t="array" ref="L8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55">
        <v>2</v>
      </c>
      <c r="N855">
        <v>0.28000000000000003</v>
      </c>
      <c r="O855">
        <f t="shared" si="6"/>
        <v>853</v>
      </c>
      <c r="P855">
        <f t="shared" si="7"/>
        <v>854</v>
      </c>
      <c r="Q855">
        <v>0.31819999999999998</v>
      </c>
      <c r="R855">
        <v>0.87</v>
      </c>
      <c r="S855">
        <v>0</v>
      </c>
      <c r="T855">
        <v>4</v>
      </c>
      <c r="U855">
        <v>6</v>
      </c>
      <c r="V855">
        <v>10</v>
      </c>
    </row>
    <row r="856" spans="1:22" x14ac:dyDescent="0.3">
      <c r="A856">
        <v>855</v>
      </c>
      <c r="B856" s="1">
        <v>40582</v>
      </c>
      <c r="C856">
        <v>1</v>
      </c>
      <c r="D856">
        <v>0</v>
      </c>
      <c r="E856" t="str">
        <f>TEXT(Append1[[#This Row],[dteday]],"MMMM")</f>
        <v>February</v>
      </c>
      <c r="F856">
        <v>2</v>
      </c>
      <c r="G856">
        <v>1</v>
      </c>
      <c r="H856" t="b">
        <v>0</v>
      </c>
      <c r="I856" t="str">
        <f>TEXT(Append1[[#This Row],[dteday]],"DDDD")</f>
        <v>Tuesday</v>
      </c>
      <c r="J856" t="str" cm="1">
        <f t="array" ref="J856">_xlfn.IFS(Append1[[#This Row],[weekday cnt]]=0,"Weekend",Append1[[#This Row],[weekday cnt]]=6,"Weekend",Append1[[#This Row],[weekday cnt]]&gt;0,"Weekday")</f>
        <v>Weekday</v>
      </c>
      <c r="K856">
        <v>2</v>
      </c>
      <c r="L856" t="str" cm="1">
        <f t="array" ref="L8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56">
        <v>2</v>
      </c>
      <c r="N856">
        <v>0.28000000000000003</v>
      </c>
      <c r="O856">
        <f t="shared" si="6"/>
        <v>854</v>
      </c>
      <c r="P856">
        <f t="shared" si="7"/>
        <v>855</v>
      </c>
      <c r="Q856">
        <v>0.31819999999999998</v>
      </c>
      <c r="R856">
        <v>0.87</v>
      </c>
      <c r="S856">
        <v>0</v>
      </c>
      <c r="T856">
        <v>0</v>
      </c>
      <c r="U856">
        <v>4</v>
      </c>
      <c r="V856">
        <v>4</v>
      </c>
    </row>
    <row r="857" spans="1:22" x14ac:dyDescent="0.3">
      <c r="A857">
        <v>856</v>
      </c>
      <c r="B857" s="1">
        <v>40582</v>
      </c>
      <c r="C857">
        <v>1</v>
      </c>
      <c r="D857">
        <v>0</v>
      </c>
      <c r="E857" t="str">
        <f>TEXT(Append1[[#This Row],[dteday]],"MMMM")</f>
        <v>February</v>
      </c>
      <c r="F857">
        <v>2</v>
      </c>
      <c r="G857">
        <v>2</v>
      </c>
      <c r="H857" t="b">
        <v>0</v>
      </c>
      <c r="I857" t="str">
        <f>TEXT(Append1[[#This Row],[dteday]],"DDDD")</f>
        <v>Tuesday</v>
      </c>
      <c r="J857" t="str" cm="1">
        <f t="array" ref="J857">_xlfn.IFS(Append1[[#This Row],[weekday cnt]]=0,"Weekend",Append1[[#This Row],[weekday cnt]]=6,"Weekend",Append1[[#This Row],[weekday cnt]]&gt;0,"Weekday")</f>
        <v>Weekday</v>
      </c>
      <c r="K857">
        <v>2</v>
      </c>
      <c r="L857" t="str" cm="1">
        <f t="array" ref="L8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57">
        <v>2</v>
      </c>
      <c r="N857">
        <v>0.26</v>
      </c>
      <c r="O857">
        <f t="shared" si="6"/>
        <v>855</v>
      </c>
      <c r="P857">
        <f t="shared" si="7"/>
        <v>856</v>
      </c>
      <c r="Q857">
        <v>0.2727</v>
      </c>
      <c r="R857">
        <v>0.93</v>
      </c>
      <c r="S857">
        <v>0.1045</v>
      </c>
      <c r="T857">
        <v>1</v>
      </c>
      <c r="U857">
        <v>1</v>
      </c>
      <c r="V857">
        <v>2</v>
      </c>
    </row>
    <row r="858" spans="1:22" x14ac:dyDescent="0.3">
      <c r="A858">
        <v>857</v>
      </c>
      <c r="B858" s="1">
        <v>40582</v>
      </c>
      <c r="C858">
        <v>1</v>
      </c>
      <c r="D858">
        <v>0</v>
      </c>
      <c r="E858" t="str">
        <f>TEXT(Append1[[#This Row],[dteday]],"MMMM")</f>
        <v>February</v>
      </c>
      <c r="F858">
        <v>2</v>
      </c>
      <c r="G858">
        <v>3</v>
      </c>
      <c r="H858" t="b">
        <v>0</v>
      </c>
      <c r="I858" t="str">
        <f>TEXT(Append1[[#This Row],[dteday]],"DDDD")</f>
        <v>Tuesday</v>
      </c>
      <c r="J858" t="str" cm="1">
        <f t="array" ref="J858">_xlfn.IFS(Append1[[#This Row],[weekday cnt]]=0,"Weekend",Append1[[#This Row],[weekday cnt]]=6,"Weekend",Append1[[#This Row],[weekday cnt]]&gt;0,"Weekday")</f>
        <v>Weekday</v>
      </c>
      <c r="K858">
        <v>2</v>
      </c>
      <c r="L858" t="str" cm="1">
        <f t="array" ref="L8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858">
        <v>3</v>
      </c>
      <c r="N858">
        <v>0.28000000000000003</v>
      </c>
      <c r="O858">
        <f t="shared" si="6"/>
        <v>856</v>
      </c>
      <c r="P858">
        <f t="shared" si="7"/>
        <v>857</v>
      </c>
      <c r="Q858">
        <v>0.2727</v>
      </c>
      <c r="R858">
        <v>0.93</v>
      </c>
      <c r="S858">
        <v>0.16420000000000001</v>
      </c>
      <c r="T858">
        <v>0</v>
      </c>
      <c r="U858">
        <v>1</v>
      </c>
      <c r="V858">
        <v>1</v>
      </c>
    </row>
    <row r="859" spans="1:22" x14ac:dyDescent="0.3">
      <c r="A859">
        <v>858</v>
      </c>
      <c r="B859" s="1">
        <v>40582</v>
      </c>
      <c r="C859">
        <v>1</v>
      </c>
      <c r="D859">
        <v>0</v>
      </c>
      <c r="E859" t="str">
        <f>TEXT(Append1[[#This Row],[dteday]],"MMMM")</f>
        <v>February</v>
      </c>
      <c r="F859">
        <v>2</v>
      </c>
      <c r="G859">
        <v>4</v>
      </c>
      <c r="H859" t="b">
        <v>0</v>
      </c>
      <c r="I859" t="str">
        <f>TEXT(Append1[[#This Row],[dteday]],"DDDD")</f>
        <v>Tuesday</v>
      </c>
      <c r="J859" t="str" cm="1">
        <f t="array" ref="J859">_xlfn.IFS(Append1[[#This Row],[weekday cnt]]=0,"Weekend",Append1[[#This Row],[weekday cnt]]=6,"Weekend",Append1[[#This Row],[weekday cnt]]&gt;0,"Weekday")</f>
        <v>Weekday</v>
      </c>
      <c r="K859">
        <v>2</v>
      </c>
      <c r="L859" t="str" cm="1">
        <f t="array" ref="L8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59">
        <v>1</v>
      </c>
      <c r="N859">
        <v>0.26</v>
      </c>
      <c r="O859">
        <f t="shared" si="6"/>
        <v>857</v>
      </c>
      <c r="P859">
        <f t="shared" si="7"/>
        <v>858</v>
      </c>
      <c r="Q859">
        <v>0.2576</v>
      </c>
      <c r="R859">
        <v>0.93</v>
      </c>
      <c r="S859">
        <v>0.16420000000000001</v>
      </c>
      <c r="T859">
        <v>0</v>
      </c>
      <c r="U859">
        <v>3</v>
      </c>
      <c r="V859">
        <v>3</v>
      </c>
    </row>
    <row r="860" spans="1:22" x14ac:dyDescent="0.3">
      <c r="A860">
        <v>859</v>
      </c>
      <c r="B860" s="1">
        <v>40582</v>
      </c>
      <c r="C860">
        <v>1</v>
      </c>
      <c r="D860">
        <v>0</v>
      </c>
      <c r="E860" t="str">
        <f>TEXT(Append1[[#This Row],[dteday]],"MMMM")</f>
        <v>February</v>
      </c>
      <c r="F860">
        <v>2</v>
      </c>
      <c r="G860">
        <v>5</v>
      </c>
      <c r="H860" t="b">
        <v>0</v>
      </c>
      <c r="I860" t="str">
        <f>TEXT(Append1[[#This Row],[dteday]],"DDDD")</f>
        <v>Tuesday</v>
      </c>
      <c r="J860" t="str" cm="1">
        <f t="array" ref="J860">_xlfn.IFS(Append1[[#This Row],[weekday cnt]]=0,"Weekend",Append1[[#This Row],[weekday cnt]]=6,"Weekend",Append1[[#This Row],[weekday cnt]]&gt;0,"Weekday")</f>
        <v>Weekday</v>
      </c>
      <c r="K860">
        <v>2</v>
      </c>
      <c r="L860" t="str" cm="1">
        <f t="array" ref="L8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0">
        <v>1</v>
      </c>
      <c r="N860">
        <v>0.26</v>
      </c>
      <c r="O860">
        <f t="shared" si="6"/>
        <v>858</v>
      </c>
      <c r="P860">
        <f t="shared" si="7"/>
        <v>859</v>
      </c>
      <c r="Q860">
        <v>0.2273</v>
      </c>
      <c r="R860">
        <v>0.81</v>
      </c>
      <c r="S860">
        <v>0.32840000000000003</v>
      </c>
      <c r="T860">
        <v>0</v>
      </c>
      <c r="U860">
        <v>2</v>
      </c>
      <c r="V860">
        <v>2</v>
      </c>
    </row>
    <row r="861" spans="1:22" x14ac:dyDescent="0.3">
      <c r="A861">
        <v>860</v>
      </c>
      <c r="B861" s="1">
        <v>40582</v>
      </c>
      <c r="C861">
        <v>1</v>
      </c>
      <c r="D861">
        <v>0</v>
      </c>
      <c r="E861" t="str">
        <f>TEXT(Append1[[#This Row],[dteday]],"MMMM")</f>
        <v>February</v>
      </c>
      <c r="F861">
        <v>2</v>
      </c>
      <c r="G861">
        <v>6</v>
      </c>
      <c r="H861" t="b">
        <v>0</v>
      </c>
      <c r="I861" t="str">
        <f>TEXT(Append1[[#This Row],[dteday]],"DDDD")</f>
        <v>Tuesday</v>
      </c>
      <c r="J861" t="str" cm="1">
        <f t="array" ref="J861">_xlfn.IFS(Append1[[#This Row],[weekday cnt]]=0,"Weekend",Append1[[#This Row],[weekday cnt]]=6,"Weekend",Append1[[#This Row],[weekday cnt]]&gt;0,"Weekday")</f>
        <v>Weekday</v>
      </c>
      <c r="K861">
        <v>2</v>
      </c>
      <c r="L861" t="str" cm="1">
        <f t="array" ref="L8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1">
        <v>1</v>
      </c>
      <c r="N861">
        <v>0.26</v>
      </c>
      <c r="O861">
        <f t="shared" si="6"/>
        <v>859</v>
      </c>
      <c r="P861">
        <f t="shared" si="7"/>
        <v>860</v>
      </c>
      <c r="Q861">
        <v>0.2273</v>
      </c>
      <c r="R861">
        <v>0.7</v>
      </c>
      <c r="S861">
        <v>0.32840000000000003</v>
      </c>
      <c r="T861">
        <v>0</v>
      </c>
      <c r="U861">
        <v>39</v>
      </c>
      <c r="V861">
        <v>39</v>
      </c>
    </row>
    <row r="862" spans="1:22" x14ac:dyDescent="0.3">
      <c r="A862">
        <v>861</v>
      </c>
      <c r="B862" s="1">
        <v>40582</v>
      </c>
      <c r="C862">
        <v>1</v>
      </c>
      <c r="D862">
        <v>0</v>
      </c>
      <c r="E862" t="str">
        <f>TEXT(Append1[[#This Row],[dteday]],"MMMM")</f>
        <v>February</v>
      </c>
      <c r="F862">
        <v>2</v>
      </c>
      <c r="G862">
        <v>7</v>
      </c>
      <c r="H862" t="b">
        <v>0</v>
      </c>
      <c r="I862" t="str">
        <f>TEXT(Append1[[#This Row],[dteday]],"DDDD")</f>
        <v>Tuesday</v>
      </c>
      <c r="J862" t="str" cm="1">
        <f t="array" ref="J862">_xlfn.IFS(Append1[[#This Row],[weekday cnt]]=0,"Weekend",Append1[[#This Row],[weekday cnt]]=6,"Weekend",Append1[[#This Row],[weekday cnt]]&gt;0,"Weekday")</f>
        <v>Weekday</v>
      </c>
      <c r="K862">
        <v>2</v>
      </c>
      <c r="L862" t="str" cm="1">
        <f t="array" ref="L8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2">
        <v>1</v>
      </c>
      <c r="N862">
        <v>0.24</v>
      </c>
      <c r="O862">
        <f t="shared" si="6"/>
        <v>860</v>
      </c>
      <c r="P862">
        <f t="shared" si="7"/>
        <v>861</v>
      </c>
      <c r="Q862">
        <v>0.19700000000000001</v>
      </c>
      <c r="R862">
        <v>0.65</v>
      </c>
      <c r="S862">
        <v>0.41789999999999999</v>
      </c>
      <c r="T862">
        <v>3</v>
      </c>
      <c r="U862">
        <v>97</v>
      </c>
      <c r="V862">
        <v>100</v>
      </c>
    </row>
    <row r="863" spans="1:22" x14ac:dyDescent="0.3">
      <c r="A863">
        <v>862</v>
      </c>
      <c r="B863" s="1">
        <v>40582</v>
      </c>
      <c r="C863">
        <v>1</v>
      </c>
      <c r="D863">
        <v>0</v>
      </c>
      <c r="E863" t="str">
        <f>TEXT(Append1[[#This Row],[dteday]],"MMMM")</f>
        <v>February</v>
      </c>
      <c r="F863">
        <v>2</v>
      </c>
      <c r="G863">
        <v>8</v>
      </c>
      <c r="H863" t="b">
        <v>0</v>
      </c>
      <c r="I863" t="str">
        <f>TEXT(Append1[[#This Row],[dteday]],"DDDD")</f>
        <v>Tuesday</v>
      </c>
      <c r="J863" t="str" cm="1">
        <f t="array" ref="J863">_xlfn.IFS(Append1[[#This Row],[weekday cnt]]=0,"Weekend",Append1[[#This Row],[weekday cnt]]=6,"Weekend",Append1[[#This Row],[weekday cnt]]&gt;0,"Weekday")</f>
        <v>Weekday</v>
      </c>
      <c r="K863">
        <v>2</v>
      </c>
      <c r="L863" t="str" cm="1">
        <f t="array" ref="L8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3">
        <v>1</v>
      </c>
      <c r="N863">
        <v>0.24</v>
      </c>
      <c r="O863">
        <f t="shared" si="6"/>
        <v>861</v>
      </c>
      <c r="P863">
        <f t="shared" si="7"/>
        <v>862</v>
      </c>
      <c r="Q863">
        <v>0.19700000000000001</v>
      </c>
      <c r="R863">
        <v>0.56000000000000005</v>
      </c>
      <c r="S863">
        <v>0.49249999999999999</v>
      </c>
      <c r="T863">
        <v>7</v>
      </c>
      <c r="U863">
        <v>236</v>
      </c>
      <c r="V863">
        <v>243</v>
      </c>
    </row>
    <row r="864" spans="1:22" x14ac:dyDescent="0.3">
      <c r="A864">
        <v>863</v>
      </c>
      <c r="B864" s="1">
        <v>40582</v>
      </c>
      <c r="C864">
        <v>1</v>
      </c>
      <c r="D864">
        <v>0</v>
      </c>
      <c r="E864" t="str">
        <f>TEXT(Append1[[#This Row],[dteday]],"MMMM")</f>
        <v>February</v>
      </c>
      <c r="F864">
        <v>2</v>
      </c>
      <c r="G864">
        <v>9</v>
      </c>
      <c r="H864" t="b">
        <v>0</v>
      </c>
      <c r="I864" t="str">
        <f>TEXT(Append1[[#This Row],[dteday]],"DDDD")</f>
        <v>Tuesday</v>
      </c>
      <c r="J864" t="str" cm="1">
        <f t="array" ref="J864">_xlfn.IFS(Append1[[#This Row],[weekday cnt]]=0,"Weekend",Append1[[#This Row],[weekday cnt]]=6,"Weekend",Append1[[#This Row],[weekday cnt]]&gt;0,"Weekday")</f>
        <v>Weekday</v>
      </c>
      <c r="K864">
        <v>2</v>
      </c>
      <c r="L864" t="str" cm="1">
        <f t="array" ref="L8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4">
        <v>1</v>
      </c>
      <c r="N864">
        <v>0.24</v>
      </c>
      <c r="O864">
        <f t="shared" si="6"/>
        <v>862</v>
      </c>
      <c r="P864">
        <f t="shared" si="7"/>
        <v>863</v>
      </c>
      <c r="Q864">
        <v>0.19700000000000001</v>
      </c>
      <c r="R864">
        <v>0.52</v>
      </c>
      <c r="S864">
        <v>0.49249999999999999</v>
      </c>
      <c r="T864">
        <v>7</v>
      </c>
      <c r="U864">
        <v>128</v>
      </c>
      <c r="V864">
        <v>135</v>
      </c>
    </row>
    <row r="865" spans="1:22" x14ac:dyDescent="0.3">
      <c r="A865">
        <v>864</v>
      </c>
      <c r="B865" s="1">
        <v>40582</v>
      </c>
      <c r="C865">
        <v>1</v>
      </c>
      <c r="D865">
        <v>0</v>
      </c>
      <c r="E865" t="str">
        <f>TEXT(Append1[[#This Row],[dteday]],"MMMM")</f>
        <v>February</v>
      </c>
      <c r="F865">
        <v>2</v>
      </c>
      <c r="G865">
        <v>10</v>
      </c>
      <c r="H865" t="b">
        <v>0</v>
      </c>
      <c r="I865" t="str">
        <f>TEXT(Append1[[#This Row],[dteday]],"DDDD")</f>
        <v>Tuesday</v>
      </c>
      <c r="J865" t="str" cm="1">
        <f t="array" ref="J865">_xlfn.IFS(Append1[[#This Row],[weekday cnt]]=0,"Weekend",Append1[[#This Row],[weekday cnt]]=6,"Weekend",Append1[[#This Row],[weekday cnt]]&gt;0,"Weekday")</f>
        <v>Weekday</v>
      </c>
      <c r="K865">
        <v>2</v>
      </c>
      <c r="L865" t="str" cm="1">
        <f t="array" ref="L8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5">
        <v>1</v>
      </c>
      <c r="N865">
        <v>0.22</v>
      </c>
      <c r="O865">
        <f t="shared" si="6"/>
        <v>863</v>
      </c>
      <c r="P865">
        <f t="shared" si="7"/>
        <v>864</v>
      </c>
      <c r="Q865">
        <v>0.18179999999999999</v>
      </c>
      <c r="R865">
        <v>0.47</v>
      </c>
      <c r="S865">
        <v>0.55220000000000002</v>
      </c>
      <c r="T865">
        <v>4</v>
      </c>
      <c r="U865">
        <v>44</v>
      </c>
      <c r="V865">
        <v>48</v>
      </c>
    </row>
    <row r="866" spans="1:22" x14ac:dyDescent="0.3">
      <c r="A866">
        <v>865</v>
      </c>
      <c r="B866" s="1">
        <v>40582</v>
      </c>
      <c r="C866">
        <v>1</v>
      </c>
      <c r="D866">
        <v>0</v>
      </c>
      <c r="E866" t="str">
        <f>TEXT(Append1[[#This Row],[dteday]],"MMMM")</f>
        <v>February</v>
      </c>
      <c r="F866">
        <v>2</v>
      </c>
      <c r="G866">
        <v>11</v>
      </c>
      <c r="H866" t="b">
        <v>0</v>
      </c>
      <c r="I866" t="str">
        <f>TEXT(Append1[[#This Row],[dteday]],"DDDD")</f>
        <v>Tuesday</v>
      </c>
      <c r="J866" t="str" cm="1">
        <f t="array" ref="J866">_xlfn.IFS(Append1[[#This Row],[weekday cnt]]=0,"Weekend",Append1[[#This Row],[weekday cnt]]=6,"Weekend",Append1[[#This Row],[weekday cnt]]&gt;0,"Weekday")</f>
        <v>Weekday</v>
      </c>
      <c r="K866">
        <v>2</v>
      </c>
      <c r="L866" t="str" cm="1">
        <f t="array" ref="L8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6">
        <v>1</v>
      </c>
      <c r="N866">
        <v>0.22</v>
      </c>
      <c r="O866">
        <f t="shared" si="6"/>
        <v>864</v>
      </c>
      <c r="P866">
        <f t="shared" si="7"/>
        <v>865</v>
      </c>
      <c r="Q866">
        <v>0.18179999999999999</v>
      </c>
      <c r="R866">
        <v>0.47</v>
      </c>
      <c r="S866">
        <v>0.4627</v>
      </c>
      <c r="T866">
        <v>1</v>
      </c>
      <c r="U866">
        <v>49</v>
      </c>
      <c r="V866">
        <v>50</v>
      </c>
    </row>
    <row r="867" spans="1:22" x14ac:dyDescent="0.3">
      <c r="A867">
        <v>866</v>
      </c>
      <c r="B867" s="1">
        <v>40582</v>
      </c>
      <c r="C867">
        <v>1</v>
      </c>
      <c r="D867">
        <v>0</v>
      </c>
      <c r="E867" t="str">
        <f>TEXT(Append1[[#This Row],[dteday]],"MMMM")</f>
        <v>February</v>
      </c>
      <c r="F867">
        <v>2</v>
      </c>
      <c r="G867">
        <v>12</v>
      </c>
      <c r="H867" t="b">
        <v>0</v>
      </c>
      <c r="I867" t="str">
        <f>TEXT(Append1[[#This Row],[dteday]],"DDDD")</f>
        <v>Tuesday</v>
      </c>
      <c r="J867" t="str" cm="1">
        <f t="array" ref="J867">_xlfn.IFS(Append1[[#This Row],[weekday cnt]]=0,"Weekend",Append1[[#This Row],[weekday cnt]]=6,"Weekend",Append1[[#This Row],[weekday cnt]]&gt;0,"Weekday")</f>
        <v>Weekday</v>
      </c>
      <c r="K867">
        <v>2</v>
      </c>
      <c r="L867" t="str" cm="1">
        <f t="array" ref="L8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7">
        <v>1</v>
      </c>
      <c r="N867">
        <v>0.24</v>
      </c>
      <c r="O867">
        <f t="shared" si="6"/>
        <v>865</v>
      </c>
      <c r="P867">
        <f t="shared" si="7"/>
        <v>866</v>
      </c>
      <c r="Q867">
        <v>0.19700000000000001</v>
      </c>
      <c r="R867">
        <v>0.38</v>
      </c>
      <c r="S867">
        <v>0.49249999999999999</v>
      </c>
      <c r="T867">
        <v>2</v>
      </c>
      <c r="U867">
        <v>63</v>
      </c>
      <c r="V867">
        <v>65</v>
      </c>
    </row>
    <row r="868" spans="1:22" x14ac:dyDescent="0.3">
      <c r="A868">
        <v>867</v>
      </c>
      <c r="B868" s="1">
        <v>40582</v>
      </c>
      <c r="C868">
        <v>1</v>
      </c>
      <c r="D868">
        <v>0</v>
      </c>
      <c r="E868" t="str">
        <f>TEXT(Append1[[#This Row],[dteday]],"MMMM")</f>
        <v>February</v>
      </c>
      <c r="F868">
        <v>2</v>
      </c>
      <c r="G868">
        <v>13</v>
      </c>
      <c r="H868" t="b">
        <v>0</v>
      </c>
      <c r="I868" t="str">
        <f>TEXT(Append1[[#This Row],[dteday]],"DDDD")</f>
        <v>Tuesday</v>
      </c>
      <c r="J868" t="str" cm="1">
        <f t="array" ref="J868">_xlfn.IFS(Append1[[#This Row],[weekday cnt]]=0,"Weekend",Append1[[#This Row],[weekday cnt]]=6,"Weekend",Append1[[#This Row],[weekday cnt]]&gt;0,"Weekday")</f>
        <v>Weekday</v>
      </c>
      <c r="K868">
        <v>2</v>
      </c>
      <c r="L868" t="str" cm="1">
        <f t="array" ref="L8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68">
        <v>2</v>
      </c>
      <c r="N868">
        <v>0.24</v>
      </c>
      <c r="O868">
        <f t="shared" si="6"/>
        <v>866</v>
      </c>
      <c r="P868">
        <f t="shared" si="7"/>
        <v>867</v>
      </c>
      <c r="Q868">
        <v>0.19700000000000001</v>
      </c>
      <c r="R868">
        <v>0.32</v>
      </c>
      <c r="S868">
        <v>0.44779999999999998</v>
      </c>
      <c r="T868">
        <v>2</v>
      </c>
      <c r="U868">
        <v>48</v>
      </c>
      <c r="V868">
        <v>50</v>
      </c>
    </row>
    <row r="869" spans="1:22" x14ac:dyDescent="0.3">
      <c r="A869">
        <v>868</v>
      </c>
      <c r="B869" s="1">
        <v>40582</v>
      </c>
      <c r="C869">
        <v>1</v>
      </c>
      <c r="D869">
        <v>0</v>
      </c>
      <c r="E869" t="str">
        <f>TEXT(Append1[[#This Row],[dteday]],"MMMM")</f>
        <v>February</v>
      </c>
      <c r="F869">
        <v>2</v>
      </c>
      <c r="G869">
        <v>14</v>
      </c>
      <c r="H869" t="b">
        <v>0</v>
      </c>
      <c r="I869" t="str">
        <f>TEXT(Append1[[#This Row],[dteday]],"DDDD")</f>
        <v>Tuesday</v>
      </c>
      <c r="J869" t="str" cm="1">
        <f t="array" ref="J869">_xlfn.IFS(Append1[[#This Row],[weekday cnt]]=0,"Weekend",Append1[[#This Row],[weekday cnt]]=6,"Weekend",Append1[[#This Row],[weekday cnt]]&gt;0,"Weekday")</f>
        <v>Weekday</v>
      </c>
      <c r="K869">
        <v>2</v>
      </c>
      <c r="L869" t="str" cm="1">
        <f t="array" ref="L8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69">
        <v>1</v>
      </c>
      <c r="N869">
        <v>0.22</v>
      </c>
      <c r="O869">
        <f t="shared" ref="O869:O932" si="8">O868+1</f>
        <v>867</v>
      </c>
      <c r="P869">
        <f t="shared" ref="P869:P932" si="9">P868+1</f>
        <v>868</v>
      </c>
      <c r="Q869">
        <v>0.19700000000000001</v>
      </c>
      <c r="R869">
        <v>0.37</v>
      </c>
      <c r="S869">
        <v>0.41789999999999999</v>
      </c>
      <c r="T869">
        <v>3</v>
      </c>
      <c r="U869">
        <v>61</v>
      </c>
      <c r="V869">
        <v>64</v>
      </c>
    </row>
    <row r="870" spans="1:22" x14ac:dyDescent="0.3">
      <c r="A870">
        <v>869</v>
      </c>
      <c r="B870" s="1">
        <v>40582</v>
      </c>
      <c r="C870">
        <v>1</v>
      </c>
      <c r="D870">
        <v>0</v>
      </c>
      <c r="E870" t="str">
        <f>TEXT(Append1[[#This Row],[dteday]],"MMMM")</f>
        <v>February</v>
      </c>
      <c r="F870">
        <v>2</v>
      </c>
      <c r="G870">
        <v>15</v>
      </c>
      <c r="H870" t="b">
        <v>0</v>
      </c>
      <c r="I870" t="str">
        <f>TEXT(Append1[[#This Row],[dteday]],"DDDD")</f>
        <v>Tuesday</v>
      </c>
      <c r="J870" t="str" cm="1">
        <f t="array" ref="J870">_xlfn.IFS(Append1[[#This Row],[weekday cnt]]=0,"Weekend",Append1[[#This Row],[weekday cnt]]=6,"Weekend",Append1[[#This Row],[weekday cnt]]&gt;0,"Weekday")</f>
        <v>Weekday</v>
      </c>
      <c r="K870">
        <v>2</v>
      </c>
      <c r="L870" t="str" cm="1">
        <f t="array" ref="L8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0">
        <v>1</v>
      </c>
      <c r="N870">
        <v>0.22</v>
      </c>
      <c r="O870">
        <f t="shared" si="8"/>
        <v>868</v>
      </c>
      <c r="P870">
        <f t="shared" si="9"/>
        <v>869</v>
      </c>
      <c r="Q870">
        <v>0.19700000000000001</v>
      </c>
      <c r="R870">
        <v>0.35</v>
      </c>
      <c r="S870">
        <v>0.3881</v>
      </c>
      <c r="T870">
        <v>6</v>
      </c>
      <c r="U870">
        <v>45</v>
      </c>
      <c r="V870">
        <v>51</v>
      </c>
    </row>
    <row r="871" spans="1:22" x14ac:dyDescent="0.3">
      <c r="A871">
        <v>870</v>
      </c>
      <c r="B871" s="1">
        <v>40582</v>
      </c>
      <c r="C871">
        <v>1</v>
      </c>
      <c r="D871">
        <v>0</v>
      </c>
      <c r="E871" t="str">
        <f>TEXT(Append1[[#This Row],[dteday]],"MMMM")</f>
        <v>February</v>
      </c>
      <c r="F871">
        <v>2</v>
      </c>
      <c r="G871">
        <v>16</v>
      </c>
      <c r="H871" t="b">
        <v>0</v>
      </c>
      <c r="I871" t="str">
        <f>TEXT(Append1[[#This Row],[dteday]],"DDDD")</f>
        <v>Tuesday</v>
      </c>
      <c r="J871" t="str" cm="1">
        <f t="array" ref="J871">_xlfn.IFS(Append1[[#This Row],[weekday cnt]]=0,"Weekend",Append1[[#This Row],[weekday cnt]]=6,"Weekend",Append1[[#This Row],[weekday cnt]]&gt;0,"Weekday")</f>
        <v>Weekday</v>
      </c>
      <c r="K871">
        <v>2</v>
      </c>
      <c r="L871" t="str" cm="1">
        <f t="array" ref="L8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1">
        <v>1</v>
      </c>
      <c r="N871">
        <v>0.22</v>
      </c>
      <c r="O871">
        <f t="shared" si="8"/>
        <v>869</v>
      </c>
      <c r="P871">
        <f t="shared" si="9"/>
        <v>870</v>
      </c>
      <c r="Q871">
        <v>0.18179999999999999</v>
      </c>
      <c r="R871">
        <v>0.35</v>
      </c>
      <c r="S871">
        <v>0.52239999999999998</v>
      </c>
      <c r="T871">
        <v>4</v>
      </c>
      <c r="U871">
        <v>79</v>
      </c>
      <c r="V871">
        <v>83</v>
      </c>
    </row>
    <row r="872" spans="1:22" x14ac:dyDescent="0.3">
      <c r="A872">
        <v>871</v>
      </c>
      <c r="B872" s="1">
        <v>40582</v>
      </c>
      <c r="C872">
        <v>1</v>
      </c>
      <c r="D872">
        <v>0</v>
      </c>
      <c r="E872" t="str">
        <f>TEXT(Append1[[#This Row],[dteday]],"MMMM")</f>
        <v>February</v>
      </c>
      <c r="F872">
        <v>2</v>
      </c>
      <c r="G872">
        <v>17</v>
      </c>
      <c r="H872" t="b">
        <v>0</v>
      </c>
      <c r="I872" t="str">
        <f>TEXT(Append1[[#This Row],[dteday]],"DDDD")</f>
        <v>Tuesday</v>
      </c>
      <c r="J872" t="str" cm="1">
        <f t="array" ref="J872">_xlfn.IFS(Append1[[#This Row],[weekday cnt]]=0,"Weekend",Append1[[#This Row],[weekday cnt]]=6,"Weekend",Append1[[#This Row],[weekday cnt]]&gt;0,"Weekday")</f>
        <v>Weekday</v>
      </c>
      <c r="K872">
        <v>2</v>
      </c>
      <c r="L872" t="str" cm="1">
        <f t="array" ref="L8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2">
        <v>1</v>
      </c>
      <c r="N872">
        <v>0.22</v>
      </c>
      <c r="O872">
        <f t="shared" si="8"/>
        <v>870</v>
      </c>
      <c r="P872">
        <f t="shared" si="9"/>
        <v>871</v>
      </c>
      <c r="Q872">
        <v>0.18179999999999999</v>
      </c>
      <c r="R872">
        <v>0.32</v>
      </c>
      <c r="S872">
        <v>0.58209999999999995</v>
      </c>
      <c r="T872">
        <v>4</v>
      </c>
      <c r="U872">
        <v>172</v>
      </c>
      <c r="V872">
        <v>176</v>
      </c>
    </row>
    <row r="873" spans="1:22" x14ac:dyDescent="0.3">
      <c r="A873">
        <v>872</v>
      </c>
      <c r="B873" s="1">
        <v>40582</v>
      </c>
      <c r="C873">
        <v>1</v>
      </c>
      <c r="D873">
        <v>0</v>
      </c>
      <c r="E873" t="str">
        <f>TEXT(Append1[[#This Row],[dteday]],"MMMM")</f>
        <v>February</v>
      </c>
      <c r="F873">
        <v>2</v>
      </c>
      <c r="G873">
        <v>18</v>
      </c>
      <c r="H873" t="b">
        <v>0</v>
      </c>
      <c r="I873" t="str">
        <f>TEXT(Append1[[#This Row],[dteday]],"DDDD")</f>
        <v>Tuesday</v>
      </c>
      <c r="J873" t="str" cm="1">
        <f t="array" ref="J873">_xlfn.IFS(Append1[[#This Row],[weekday cnt]]=0,"Weekend",Append1[[#This Row],[weekday cnt]]=6,"Weekend",Append1[[#This Row],[weekday cnt]]&gt;0,"Weekday")</f>
        <v>Weekday</v>
      </c>
      <c r="K873">
        <v>2</v>
      </c>
      <c r="L873" t="str" cm="1">
        <f t="array" ref="L8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3">
        <v>1</v>
      </c>
      <c r="N873">
        <v>0.2</v>
      </c>
      <c r="O873">
        <f t="shared" si="8"/>
        <v>871</v>
      </c>
      <c r="P873">
        <f t="shared" si="9"/>
        <v>872</v>
      </c>
      <c r="Q873">
        <v>0.18179999999999999</v>
      </c>
      <c r="R873">
        <v>0.32</v>
      </c>
      <c r="S873">
        <v>0.3881</v>
      </c>
      <c r="T873">
        <v>1</v>
      </c>
      <c r="U873">
        <v>151</v>
      </c>
      <c r="V873">
        <v>152</v>
      </c>
    </row>
    <row r="874" spans="1:22" x14ac:dyDescent="0.3">
      <c r="A874">
        <v>873</v>
      </c>
      <c r="B874" s="1">
        <v>40582</v>
      </c>
      <c r="C874">
        <v>1</v>
      </c>
      <c r="D874">
        <v>0</v>
      </c>
      <c r="E874" t="str">
        <f>TEXT(Append1[[#This Row],[dteday]],"MMMM")</f>
        <v>February</v>
      </c>
      <c r="F874">
        <v>2</v>
      </c>
      <c r="G874">
        <v>19</v>
      </c>
      <c r="H874" t="b">
        <v>0</v>
      </c>
      <c r="I874" t="str">
        <f>TEXT(Append1[[#This Row],[dteday]],"DDDD")</f>
        <v>Tuesday</v>
      </c>
      <c r="J874" t="str" cm="1">
        <f t="array" ref="J874">_xlfn.IFS(Append1[[#This Row],[weekday cnt]]=0,"Weekend",Append1[[#This Row],[weekday cnt]]=6,"Weekend",Append1[[#This Row],[weekday cnt]]&gt;0,"Weekday")</f>
        <v>Weekday</v>
      </c>
      <c r="K874">
        <v>2</v>
      </c>
      <c r="L874" t="str" cm="1">
        <f t="array" ref="L8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4">
        <v>1</v>
      </c>
      <c r="N874">
        <v>0.16</v>
      </c>
      <c r="O874">
        <f t="shared" si="8"/>
        <v>872</v>
      </c>
      <c r="P874">
        <f t="shared" si="9"/>
        <v>873</v>
      </c>
      <c r="Q874">
        <v>0.1212</v>
      </c>
      <c r="R874">
        <v>0.4</v>
      </c>
      <c r="S874">
        <v>0.4627</v>
      </c>
      <c r="T874">
        <v>1</v>
      </c>
      <c r="U874">
        <v>100</v>
      </c>
      <c r="V874">
        <v>101</v>
      </c>
    </row>
    <row r="875" spans="1:22" x14ac:dyDescent="0.3">
      <c r="A875">
        <v>874</v>
      </c>
      <c r="B875" s="1">
        <v>40582</v>
      </c>
      <c r="C875">
        <v>1</v>
      </c>
      <c r="D875">
        <v>0</v>
      </c>
      <c r="E875" t="str">
        <f>TEXT(Append1[[#This Row],[dteday]],"MMMM")</f>
        <v>February</v>
      </c>
      <c r="F875">
        <v>2</v>
      </c>
      <c r="G875">
        <v>20</v>
      </c>
      <c r="H875" t="b">
        <v>0</v>
      </c>
      <c r="I875" t="str">
        <f>TEXT(Append1[[#This Row],[dteday]],"DDDD")</f>
        <v>Tuesday</v>
      </c>
      <c r="J875" t="str" cm="1">
        <f t="array" ref="J875">_xlfn.IFS(Append1[[#This Row],[weekday cnt]]=0,"Weekend",Append1[[#This Row],[weekday cnt]]=6,"Weekend",Append1[[#This Row],[weekday cnt]]&gt;0,"Weekday")</f>
        <v>Weekday</v>
      </c>
      <c r="K875">
        <v>2</v>
      </c>
      <c r="L875" t="str" cm="1">
        <f t="array" ref="L8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5">
        <v>1</v>
      </c>
      <c r="N875">
        <v>0.16</v>
      </c>
      <c r="O875">
        <f t="shared" si="8"/>
        <v>873</v>
      </c>
      <c r="P875">
        <f t="shared" si="9"/>
        <v>874</v>
      </c>
      <c r="Q875">
        <v>0.13639999999999999</v>
      </c>
      <c r="R875">
        <v>0.4</v>
      </c>
      <c r="S875">
        <v>0.32840000000000003</v>
      </c>
      <c r="T875">
        <v>3</v>
      </c>
      <c r="U875">
        <v>53</v>
      </c>
      <c r="V875">
        <v>56</v>
      </c>
    </row>
    <row r="876" spans="1:22" x14ac:dyDescent="0.3">
      <c r="A876">
        <v>875</v>
      </c>
      <c r="B876" s="1">
        <v>40582</v>
      </c>
      <c r="C876">
        <v>1</v>
      </c>
      <c r="D876">
        <v>0</v>
      </c>
      <c r="E876" t="str">
        <f>TEXT(Append1[[#This Row],[dteday]],"MMMM")</f>
        <v>February</v>
      </c>
      <c r="F876">
        <v>2</v>
      </c>
      <c r="G876">
        <v>21</v>
      </c>
      <c r="H876" t="b">
        <v>0</v>
      </c>
      <c r="I876" t="str">
        <f>TEXT(Append1[[#This Row],[dteday]],"DDDD")</f>
        <v>Tuesday</v>
      </c>
      <c r="J876" t="str" cm="1">
        <f t="array" ref="J876">_xlfn.IFS(Append1[[#This Row],[weekday cnt]]=0,"Weekend",Append1[[#This Row],[weekday cnt]]=6,"Weekend",Append1[[#This Row],[weekday cnt]]&gt;0,"Weekday")</f>
        <v>Weekday</v>
      </c>
      <c r="K876">
        <v>2</v>
      </c>
      <c r="L876" t="str" cm="1">
        <f t="array" ref="L8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6">
        <v>1</v>
      </c>
      <c r="N876">
        <v>0.14000000000000001</v>
      </c>
      <c r="O876">
        <f t="shared" si="8"/>
        <v>874</v>
      </c>
      <c r="P876">
        <f t="shared" si="9"/>
        <v>875</v>
      </c>
      <c r="Q876">
        <v>0.1061</v>
      </c>
      <c r="R876">
        <v>0.33</v>
      </c>
      <c r="S876">
        <v>0.4627</v>
      </c>
      <c r="T876">
        <v>8</v>
      </c>
      <c r="U876">
        <v>46</v>
      </c>
      <c r="V876">
        <v>54</v>
      </c>
    </row>
    <row r="877" spans="1:22" x14ac:dyDescent="0.3">
      <c r="A877">
        <v>876</v>
      </c>
      <c r="B877" s="1">
        <v>40582</v>
      </c>
      <c r="C877">
        <v>1</v>
      </c>
      <c r="D877">
        <v>0</v>
      </c>
      <c r="E877" t="str">
        <f>TEXT(Append1[[#This Row],[dteday]],"MMMM")</f>
        <v>February</v>
      </c>
      <c r="F877">
        <v>2</v>
      </c>
      <c r="G877">
        <v>22</v>
      </c>
      <c r="H877" t="b">
        <v>0</v>
      </c>
      <c r="I877" t="str">
        <f>TEXT(Append1[[#This Row],[dteday]],"DDDD")</f>
        <v>Tuesday</v>
      </c>
      <c r="J877" t="str" cm="1">
        <f t="array" ref="J877">_xlfn.IFS(Append1[[#This Row],[weekday cnt]]=0,"Weekend",Append1[[#This Row],[weekday cnt]]=6,"Weekend",Append1[[#This Row],[weekday cnt]]&gt;0,"Weekday")</f>
        <v>Weekday</v>
      </c>
      <c r="K877">
        <v>2</v>
      </c>
      <c r="L877" t="str" cm="1">
        <f t="array" ref="L8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7">
        <v>1</v>
      </c>
      <c r="N877">
        <v>0.12</v>
      </c>
      <c r="O877">
        <f t="shared" si="8"/>
        <v>875</v>
      </c>
      <c r="P877">
        <f t="shared" si="9"/>
        <v>876</v>
      </c>
      <c r="Q877">
        <v>0.1061</v>
      </c>
      <c r="R877">
        <v>0.33</v>
      </c>
      <c r="S877">
        <v>0.35820000000000002</v>
      </c>
      <c r="T877">
        <v>0</v>
      </c>
      <c r="U877">
        <v>29</v>
      </c>
      <c r="V877">
        <v>29</v>
      </c>
    </row>
    <row r="878" spans="1:22" x14ac:dyDescent="0.3">
      <c r="A878">
        <v>877</v>
      </c>
      <c r="B878" s="1">
        <v>40582</v>
      </c>
      <c r="C878">
        <v>1</v>
      </c>
      <c r="D878">
        <v>0</v>
      </c>
      <c r="E878" t="str">
        <f>TEXT(Append1[[#This Row],[dteday]],"MMMM")</f>
        <v>February</v>
      </c>
      <c r="F878">
        <v>2</v>
      </c>
      <c r="G878">
        <v>23</v>
      </c>
      <c r="H878" t="b">
        <v>0</v>
      </c>
      <c r="I878" t="str">
        <f>TEXT(Append1[[#This Row],[dteday]],"DDDD")</f>
        <v>Tuesday</v>
      </c>
      <c r="J878" t="str" cm="1">
        <f t="array" ref="J878">_xlfn.IFS(Append1[[#This Row],[weekday cnt]]=0,"Weekend",Append1[[#This Row],[weekday cnt]]=6,"Weekend",Append1[[#This Row],[weekday cnt]]&gt;0,"Weekday")</f>
        <v>Weekday</v>
      </c>
      <c r="K878">
        <v>2</v>
      </c>
      <c r="L878" t="str" cm="1">
        <f t="array" ref="L8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8">
        <v>1</v>
      </c>
      <c r="N878">
        <v>0.12</v>
      </c>
      <c r="O878">
        <f t="shared" si="8"/>
        <v>876</v>
      </c>
      <c r="P878">
        <f t="shared" si="9"/>
        <v>877</v>
      </c>
      <c r="Q878">
        <v>0.1061</v>
      </c>
      <c r="R878">
        <v>0.33</v>
      </c>
      <c r="S878">
        <v>0.32840000000000003</v>
      </c>
      <c r="T878">
        <v>3</v>
      </c>
      <c r="U878">
        <v>9</v>
      </c>
      <c r="V878">
        <v>12</v>
      </c>
    </row>
    <row r="879" spans="1:22" x14ac:dyDescent="0.3">
      <c r="A879">
        <v>878</v>
      </c>
      <c r="B879" s="1">
        <v>40583</v>
      </c>
      <c r="C879">
        <v>1</v>
      </c>
      <c r="D879">
        <v>0</v>
      </c>
      <c r="E879" t="str">
        <f>TEXT(Append1[[#This Row],[dteday]],"MMMM")</f>
        <v>February</v>
      </c>
      <c r="F879">
        <v>2</v>
      </c>
      <c r="G879">
        <v>0</v>
      </c>
      <c r="H879" t="b">
        <v>0</v>
      </c>
      <c r="I879" t="str">
        <f>TEXT(Append1[[#This Row],[dteday]],"DDDD")</f>
        <v>Wednesday</v>
      </c>
      <c r="J879" t="str" cm="1">
        <f t="array" ref="J879">_xlfn.IFS(Append1[[#This Row],[weekday cnt]]=0,"Weekend",Append1[[#This Row],[weekday cnt]]=6,"Weekend",Append1[[#This Row],[weekday cnt]]&gt;0,"Weekday")</f>
        <v>Weekday</v>
      </c>
      <c r="K879">
        <v>3</v>
      </c>
      <c r="L879" t="str" cm="1">
        <f t="array" ref="L8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79">
        <v>1</v>
      </c>
      <c r="N879">
        <v>0.1</v>
      </c>
      <c r="O879">
        <f t="shared" si="8"/>
        <v>877</v>
      </c>
      <c r="P879">
        <f t="shared" si="9"/>
        <v>878</v>
      </c>
      <c r="Q879">
        <v>7.5800000000000006E-2</v>
      </c>
      <c r="R879">
        <v>0.36</v>
      </c>
      <c r="S879">
        <v>0.35820000000000002</v>
      </c>
      <c r="T879">
        <v>0</v>
      </c>
      <c r="U879">
        <v>17</v>
      </c>
      <c r="V879">
        <v>17</v>
      </c>
    </row>
    <row r="880" spans="1:22" x14ac:dyDescent="0.3">
      <c r="A880">
        <v>879</v>
      </c>
      <c r="B880" s="1">
        <v>40583</v>
      </c>
      <c r="C880">
        <v>1</v>
      </c>
      <c r="D880">
        <v>0</v>
      </c>
      <c r="E880" t="str">
        <f>TEXT(Append1[[#This Row],[dteday]],"MMMM")</f>
        <v>February</v>
      </c>
      <c r="F880">
        <v>2</v>
      </c>
      <c r="G880">
        <v>1</v>
      </c>
      <c r="H880" t="b">
        <v>0</v>
      </c>
      <c r="I880" t="str">
        <f>TEXT(Append1[[#This Row],[dteday]],"DDDD")</f>
        <v>Wednesday</v>
      </c>
      <c r="J880" t="str" cm="1">
        <f t="array" ref="J880">_xlfn.IFS(Append1[[#This Row],[weekday cnt]]=0,"Weekend",Append1[[#This Row],[weekday cnt]]=6,"Weekend",Append1[[#This Row],[weekday cnt]]&gt;0,"Weekday")</f>
        <v>Weekday</v>
      </c>
      <c r="K880">
        <v>3</v>
      </c>
      <c r="L880" t="str" cm="1">
        <f t="array" ref="L8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0">
        <v>1</v>
      </c>
      <c r="N880">
        <v>0.1</v>
      </c>
      <c r="O880">
        <f t="shared" si="8"/>
        <v>878</v>
      </c>
      <c r="P880">
        <f t="shared" si="9"/>
        <v>879</v>
      </c>
      <c r="Q880">
        <v>0.1061</v>
      </c>
      <c r="R880">
        <v>0.36</v>
      </c>
      <c r="S880">
        <v>0.22389999999999999</v>
      </c>
      <c r="T880">
        <v>0</v>
      </c>
      <c r="U880">
        <v>7</v>
      </c>
      <c r="V880">
        <v>7</v>
      </c>
    </row>
    <row r="881" spans="1:22" x14ac:dyDescent="0.3">
      <c r="A881">
        <v>880</v>
      </c>
      <c r="B881" s="1">
        <v>40583</v>
      </c>
      <c r="C881">
        <v>1</v>
      </c>
      <c r="D881">
        <v>0</v>
      </c>
      <c r="E881" t="str">
        <f>TEXT(Append1[[#This Row],[dteday]],"MMMM")</f>
        <v>February</v>
      </c>
      <c r="F881">
        <v>2</v>
      </c>
      <c r="G881">
        <v>2</v>
      </c>
      <c r="H881" t="b">
        <v>0</v>
      </c>
      <c r="I881" t="str">
        <f>TEXT(Append1[[#This Row],[dteday]],"DDDD")</f>
        <v>Wednesday</v>
      </c>
      <c r="J881" t="str" cm="1">
        <f t="array" ref="J881">_xlfn.IFS(Append1[[#This Row],[weekday cnt]]=0,"Weekend",Append1[[#This Row],[weekday cnt]]=6,"Weekend",Append1[[#This Row],[weekday cnt]]&gt;0,"Weekday")</f>
        <v>Weekday</v>
      </c>
      <c r="K881">
        <v>3</v>
      </c>
      <c r="L881" t="str" cm="1">
        <f t="array" ref="L8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1">
        <v>1</v>
      </c>
      <c r="N881">
        <v>0.08</v>
      </c>
      <c r="O881">
        <f t="shared" si="8"/>
        <v>879</v>
      </c>
      <c r="P881">
        <f t="shared" si="9"/>
        <v>880</v>
      </c>
      <c r="Q881">
        <v>7.5800000000000006E-2</v>
      </c>
      <c r="R881">
        <v>0.38</v>
      </c>
      <c r="S881">
        <v>0.28360000000000002</v>
      </c>
      <c r="T881">
        <v>1</v>
      </c>
      <c r="U881">
        <v>2</v>
      </c>
      <c r="V881">
        <v>3</v>
      </c>
    </row>
    <row r="882" spans="1:22" x14ac:dyDescent="0.3">
      <c r="A882">
        <v>881</v>
      </c>
      <c r="B882" s="1">
        <v>40583</v>
      </c>
      <c r="C882">
        <v>1</v>
      </c>
      <c r="D882">
        <v>0</v>
      </c>
      <c r="E882" t="str">
        <f>TEXT(Append1[[#This Row],[dteday]],"MMMM")</f>
        <v>February</v>
      </c>
      <c r="F882">
        <v>2</v>
      </c>
      <c r="G882">
        <v>3</v>
      </c>
      <c r="H882" t="b">
        <v>0</v>
      </c>
      <c r="I882" t="str">
        <f>TEXT(Append1[[#This Row],[dteday]],"DDDD")</f>
        <v>Wednesday</v>
      </c>
      <c r="J882" t="str" cm="1">
        <f t="array" ref="J882">_xlfn.IFS(Append1[[#This Row],[weekday cnt]]=0,"Weekend",Append1[[#This Row],[weekday cnt]]=6,"Weekend",Append1[[#This Row],[weekday cnt]]&gt;0,"Weekday")</f>
        <v>Weekday</v>
      </c>
      <c r="K882">
        <v>3</v>
      </c>
      <c r="L882" t="str" cm="1">
        <f t="array" ref="L8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2">
        <v>1</v>
      </c>
      <c r="N882">
        <v>0.06</v>
      </c>
      <c r="O882">
        <f t="shared" si="8"/>
        <v>880</v>
      </c>
      <c r="P882">
        <f t="shared" si="9"/>
        <v>881</v>
      </c>
      <c r="Q882">
        <v>7.5800000000000006E-2</v>
      </c>
      <c r="R882">
        <v>0.45</v>
      </c>
      <c r="S882">
        <v>0.1343</v>
      </c>
      <c r="T882">
        <v>0</v>
      </c>
      <c r="U882">
        <v>2</v>
      </c>
      <c r="V882">
        <v>2</v>
      </c>
    </row>
    <row r="883" spans="1:22" x14ac:dyDescent="0.3">
      <c r="A883">
        <v>882</v>
      </c>
      <c r="B883" s="1">
        <v>40583</v>
      </c>
      <c r="C883">
        <v>1</v>
      </c>
      <c r="D883">
        <v>0</v>
      </c>
      <c r="E883" t="str">
        <f>TEXT(Append1[[#This Row],[dteday]],"MMMM")</f>
        <v>February</v>
      </c>
      <c r="F883">
        <v>2</v>
      </c>
      <c r="G883">
        <v>5</v>
      </c>
      <c r="H883" t="b">
        <v>0</v>
      </c>
      <c r="I883" t="str">
        <f>TEXT(Append1[[#This Row],[dteday]],"DDDD")</f>
        <v>Wednesday</v>
      </c>
      <c r="J883" t="str" cm="1">
        <f t="array" ref="J883">_xlfn.IFS(Append1[[#This Row],[weekday cnt]]=0,"Weekend",Append1[[#This Row],[weekday cnt]]=6,"Weekend",Append1[[#This Row],[weekday cnt]]&gt;0,"Weekday")</f>
        <v>Weekday</v>
      </c>
      <c r="K883">
        <v>3</v>
      </c>
      <c r="L883" t="str" cm="1">
        <f t="array" ref="L8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3">
        <v>1</v>
      </c>
      <c r="N883">
        <v>0.06</v>
      </c>
      <c r="O883">
        <f t="shared" si="8"/>
        <v>881</v>
      </c>
      <c r="P883">
        <f t="shared" si="9"/>
        <v>882</v>
      </c>
      <c r="Q883">
        <v>0.1061</v>
      </c>
      <c r="R883">
        <v>0.45</v>
      </c>
      <c r="S883">
        <v>0.1045</v>
      </c>
      <c r="T883">
        <v>0</v>
      </c>
      <c r="U883">
        <v>7</v>
      </c>
      <c r="V883">
        <v>7</v>
      </c>
    </row>
    <row r="884" spans="1:22" x14ac:dyDescent="0.3">
      <c r="A884">
        <v>883</v>
      </c>
      <c r="B884" s="1">
        <v>40583</v>
      </c>
      <c r="C884">
        <v>1</v>
      </c>
      <c r="D884">
        <v>0</v>
      </c>
      <c r="E884" t="str">
        <f>TEXT(Append1[[#This Row],[dteday]],"MMMM")</f>
        <v>February</v>
      </c>
      <c r="F884">
        <v>2</v>
      </c>
      <c r="G884">
        <v>6</v>
      </c>
      <c r="H884" t="b">
        <v>0</v>
      </c>
      <c r="I884" t="str">
        <f>TEXT(Append1[[#This Row],[dteday]],"DDDD")</f>
        <v>Wednesday</v>
      </c>
      <c r="J884" t="str" cm="1">
        <f t="array" ref="J884">_xlfn.IFS(Append1[[#This Row],[weekday cnt]]=0,"Weekend",Append1[[#This Row],[weekday cnt]]=6,"Weekend",Append1[[#This Row],[weekday cnt]]&gt;0,"Weekday")</f>
        <v>Weekday</v>
      </c>
      <c r="K884">
        <v>3</v>
      </c>
      <c r="L884" t="str" cm="1">
        <f t="array" ref="L8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4">
        <v>1</v>
      </c>
      <c r="N884">
        <v>0.06</v>
      </c>
      <c r="O884">
        <f t="shared" si="8"/>
        <v>882</v>
      </c>
      <c r="P884">
        <f t="shared" si="9"/>
        <v>883</v>
      </c>
      <c r="Q884">
        <v>0.1515</v>
      </c>
      <c r="R884">
        <v>0.45</v>
      </c>
      <c r="S884">
        <v>0</v>
      </c>
      <c r="T884">
        <v>0</v>
      </c>
      <c r="U884">
        <v>43</v>
      </c>
      <c r="V884">
        <v>43</v>
      </c>
    </row>
    <row r="885" spans="1:22" x14ac:dyDescent="0.3">
      <c r="A885">
        <v>884</v>
      </c>
      <c r="B885" s="1">
        <v>40583</v>
      </c>
      <c r="C885">
        <v>1</v>
      </c>
      <c r="D885">
        <v>0</v>
      </c>
      <c r="E885" t="str">
        <f>TEXT(Append1[[#This Row],[dteday]],"MMMM")</f>
        <v>February</v>
      </c>
      <c r="F885">
        <v>2</v>
      </c>
      <c r="G885">
        <v>7</v>
      </c>
      <c r="H885" t="b">
        <v>0</v>
      </c>
      <c r="I885" t="str">
        <f>TEXT(Append1[[#This Row],[dteday]],"DDDD")</f>
        <v>Wednesday</v>
      </c>
      <c r="J885" t="str" cm="1">
        <f t="array" ref="J885">_xlfn.IFS(Append1[[#This Row],[weekday cnt]]=0,"Weekend",Append1[[#This Row],[weekday cnt]]=6,"Weekend",Append1[[#This Row],[weekday cnt]]&gt;0,"Weekday")</f>
        <v>Weekday</v>
      </c>
      <c r="K885">
        <v>3</v>
      </c>
      <c r="L885" t="str" cm="1">
        <f t="array" ref="L8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5">
        <v>1</v>
      </c>
      <c r="N885">
        <v>0.06</v>
      </c>
      <c r="O885">
        <f t="shared" si="8"/>
        <v>883</v>
      </c>
      <c r="P885">
        <f t="shared" si="9"/>
        <v>884</v>
      </c>
      <c r="Q885">
        <v>0.1061</v>
      </c>
      <c r="R885">
        <v>0.49</v>
      </c>
      <c r="S885">
        <v>0.1045</v>
      </c>
      <c r="T885">
        <v>4</v>
      </c>
      <c r="U885">
        <v>95</v>
      </c>
      <c r="V885">
        <v>99</v>
      </c>
    </row>
    <row r="886" spans="1:22" x14ac:dyDescent="0.3">
      <c r="A886">
        <v>885</v>
      </c>
      <c r="B886" s="1">
        <v>40583</v>
      </c>
      <c r="C886">
        <v>1</v>
      </c>
      <c r="D886">
        <v>0</v>
      </c>
      <c r="E886" t="str">
        <f>TEXT(Append1[[#This Row],[dteday]],"MMMM")</f>
        <v>February</v>
      </c>
      <c r="F886">
        <v>2</v>
      </c>
      <c r="G886">
        <v>8</v>
      </c>
      <c r="H886" t="b">
        <v>0</v>
      </c>
      <c r="I886" t="str">
        <f>TEXT(Append1[[#This Row],[dteday]],"DDDD")</f>
        <v>Wednesday</v>
      </c>
      <c r="J886" t="str" cm="1">
        <f t="array" ref="J886">_xlfn.IFS(Append1[[#This Row],[weekday cnt]]=0,"Weekend",Append1[[#This Row],[weekday cnt]]=6,"Weekend",Append1[[#This Row],[weekday cnt]]&gt;0,"Weekday")</f>
        <v>Weekday</v>
      </c>
      <c r="K886">
        <v>3</v>
      </c>
      <c r="L886" t="str" cm="1">
        <f t="array" ref="L8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6">
        <v>1</v>
      </c>
      <c r="N886">
        <v>0.1</v>
      </c>
      <c r="O886">
        <f t="shared" si="8"/>
        <v>884</v>
      </c>
      <c r="P886">
        <f t="shared" si="9"/>
        <v>885</v>
      </c>
      <c r="Q886">
        <v>0.13639999999999999</v>
      </c>
      <c r="R886">
        <v>0.42</v>
      </c>
      <c r="S886">
        <v>0</v>
      </c>
      <c r="T886">
        <v>1</v>
      </c>
      <c r="U886">
        <v>198</v>
      </c>
      <c r="V886">
        <v>199</v>
      </c>
    </row>
    <row r="887" spans="1:22" x14ac:dyDescent="0.3">
      <c r="A887">
        <v>886</v>
      </c>
      <c r="B887" s="1">
        <v>40583</v>
      </c>
      <c r="C887">
        <v>1</v>
      </c>
      <c r="D887">
        <v>0</v>
      </c>
      <c r="E887" t="str">
        <f>TEXT(Append1[[#This Row],[dteday]],"MMMM")</f>
        <v>February</v>
      </c>
      <c r="F887">
        <v>2</v>
      </c>
      <c r="G887">
        <v>9</v>
      </c>
      <c r="H887" t="b">
        <v>0</v>
      </c>
      <c r="I887" t="str">
        <f>TEXT(Append1[[#This Row],[dteday]],"DDDD")</f>
        <v>Wednesday</v>
      </c>
      <c r="J887" t="str" cm="1">
        <f t="array" ref="J887">_xlfn.IFS(Append1[[#This Row],[weekday cnt]]=0,"Weekend",Append1[[#This Row],[weekday cnt]]=6,"Weekend",Append1[[#This Row],[weekday cnt]]&gt;0,"Weekday")</f>
        <v>Weekday</v>
      </c>
      <c r="K887">
        <v>3</v>
      </c>
      <c r="L887" t="str" cm="1">
        <f t="array" ref="L8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7">
        <v>1</v>
      </c>
      <c r="N887">
        <v>0.12</v>
      </c>
      <c r="O887">
        <f t="shared" si="8"/>
        <v>885</v>
      </c>
      <c r="P887">
        <f t="shared" si="9"/>
        <v>886</v>
      </c>
      <c r="Q887">
        <v>0.13639999999999999</v>
      </c>
      <c r="R887">
        <v>0.39</v>
      </c>
      <c r="S887">
        <v>0.16420000000000001</v>
      </c>
      <c r="T887">
        <v>4</v>
      </c>
      <c r="U887">
        <v>119</v>
      </c>
      <c r="V887">
        <v>123</v>
      </c>
    </row>
    <row r="888" spans="1:22" x14ac:dyDescent="0.3">
      <c r="A888">
        <v>887</v>
      </c>
      <c r="B888" s="1">
        <v>40583</v>
      </c>
      <c r="C888">
        <v>1</v>
      </c>
      <c r="D888">
        <v>0</v>
      </c>
      <c r="E888" t="str">
        <f>TEXT(Append1[[#This Row],[dteday]],"MMMM")</f>
        <v>February</v>
      </c>
      <c r="F888">
        <v>2</v>
      </c>
      <c r="G888">
        <v>10</v>
      </c>
      <c r="H888" t="b">
        <v>0</v>
      </c>
      <c r="I888" t="str">
        <f>TEXT(Append1[[#This Row],[dteday]],"DDDD")</f>
        <v>Wednesday</v>
      </c>
      <c r="J888" t="str" cm="1">
        <f t="array" ref="J888">_xlfn.IFS(Append1[[#This Row],[weekday cnt]]=0,"Weekend",Append1[[#This Row],[weekday cnt]]=6,"Weekend",Append1[[#This Row],[weekday cnt]]&gt;0,"Weekday")</f>
        <v>Weekday</v>
      </c>
      <c r="K888">
        <v>3</v>
      </c>
      <c r="L888" t="str" cm="1">
        <f t="array" ref="L8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88">
        <v>1</v>
      </c>
      <c r="N888">
        <v>0.14000000000000001</v>
      </c>
      <c r="O888">
        <f t="shared" si="8"/>
        <v>886</v>
      </c>
      <c r="P888">
        <f t="shared" si="9"/>
        <v>887</v>
      </c>
      <c r="Q888">
        <v>0.18179999999999999</v>
      </c>
      <c r="R888">
        <v>0.36</v>
      </c>
      <c r="S888">
        <v>0</v>
      </c>
      <c r="T888">
        <v>8</v>
      </c>
      <c r="U888">
        <v>51</v>
      </c>
      <c r="V888">
        <v>59</v>
      </c>
    </row>
    <row r="889" spans="1:22" x14ac:dyDescent="0.3">
      <c r="A889">
        <v>888</v>
      </c>
      <c r="B889" s="1">
        <v>40583</v>
      </c>
      <c r="C889">
        <v>1</v>
      </c>
      <c r="D889">
        <v>0</v>
      </c>
      <c r="E889" t="str">
        <f>TEXT(Append1[[#This Row],[dteday]],"MMMM")</f>
        <v>February</v>
      </c>
      <c r="F889">
        <v>2</v>
      </c>
      <c r="G889">
        <v>11</v>
      </c>
      <c r="H889" t="b">
        <v>0</v>
      </c>
      <c r="I889" t="str">
        <f>TEXT(Append1[[#This Row],[dteday]],"DDDD")</f>
        <v>Wednesday</v>
      </c>
      <c r="J889" t="str" cm="1">
        <f t="array" ref="J889">_xlfn.IFS(Append1[[#This Row],[weekday cnt]]=0,"Weekend",Append1[[#This Row],[weekday cnt]]=6,"Weekend",Append1[[#This Row],[weekday cnt]]&gt;0,"Weekday")</f>
        <v>Weekday</v>
      </c>
      <c r="K889">
        <v>3</v>
      </c>
      <c r="L889" t="str" cm="1">
        <f t="array" ref="L8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89">
        <v>2</v>
      </c>
      <c r="N889">
        <v>0.14000000000000001</v>
      </c>
      <c r="O889">
        <f t="shared" si="8"/>
        <v>887</v>
      </c>
      <c r="P889">
        <f t="shared" si="9"/>
        <v>888</v>
      </c>
      <c r="Q889">
        <v>0.1515</v>
      </c>
      <c r="R889">
        <v>0.43</v>
      </c>
      <c r="S889">
        <v>0.16420000000000001</v>
      </c>
      <c r="T889">
        <v>1</v>
      </c>
      <c r="U889">
        <v>40</v>
      </c>
      <c r="V889">
        <v>41</v>
      </c>
    </row>
    <row r="890" spans="1:22" x14ac:dyDescent="0.3">
      <c r="A890">
        <v>889</v>
      </c>
      <c r="B890" s="1">
        <v>40583</v>
      </c>
      <c r="C890">
        <v>1</v>
      </c>
      <c r="D890">
        <v>0</v>
      </c>
      <c r="E890" t="str">
        <f>TEXT(Append1[[#This Row],[dteday]],"MMMM")</f>
        <v>February</v>
      </c>
      <c r="F890">
        <v>2</v>
      </c>
      <c r="G890">
        <v>12</v>
      </c>
      <c r="H890" t="b">
        <v>0</v>
      </c>
      <c r="I890" t="str">
        <f>TEXT(Append1[[#This Row],[dteday]],"DDDD")</f>
        <v>Wednesday</v>
      </c>
      <c r="J890" t="str" cm="1">
        <f t="array" ref="J890">_xlfn.IFS(Append1[[#This Row],[weekday cnt]]=0,"Weekend",Append1[[#This Row],[weekday cnt]]=6,"Weekend",Append1[[#This Row],[weekday cnt]]&gt;0,"Weekday")</f>
        <v>Weekday</v>
      </c>
      <c r="K890">
        <v>3</v>
      </c>
      <c r="L890" t="str" cm="1">
        <f t="array" ref="L8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90">
        <v>2</v>
      </c>
      <c r="N890">
        <v>0.18</v>
      </c>
      <c r="O890">
        <f t="shared" si="8"/>
        <v>888</v>
      </c>
      <c r="P890">
        <f t="shared" si="9"/>
        <v>889</v>
      </c>
      <c r="Q890">
        <v>0.18179999999999999</v>
      </c>
      <c r="R890">
        <v>0.4</v>
      </c>
      <c r="S890">
        <v>0.22389999999999999</v>
      </c>
      <c r="T890">
        <v>4</v>
      </c>
      <c r="U890">
        <v>57</v>
      </c>
      <c r="V890">
        <v>61</v>
      </c>
    </row>
    <row r="891" spans="1:22" x14ac:dyDescent="0.3">
      <c r="A891">
        <v>890</v>
      </c>
      <c r="B891" s="1">
        <v>40583</v>
      </c>
      <c r="C891">
        <v>1</v>
      </c>
      <c r="D891">
        <v>0</v>
      </c>
      <c r="E891" t="str">
        <f>TEXT(Append1[[#This Row],[dteday]],"MMMM")</f>
        <v>February</v>
      </c>
      <c r="F891">
        <v>2</v>
      </c>
      <c r="G891">
        <v>13</v>
      </c>
      <c r="H891" t="b">
        <v>0</v>
      </c>
      <c r="I891" t="str">
        <f>TEXT(Append1[[#This Row],[dteday]],"DDDD")</f>
        <v>Wednesday</v>
      </c>
      <c r="J891" t="str" cm="1">
        <f t="array" ref="J891">_xlfn.IFS(Append1[[#This Row],[weekday cnt]]=0,"Weekend",Append1[[#This Row],[weekday cnt]]=6,"Weekend",Append1[[#This Row],[weekday cnt]]&gt;0,"Weekday")</f>
        <v>Weekday</v>
      </c>
      <c r="K891">
        <v>3</v>
      </c>
      <c r="L891" t="str" cm="1">
        <f t="array" ref="L8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91">
        <v>1</v>
      </c>
      <c r="N891">
        <v>0.18</v>
      </c>
      <c r="O891">
        <f t="shared" si="8"/>
        <v>889</v>
      </c>
      <c r="P891">
        <f t="shared" si="9"/>
        <v>890</v>
      </c>
      <c r="Q891">
        <v>0.16669999999999999</v>
      </c>
      <c r="R891">
        <v>0.4</v>
      </c>
      <c r="S891">
        <v>0.25369999999999998</v>
      </c>
      <c r="T891">
        <v>2</v>
      </c>
      <c r="U891">
        <v>67</v>
      </c>
      <c r="V891">
        <v>69</v>
      </c>
    </row>
    <row r="892" spans="1:22" x14ac:dyDescent="0.3">
      <c r="A892">
        <v>891</v>
      </c>
      <c r="B892" s="1">
        <v>40583</v>
      </c>
      <c r="C892">
        <v>1</v>
      </c>
      <c r="D892">
        <v>0</v>
      </c>
      <c r="E892" t="str">
        <f>TEXT(Append1[[#This Row],[dteday]],"MMMM")</f>
        <v>February</v>
      </c>
      <c r="F892">
        <v>2</v>
      </c>
      <c r="G892">
        <v>14</v>
      </c>
      <c r="H892" t="b">
        <v>0</v>
      </c>
      <c r="I892" t="str">
        <f>TEXT(Append1[[#This Row],[dteday]],"DDDD")</f>
        <v>Wednesday</v>
      </c>
      <c r="J892" t="str" cm="1">
        <f t="array" ref="J892">_xlfn.IFS(Append1[[#This Row],[weekday cnt]]=0,"Weekend",Append1[[#This Row],[weekday cnt]]=6,"Weekend",Append1[[#This Row],[weekday cnt]]&gt;0,"Weekday")</f>
        <v>Weekday</v>
      </c>
      <c r="K892">
        <v>3</v>
      </c>
      <c r="L892" t="str" cm="1">
        <f t="array" ref="L8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892">
        <v>1</v>
      </c>
      <c r="N892">
        <v>0.2</v>
      </c>
      <c r="O892">
        <f t="shared" si="8"/>
        <v>890</v>
      </c>
      <c r="P892">
        <f t="shared" si="9"/>
        <v>891</v>
      </c>
      <c r="Q892">
        <v>0.18179999999999999</v>
      </c>
      <c r="R892">
        <v>0.34</v>
      </c>
      <c r="S892">
        <v>0.29849999999999999</v>
      </c>
      <c r="T892">
        <v>2</v>
      </c>
      <c r="U892">
        <v>56</v>
      </c>
      <c r="V892">
        <v>58</v>
      </c>
    </row>
    <row r="893" spans="1:22" x14ac:dyDescent="0.3">
      <c r="A893">
        <v>892</v>
      </c>
      <c r="B893" s="1">
        <v>40583</v>
      </c>
      <c r="C893">
        <v>1</v>
      </c>
      <c r="D893">
        <v>0</v>
      </c>
      <c r="E893" t="str">
        <f>TEXT(Append1[[#This Row],[dteday]],"MMMM")</f>
        <v>February</v>
      </c>
      <c r="F893">
        <v>2</v>
      </c>
      <c r="G893">
        <v>15</v>
      </c>
      <c r="H893" t="b">
        <v>0</v>
      </c>
      <c r="I893" t="str">
        <f>TEXT(Append1[[#This Row],[dteday]],"DDDD")</f>
        <v>Wednesday</v>
      </c>
      <c r="J893" t="str" cm="1">
        <f t="array" ref="J893">_xlfn.IFS(Append1[[#This Row],[weekday cnt]]=0,"Weekend",Append1[[#This Row],[weekday cnt]]=6,"Weekend",Append1[[#This Row],[weekday cnt]]&gt;0,"Weekday")</f>
        <v>Weekday</v>
      </c>
      <c r="K893">
        <v>3</v>
      </c>
      <c r="L893" t="str" cm="1">
        <f t="array" ref="L8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93">
        <v>2</v>
      </c>
      <c r="N893">
        <v>0.2</v>
      </c>
      <c r="O893">
        <f t="shared" si="8"/>
        <v>891</v>
      </c>
      <c r="P893">
        <f t="shared" si="9"/>
        <v>892</v>
      </c>
      <c r="Q893">
        <v>0.18179999999999999</v>
      </c>
      <c r="R893">
        <v>0.34</v>
      </c>
      <c r="S893">
        <v>0.28360000000000002</v>
      </c>
      <c r="T893">
        <v>3</v>
      </c>
      <c r="U893">
        <v>61</v>
      </c>
      <c r="V893">
        <v>64</v>
      </c>
    </row>
    <row r="894" spans="1:22" x14ac:dyDescent="0.3">
      <c r="A894">
        <v>893</v>
      </c>
      <c r="B894" s="1">
        <v>40583</v>
      </c>
      <c r="C894">
        <v>1</v>
      </c>
      <c r="D894">
        <v>0</v>
      </c>
      <c r="E894" t="str">
        <f>TEXT(Append1[[#This Row],[dteday]],"MMMM")</f>
        <v>February</v>
      </c>
      <c r="F894">
        <v>2</v>
      </c>
      <c r="G894">
        <v>16</v>
      </c>
      <c r="H894" t="b">
        <v>0</v>
      </c>
      <c r="I894" t="str">
        <f>TEXT(Append1[[#This Row],[dteday]],"DDDD")</f>
        <v>Wednesday</v>
      </c>
      <c r="J894" t="str" cm="1">
        <f t="array" ref="J894">_xlfn.IFS(Append1[[#This Row],[weekday cnt]]=0,"Weekend",Append1[[#This Row],[weekday cnt]]=6,"Weekend",Append1[[#This Row],[weekday cnt]]&gt;0,"Weekday")</f>
        <v>Weekday</v>
      </c>
      <c r="K894">
        <v>3</v>
      </c>
      <c r="L894" t="str" cm="1">
        <f t="array" ref="L8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94">
        <v>2</v>
      </c>
      <c r="N894">
        <v>0.2</v>
      </c>
      <c r="O894">
        <f t="shared" si="8"/>
        <v>892</v>
      </c>
      <c r="P894">
        <f t="shared" si="9"/>
        <v>893</v>
      </c>
      <c r="Q894">
        <v>0.19700000000000001</v>
      </c>
      <c r="R894">
        <v>0.37</v>
      </c>
      <c r="S894">
        <v>0.25369999999999998</v>
      </c>
      <c r="T894">
        <v>7</v>
      </c>
      <c r="U894">
        <v>72</v>
      </c>
      <c r="V894">
        <v>79</v>
      </c>
    </row>
    <row r="895" spans="1:22" x14ac:dyDescent="0.3">
      <c r="A895">
        <v>894</v>
      </c>
      <c r="B895" s="1">
        <v>40583</v>
      </c>
      <c r="C895">
        <v>1</v>
      </c>
      <c r="D895">
        <v>0</v>
      </c>
      <c r="E895" t="str">
        <f>TEXT(Append1[[#This Row],[dteday]],"MMMM")</f>
        <v>February</v>
      </c>
      <c r="F895">
        <v>2</v>
      </c>
      <c r="G895">
        <v>17</v>
      </c>
      <c r="H895" t="b">
        <v>0</v>
      </c>
      <c r="I895" t="str">
        <f>TEXT(Append1[[#This Row],[dteday]],"DDDD")</f>
        <v>Wednesday</v>
      </c>
      <c r="J895" t="str" cm="1">
        <f t="array" ref="J895">_xlfn.IFS(Append1[[#This Row],[weekday cnt]]=0,"Weekend",Append1[[#This Row],[weekday cnt]]=6,"Weekend",Append1[[#This Row],[weekday cnt]]&gt;0,"Weekday")</f>
        <v>Weekday</v>
      </c>
      <c r="K895">
        <v>3</v>
      </c>
      <c r="L895" t="str" cm="1">
        <f t="array" ref="L8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95">
        <v>2</v>
      </c>
      <c r="N895">
        <v>0.2</v>
      </c>
      <c r="O895">
        <f t="shared" si="8"/>
        <v>893</v>
      </c>
      <c r="P895">
        <f t="shared" si="9"/>
        <v>894</v>
      </c>
      <c r="Q895">
        <v>0.19700000000000001</v>
      </c>
      <c r="R895">
        <v>0.34</v>
      </c>
      <c r="S895">
        <v>0.25369999999999998</v>
      </c>
      <c r="T895">
        <v>9</v>
      </c>
      <c r="U895">
        <v>157</v>
      </c>
      <c r="V895">
        <v>166</v>
      </c>
    </row>
    <row r="896" spans="1:22" x14ac:dyDescent="0.3">
      <c r="A896">
        <v>895</v>
      </c>
      <c r="B896" s="1">
        <v>40583</v>
      </c>
      <c r="C896">
        <v>1</v>
      </c>
      <c r="D896">
        <v>0</v>
      </c>
      <c r="E896" t="str">
        <f>TEXT(Append1[[#This Row],[dteday]],"MMMM")</f>
        <v>February</v>
      </c>
      <c r="F896">
        <v>2</v>
      </c>
      <c r="G896">
        <v>18</v>
      </c>
      <c r="H896" t="b">
        <v>0</v>
      </c>
      <c r="I896" t="str">
        <f>TEXT(Append1[[#This Row],[dteday]],"DDDD")</f>
        <v>Wednesday</v>
      </c>
      <c r="J896" t="str" cm="1">
        <f t="array" ref="J896">_xlfn.IFS(Append1[[#This Row],[weekday cnt]]=0,"Weekend",Append1[[#This Row],[weekday cnt]]=6,"Weekend",Append1[[#This Row],[weekday cnt]]&gt;0,"Weekday")</f>
        <v>Weekday</v>
      </c>
      <c r="K896">
        <v>3</v>
      </c>
      <c r="L896" t="str" cm="1">
        <f t="array" ref="L8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96">
        <v>2</v>
      </c>
      <c r="N896">
        <v>0.18</v>
      </c>
      <c r="O896">
        <f t="shared" si="8"/>
        <v>894</v>
      </c>
      <c r="P896">
        <f t="shared" si="9"/>
        <v>895</v>
      </c>
      <c r="Q896">
        <v>0.16669999999999999</v>
      </c>
      <c r="R896">
        <v>0.47</v>
      </c>
      <c r="S896">
        <v>0.29849999999999999</v>
      </c>
      <c r="T896">
        <v>2</v>
      </c>
      <c r="U896">
        <v>168</v>
      </c>
      <c r="V896">
        <v>170</v>
      </c>
    </row>
    <row r="897" spans="1:22" x14ac:dyDescent="0.3">
      <c r="A897">
        <v>896</v>
      </c>
      <c r="B897" s="1">
        <v>40583</v>
      </c>
      <c r="C897">
        <v>1</v>
      </c>
      <c r="D897">
        <v>0</v>
      </c>
      <c r="E897" t="str">
        <f>TEXT(Append1[[#This Row],[dteday]],"MMMM")</f>
        <v>February</v>
      </c>
      <c r="F897">
        <v>2</v>
      </c>
      <c r="G897">
        <v>19</v>
      </c>
      <c r="H897" t="b">
        <v>0</v>
      </c>
      <c r="I897" t="str">
        <f>TEXT(Append1[[#This Row],[dteday]],"DDDD")</f>
        <v>Wednesday</v>
      </c>
      <c r="J897" t="str" cm="1">
        <f t="array" ref="J897">_xlfn.IFS(Append1[[#This Row],[weekday cnt]]=0,"Weekend",Append1[[#This Row],[weekday cnt]]=6,"Weekend",Append1[[#This Row],[weekday cnt]]&gt;0,"Weekday")</f>
        <v>Weekday</v>
      </c>
      <c r="K897">
        <v>3</v>
      </c>
      <c r="L897" t="str" cm="1">
        <f t="array" ref="L8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897">
        <v>3</v>
      </c>
      <c r="N897">
        <v>0.14000000000000001</v>
      </c>
      <c r="O897">
        <f t="shared" si="8"/>
        <v>895</v>
      </c>
      <c r="P897">
        <f t="shared" si="9"/>
        <v>896</v>
      </c>
      <c r="Q897">
        <v>0.1212</v>
      </c>
      <c r="R897">
        <v>0.86</v>
      </c>
      <c r="S897">
        <v>0.25369999999999998</v>
      </c>
      <c r="T897">
        <v>1</v>
      </c>
      <c r="U897">
        <v>87</v>
      </c>
      <c r="V897">
        <v>88</v>
      </c>
    </row>
    <row r="898" spans="1:22" x14ac:dyDescent="0.3">
      <c r="A898">
        <v>897</v>
      </c>
      <c r="B898" s="1">
        <v>40583</v>
      </c>
      <c r="C898">
        <v>1</v>
      </c>
      <c r="D898">
        <v>0</v>
      </c>
      <c r="E898" t="str">
        <f>TEXT(Append1[[#This Row],[dteday]],"MMMM")</f>
        <v>February</v>
      </c>
      <c r="F898">
        <v>2</v>
      </c>
      <c r="G898">
        <v>20</v>
      </c>
      <c r="H898" t="b">
        <v>0</v>
      </c>
      <c r="I898" t="str">
        <f>TEXT(Append1[[#This Row],[dteday]],"DDDD")</f>
        <v>Wednesday</v>
      </c>
      <c r="J898" t="str" cm="1">
        <f t="array" ref="J898">_xlfn.IFS(Append1[[#This Row],[weekday cnt]]=0,"Weekend",Append1[[#This Row],[weekday cnt]]=6,"Weekend",Append1[[#This Row],[weekday cnt]]&gt;0,"Weekday")</f>
        <v>Weekday</v>
      </c>
      <c r="K898">
        <v>3</v>
      </c>
      <c r="L898" t="str" cm="1">
        <f t="array" ref="L8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898">
        <v>3</v>
      </c>
      <c r="N898">
        <v>0.14000000000000001</v>
      </c>
      <c r="O898">
        <f t="shared" si="8"/>
        <v>896</v>
      </c>
      <c r="P898">
        <f t="shared" si="9"/>
        <v>897</v>
      </c>
      <c r="Q898">
        <v>0.1515</v>
      </c>
      <c r="R898">
        <v>0.86</v>
      </c>
      <c r="S898">
        <v>0.16420000000000001</v>
      </c>
      <c r="T898">
        <v>0</v>
      </c>
      <c r="U898">
        <v>84</v>
      </c>
      <c r="V898">
        <v>84</v>
      </c>
    </row>
    <row r="899" spans="1:22" x14ac:dyDescent="0.3">
      <c r="A899">
        <v>898</v>
      </c>
      <c r="B899" s="1">
        <v>40583</v>
      </c>
      <c r="C899">
        <v>1</v>
      </c>
      <c r="D899">
        <v>0</v>
      </c>
      <c r="E899" t="str">
        <f>TEXT(Append1[[#This Row],[dteday]],"MMMM")</f>
        <v>February</v>
      </c>
      <c r="F899">
        <v>2</v>
      </c>
      <c r="G899">
        <v>21</v>
      </c>
      <c r="H899" t="b">
        <v>0</v>
      </c>
      <c r="I899" t="str">
        <f>TEXT(Append1[[#This Row],[dteday]],"DDDD")</f>
        <v>Wednesday</v>
      </c>
      <c r="J899" t="str" cm="1">
        <f t="array" ref="J899">_xlfn.IFS(Append1[[#This Row],[weekday cnt]]=0,"Weekend",Append1[[#This Row],[weekday cnt]]=6,"Weekend",Append1[[#This Row],[weekday cnt]]&gt;0,"Weekday")</f>
        <v>Weekday</v>
      </c>
      <c r="K899">
        <v>3</v>
      </c>
      <c r="L899" t="str" cm="1">
        <f t="array" ref="L8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899">
        <v>2</v>
      </c>
      <c r="N899">
        <v>0.14000000000000001</v>
      </c>
      <c r="O899">
        <f t="shared" si="8"/>
        <v>897</v>
      </c>
      <c r="P899">
        <f t="shared" si="9"/>
        <v>898</v>
      </c>
      <c r="Q899">
        <v>0.1515</v>
      </c>
      <c r="R899">
        <v>0.86</v>
      </c>
      <c r="S899">
        <v>0.16420000000000001</v>
      </c>
      <c r="T899">
        <v>0</v>
      </c>
      <c r="U899">
        <v>83</v>
      </c>
      <c r="V899">
        <v>83</v>
      </c>
    </row>
    <row r="900" spans="1:22" x14ac:dyDescent="0.3">
      <c r="A900">
        <v>899</v>
      </c>
      <c r="B900" s="1">
        <v>40583</v>
      </c>
      <c r="C900">
        <v>1</v>
      </c>
      <c r="D900">
        <v>0</v>
      </c>
      <c r="E900" t="str">
        <f>TEXT(Append1[[#This Row],[dteday]],"MMMM")</f>
        <v>February</v>
      </c>
      <c r="F900">
        <v>2</v>
      </c>
      <c r="G900">
        <v>22</v>
      </c>
      <c r="H900" t="b">
        <v>0</v>
      </c>
      <c r="I900" t="str">
        <f>TEXT(Append1[[#This Row],[dteday]],"DDDD")</f>
        <v>Wednesday</v>
      </c>
      <c r="J900" t="str" cm="1">
        <f t="array" ref="J900">_xlfn.IFS(Append1[[#This Row],[weekday cnt]]=0,"Weekend",Append1[[#This Row],[weekday cnt]]=6,"Weekend",Append1[[#This Row],[weekday cnt]]&gt;0,"Weekday")</f>
        <v>Weekday</v>
      </c>
      <c r="K900">
        <v>3</v>
      </c>
      <c r="L900" t="str" cm="1">
        <f t="array" ref="L9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900">
        <v>3</v>
      </c>
      <c r="N900">
        <v>0.16</v>
      </c>
      <c r="O900">
        <f t="shared" si="8"/>
        <v>898</v>
      </c>
      <c r="P900">
        <f t="shared" si="9"/>
        <v>899</v>
      </c>
      <c r="Q900">
        <v>0.16669999999999999</v>
      </c>
      <c r="R900">
        <v>0.8</v>
      </c>
      <c r="S900">
        <v>0.16420000000000001</v>
      </c>
      <c r="T900">
        <v>4</v>
      </c>
      <c r="U900">
        <v>42</v>
      </c>
      <c r="V900">
        <v>46</v>
      </c>
    </row>
    <row r="901" spans="1:22" x14ac:dyDescent="0.3">
      <c r="A901">
        <v>900</v>
      </c>
      <c r="B901" s="1">
        <v>40583</v>
      </c>
      <c r="C901">
        <v>1</v>
      </c>
      <c r="D901">
        <v>0</v>
      </c>
      <c r="E901" t="str">
        <f>TEXT(Append1[[#This Row],[dteday]],"MMMM")</f>
        <v>February</v>
      </c>
      <c r="F901">
        <v>2</v>
      </c>
      <c r="G901">
        <v>23</v>
      </c>
      <c r="H901" t="b">
        <v>0</v>
      </c>
      <c r="I901" t="str">
        <f>TEXT(Append1[[#This Row],[dteday]],"DDDD")</f>
        <v>Wednesday</v>
      </c>
      <c r="J901" t="str" cm="1">
        <f t="array" ref="J901">_xlfn.IFS(Append1[[#This Row],[weekday cnt]]=0,"Weekend",Append1[[#This Row],[weekday cnt]]=6,"Weekend",Append1[[#This Row],[weekday cnt]]&gt;0,"Weekday")</f>
        <v>Weekday</v>
      </c>
      <c r="K901">
        <v>3</v>
      </c>
      <c r="L901" t="str" cm="1">
        <f t="array" ref="L9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901">
        <v>3</v>
      </c>
      <c r="N901">
        <v>0.16</v>
      </c>
      <c r="O901">
        <f t="shared" si="8"/>
        <v>899</v>
      </c>
      <c r="P901">
        <f t="shared" si="9"/>
        <v>900</v>
      </c>
      <c r="Q901">
        <v>0.1515</v>
      </c>
      <c r="R901">
        <v>0.8</v>
      </c>
      <c r="S901">
        <v>0.19400000000000001</v>
      </c>
      <c r="T901">
        <v>0</v>
      </c>
      <c r="U901">
        <v>37</v>
      </c>
      <c r="V901">
        <v>37</v>
      </c>
    </row>
    <row r="902" spans="1:22" x14ac:dyDescent="0.3">
      <c r="A902">
        <v>901</v>
      </c>
      <c r="B902" s="1">
        <v>40584</v>
      </c>
      <c r="C902">
        <v>1</v>
      </c>
      <c r="D902">
        <v>0</v>
      </c>
      <c r="E902" t="str">
        <f>TEXT(Append1[[#This Row],[dteday]],"MMMM")</f>
        <v>February</v>
      </c>
      <c r="F902">
        <v>2</v>
      </c>
      <c r="G902">
        <v>0</v>
      </c>
      <c r="H902" t="b">
        <v>0</v>
      </c>
      <c r="I902" t="str">
        <f>TEXT(Append1[[#This Row],[dteday]],"DDDD")</f>
        <v>Thursday</v>
      </c>
      <c r="J902" t="str" cm="1">
        <f t="array" ref="J902">_xlfn.IFS(Append1[[#This Row],[weekday cnt]]=0,"Weekend",Append1[[#This Row],[weekday cnt]]=6,"Weekend",Append1[[#This Row],[weekday cnt]]&gt;0,"Weekday")</f>
        <v>Weekday</v>
      </c>
      <c r="K902">
        <v>4</v>
      </c>
      <c r="L902" t="str" cm="1">
        <f t="array" ref="L90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902">
        <v>3</v>
      </c>
      <c r="N902">
        <v>0.14000000000000001</v>
      </c>
      <c r="O902">
        <f t="shared" si="8"/>
        <v>900</v>
      </c>
      <c r="P902">
        <f t="shared" si="9"/>
        <v>901</v>
      </c>
      <c r="Q902">
        <v>0.13639999999999999</v>
      </c>
      <c r="R902">
        <v>0.86</v>
      </c>
      <c r="S902">
        <v>0.19400000000000001</v>
      </c>
      <c r="T902">
        <v>0</v>
      </c>
      <c r="U902">
        <v>16</v>
      </c>
      <c r="V902">
        <v>16</v>
      </c>
    </row>
    <row r="903" spans="1:22" x14ac:dyDescent="0.3">
      <c r="A903">
        <v>902</v>
      </c>
      <c r="B903" s="1">
        <v>40584</v>
      </c>
      <c r="C903">
        <v>1</v>
      </c>
      <c r="D903">
        <v>0</v>
      </c>
      <c r="E903" t="str">
        <f>TEXT(Append1[[#This Row],[dteday]],"MMMM")</f>
        <v>February</v>
      </c>
      <c r="F903">
        <v>2</v>
      </c>
      <c r="G903">
        <v>1</v>
      </c>
      <c r="H903" t="b">
        <v>0</v>
      </c>
      <c r="I903" t="str">
        <f>TEXT(Append1[[#This Row],[dteday]],"DDDD")</f>
        <v>Thursday</v>
      </c>
      <c r="J903" t="str" cm="1">
        <f t="array" ref="J903">_xlfn.IFS(Append1[[#This Row],[weekday cnt]]=0,"Weekend",Append1[[#This Row],[weekday cnt]]=6,"Weekend",Append1[[#This Row],[weekday cnt]]&gt;0,"Weekday")</f>
        <v>Weekday</v>
      </c>
      <c r="K903">
        <v>4</v>
      </c>
      <c r="L903" t="str" cm="1">
        <f t="array" ref="L90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903">
        <v>3</v>
      </c>
      <c r="N903">
        <v>0.14000000000000001</v>
      </c>
      <c r="O903">
        <f t="shared" si="8"/>
        <v>901</v>
      </c>
      <c r="P903">
        <f t="shared" si="9"/>
        <v>902</v>
      </c>
      <c r="Q903">
        <v>0.1515</v>
      </c>
      <c r="R903">
        <v>0.8</v>
      </c>
      <c r="S903">
        <v>0.1343</v>
      </c>
      <c r="T903">
        <v>0</v>
      </c>
      <c r="U903">
        <v>7</v>
      </c>
      <c r="V903">
        <v>7</v>
      </c>
    </row>
    <row r="904" spans="1:22" x14ac:dyDescent="0.3">
      <c r="A904">
        <v>903</v>
      </c>
      <c r="B904" s="1">
        <v>40584</v>
      </c>
      <c r="C904">
        <v>1</v>
      </c>
      <c r="D904">
        <v>0</v>
      </c>
      <c r="E904" t="str">
        <f>TEXT(Append1[[#This Row],[dteday]],"MMMM")</f>
        <v>February</v>
      </c>
      <c r="F904">
        <v>2</v>
      </c>
      <c r="G904">
        <v>2</v>
      </c>
      <c r="H904" t="b">
        <v>0</v>
      </c>
      <c r="I904" t="str">
        <f>TEXT(Append1[[#This Row],[dteday]],"DDDD")</f>
        <v>Thursday</v>
      </c>
      <c r="J904" t="str" cm="1">
        <f t="array" ref="J904">_xlfn.IFS(Append1[[#This Row],[weekday cnt]]=0,"Weekend",Append1[[#This Row],[weekday cnt]]=6,"Weekend",Append1[[#This Row],[weekday cnt]]&gt;0,"Weekday")</f>
        <v>Weekday</v>
      </c>
      <c r="K904">
        <v>4</v>
      </c>
      <c r="L904" t="str" cm="1">
        <f t="array" ref="L90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Heavy Rain or Snow</v>
      </c>
      <c r="M904">
        <v>3</v>
      </c>
      <c r="N904">
        <v>0.14000000000000001</v>
      </c>
      <c r="O904">
        <f t="shared" si="8"/>
        <v>902</v>
      </c>
      <c r="P904">
        <f t="shared" si="9"/>
        <v>903</v>
      </c>
      <c r="Q904">
        <v>0.1515</v>
      </c>
      <c r="R904">
        <v>0.8</v>
      </c>
      <c r="S904">
        <v>0.1343</v>
      </c>
      <c r="T904">
        <v>0</v>
      </c>
      <c r="U904">
        <v>3</v>
      </c>
      <c r="V904">
        <v>3</v>
      </c>
    </row>
    <row r="905" spans="1:22" x14ac:dyDescent="0.3">
      <c r="A905">
        <v>904</v>
      </c>
      <c r="B905" s="1">
        <v>40584</v>
      </c>
      <c r="C905">
        <v>1</v>
      </c>
      <c r="D905">
        <v>0</v>
      </c>
      <c r="E905" t="str">
        <f>TEXT(Append1[[#This Row],[dteday]],"MMMM")</f>
        <v>February</v>
      </c>
      <c r="F905">
        <v>2</v>
      </c>
      <c r="G905">
        <v>4</v>
      </c>
      <c r="H905" t="b">
        <v>0</v>
      </c>
      <c r="I905" t="str">
        <f>TEXT(Append1[[#This Row],[dteday]],"DDDD")</f>
        <v>Thursday</v>
      </c>
      <c r="J905" t="str" cm="1">
        <f t="array" ref="J905">_xlfn.IFS(Append1[[#This Row],[weekday cnt]]=0,"Weekend",Append1[[#This Row],[weekday cnt]]=6,"Weekend",Append1[[#This Row],[weekday cnt]]&gt;0,"Weekday")</f>
        <v>Weekday</v>
      </c>
      <c r="K905">
        <v>4</v>
      </c>
      <c r="L905" t="str" cm="1">
        <f t="array" ref="L90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05">
        <v>2</v>
      </c>
      <c r="N905">
        <v>0.14000000000000001</v>
      </c>
      <c r="O905">
        <f t="shared" si="8"/>
        <v>903</v>
      </c>
      <c r="P905">
        <f t="shared" si="9"/>
        <v>904</v>
      </c>
      <c r="Q905">
        <v>0.13639999999999999</v>
      </c>
      <c r="R905">
        <v>0.59</v>
      </c>
      <c r="S905">
        <v>0.22389999999999999</v>
      </c>
      <c r="T905">
        <v>0</v>
      </c>
      <c r="U905">
        <v>1</v>
      </c>
      <c r="V905">
        <v>1</v>
      </c>
    </row>
    <row r="906" spans="1:22" x14ac:dyDescent="0.3">
      <c r="A906">
        <v>905</v>
      </c>
      <c r="B906" s="1">
        <v>40584</v>
      </c>
      <c r="C906">
        <v>1</v>
      </c>
      <c r="D906">
        <v>0</v>
      </c>
      <c r="E906" t="str">
        <f>TEXT(Append1[[#This Row],[dteday]],"MMMM")</f>
        <v>February</v>
      </c>
      <c r="F906">
        <v>2</v>
      </c>
      <c r="G906">
        <v>5</v>
      </c>
      <c r="H906" t="b">
        <v>0</v>
      </c>
      <c r="I906" t="str">
        <f>TEXT(Append1[[#This Row],[dteday]],"DDDD")</f>
        <v>Thursday</v>
      </c>
      <c r="J906" t="str" cm="1">
        <f t="array" ref="J906">_xlfn.IFS(Append1[[#This Row],[weekday cnt]]=0,"Weekend",Append1[[#This Row],[weekday cnt]]=6,"Weekend",Append1[[#This Row],[weekday cnt]]&gt;0,"Weekday")</f>
        <v>Weekday</v>
      </c>
      <c r="K906">
        <v>4</v>
      </c>
      <c r="L906" t="str" cm="1">
        <f t="array" ref="L90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06">
        <v>2</v>
      </c>
      <c r="N906">
        <v>0.12</v>
      </c>
      <c r="O906">
        <f t="shared" si="8"/>
        <v>904</v>
      </c>
      <c r="P906">
        <f t="shared" si="9"/>
        <v>905</v>
      </c>
      <c r="Q906">
        <v>0.1212</v>
      </c>
      <c r="R906">
        <v>0.5</v>
      </c>
      <c r="S906">
        <v>0.22389999999999999</v>
      </c>
      <c r="T906">
        <v>0</v>
      </c>
      <c r="U906">
        <v>6</v>
      </c>
      <c r="V906">
        <v>6</v>
      </c>
    </row>
    <row r="907" spans="1:22" x14ac:dyDescent="0.3">
      <c r="A907">
        <v>906</v>
      </c>
      <c r="B907" s="1">
        <v>40584</v>
      </c>
      <c r="C907">
        <v>1</v>
      </c>
      <c r="D907">
        <v>0</v>
      </c>
      <c r="E907" t="str">
        <f>TEXT(Append1[[#This Row],[dteday]],"MMMM")</f>
        <v>February</v>
      </c>
      <c r="F907">
        <v>2</v>
      </c>
      <c r="G907">
        <v>6</v>
      </c>
      <c r="H907" t="b">
        <v>0</v>
      </c>
      <c r="I907" t="str">
        <f>TEXT(Append1[[#This Row],[dteday]],"DDDD")</f>
        <v>Thursday</v>
      </c>
      <c r="J907" t="str" cm="1">
        <f t="array" ref="J907">_xlfn.IFS(Append1[[#This Row],[weekday cnt]]=0,"Weekend",Append1[[#This Row],[weekday cnt]]=6,"Weekend",Append1[[#This Row],[weekday cnt]]&gt;0,"Weekday")</f>
        <v>Weekday</v>
      </c>
      <c r="K907">
        <v>4</v>
      </c>
      <c r="L907" t="str" cm="1">
        <f t="array" ref="L90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07">
        <v>2</v>
      </c>
      <c r="N907">
        <v>0.12</v>
      </c>
      <c r="O907">
        <f t="shared" si="8"/>
        <v>905</v>
      </c>
      <c r="P907">
        <f t="shared" si="9"/>
        <v>906</v>
      </c>
      <c r="Q907">
        <v>0.1212</v>
      </c>
      <c r="R907">
        <v>0.54</v>
      </c>
      <c r="S907">
        <v>0.28360000000000002</v>
      </c>
      <c r="T907">
        <v>0</v>
      </c>
      <c r="U907">
        <v>26</v>
      </c>
      <c r="V907">
        <v>26</v>
      </c>
    </row>
    <row r="908" spans="1:22" x14ac:dyDescent="0.3">
      <c r="A908">
        <v>907</v>
      </c>
      <c r="B908" s="1">
        <v>40584</v>
      </c>
      <c r="C908">
        <v>1</v>
      </c>
      <c r="D908">
        <v>0</v>
      </c>
      <c r="E908" t="str">
        <f>TEXT(Append1[[#This Row],[dteday]],"MMMM")</f>
        <v>February</v>
      </c>
      <c r="F908">
        <v>2</v>
      </c>
      <c r="G908">
        <v>7</v>
      </c>
      <c r="H908" t="b">
        <v>0</v>
      </c>
      <c r="I908" t="str">
        <f>TEXT(Append1[[#This Row],[dteday]],"DDDD")</f>
        <v>Thursday</v>
      </c>
      <c r="J908" t="str" cm="1">
        <f t="array" ref="J908">_xlfn.IFS(Append1[[#This Row],[weekday cnt]]=0,"Weekend",Append1[[#This Row],[weekday cnt]]=6,"Weekend",Append1[[#This Row],[weekday cnt]]&gt;0,"Weekday")</f>
        <v>Weekday</v>
      </c>
      <c r="K908">
        <v>4</v>
      </c>
      <c r="L908" t="str" cm="1">
        <f t="array" ref="L90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08">
        <v>1</v>
      </c>
      <c r="N908">
        <v>0.1</v>
      </c>
      <c r="O908">
        <f t="shared" si="8"/>
        <v>906</v>
      </c>
      <c r="P908">
        <f t="shared" si="9"/>
        <v>907</v>
      </c>
      <c r="Q908">
        <v>7.5800000000000006E-2</v>
      </c>
      <c r="R908">
        <v>0.5</v>
      </c>
      <c r="S908">
        <v>0.41789999999999999</v>
      </c>
      <c r="T908">
        <v>0</v>
      </c>
      <c r="U908">
        <v>99</v>
      </c>
      <c r="V908">
        <v>99</v>
      </c>
    </row>
    <row r="909" spans="1:22" x14ac:dyDescent="0.3">
      <c r="A909">
        <v>908</v>
      </c>
      <c r="B909" s="1">
        <v>40584</v>
      </c>
      <c r="C909">
        <v>1</v>
      </c>
      <c r="D909">
        <v>0</v>
      </c>
      <c r="E909" t="str">
        <f>TEXT(Append1[[#This Row],[dteday]],"MMMM")</f>
        <v>February</v>
      </c>
      <c r="F909">
        <v>2</v>
      </c>
      <c r="G909">
        <v>8</v>
      </c>
      <c r="H909" t="b">
        <v>0</v>
      </c>
      <c r="I909" t="str">
        <f>TEXT(Append1[[#This Row],[dteday]],"DDDD")</f>
        <v>Thursday</v>
      </c>
      <c r="J909" t="str" cm="1">
        <f t="array" ref="J909">_xlfn.IFS(Append1[[#This Row],[weekday cnt]]=0,"Weekend",Append1[[#This Row],[weekday cnt]]=6,"Weekend",Append1[[#This Row],[weekday cnt]]&gt;0,"Weekday")</f>
        <v>Weekday</v>
      </c>
      <c r="K909">
        <v>4</v>
      </c>
      <c r="L909" t="str" cm="1">
        <f t="array" ref="L90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09">
        <v>1</v>
      </c>
      <c r="N909">
        <v>0.1</v>
      </c>
      <c r="O909">
        <f t="shared" si="8"/>
        <v>907</v>
      </c>
      <c r="P909">
        <f t="shared" si="9"/>
        <v>908</v>
      </c>
      <c r="Q909">
        <v>7.5800000000000006E-2</v>
      </c>
      <c r="R909">
        <v>0.49</v>
      </c>
      <c r="S909">
        <v>0.32840000000000003</v>
      </c>
      <c r="T909">
        <v>5</v>
      </c>
      <c r="U909">
        <v>173</v>
      </c>
      <c r="V909">
        <v>178</v>
      </c>
    </row>
    <row r="910" spans="1:22" x14ac:dyDescent="0.3">
      <c r="A910">
        <v>909</v>
      </c>
      <c r="B910" s="1">
        <v>40584</v>
      </c>
      <c r="C910">
        <v>1</v>
      </c>
      <c r="D910">
        <v>0</v>
      </c>
      <c r="E910" t="str">
        <f>TEXT(Append1[[#This Row],[dteday]],"MMMM")</f>
        <v>February</v>
      </c>
      <c r="F910">
        <v>2</v>
      </c>
      <c r="G910">
        <v>9</v>
      </c>
      <c r="H910" t="b">
        <v>0</v>
      </c>
      <c r="I910" t="str">
        <f>TEXT(Append1[[#This Row],[dteday]],"DDDD")</f>
        <v>Thursday</v>
      </c>
      <c r="J910" t="str" cm="1">
        <f t="array" ref="J910">_xlfn.IFS(Append1[[#This Row],[weekday cnt]]=0,"Weekend",Append1[[#This Row],[weekday cnt]]=6,"Weekend",Append1[[#This Row],[weekday cnt]]&gt;0,"Weekday")</f>
        <v>Weekday</v>
      </c>
      <c r="K910">
        <v>4</v>
      </c>
      <c r="L910" t="str" cm="1">
        <f t="array" ref="L91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0">
        <v>1</v>
      </c>
      <c r="N910">
        <v>0.12</v>
      </c>
      <c r="O910">
        <f t="shared" si="8"/>
        <v>908</v>
      </c>
      <c r="P910">
        <f t="shared" si="9"/>
        <v>909</v>
      </c>
      <c r="Q910">
        <v>0.1061</v>
      </c>
      <c r="R910">
        <v>0.42</v>
      </c>
      <c r="S910">
        <v>0.35820000000000002</v>
      </c>
      <c r="T910">
        <v>1</v>
      </c>
      <c r="U910">
        <v>121</v>
      </c>
      <c r="V910">
        <v>122</v>
      </c>
    </row>
    <row r="911" spans="1:22" x14ac:dyDescent="0.3">
      <c r="A911">
        <v>910</v>
      </c>
      <c r="B911" s="1">
        <v>40584</v>
      </c>
      <c r="C911">
        <v>1</v>
      </c>
      <c r="D911">
        <v>0</v>
      </c>
      <c r="E911" t="str">
        <f>TEXT(Append1[[#This Row],[dteday]],"MMMM")</f>
        <v>February</v>
      </c>
      <c r="F911">
        <v>2</v>
      </c>
      <c r="G911">
        <v>10</v>
      </c>
      <c r="H911" t="b">
        <v>0</v>
      </c>
      <c r="I911" t="str">
        <f>TEXT(Append1[[#This Row],[dteday]],"DDDD")</f>
        <v>Thursday</v>
      </c>
      <c r="J911" t="str" cm="1">
        <f t="array" ref="J911">_xlfn.IFS(Append1[[#This Row],[weekday cnt]]=0,"Weekend",Append1[[#This Row],[weekday cnt]]=6,"Weekend",Append1[[#This Row],[weekday cnt]]&gt;0,"Weekday")</f>
        <v>Weekday</v>
      </c>
      <c r="K911">
        <v>4</v>
      </c>
      <c r="L911" t="str" cm="1">
        <f t="array" ref="L91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1">
        <v>1</v>
      </c>
      <c r="N911">
        <v>0.12</v>
      </c>
      <c r="O911">
        <f t="shared" si="8"/>
        <v>909</v>
      </c>
      <c r="P911">
        <f t="shared" si="9"/>
        <v>910</v>
      </c>
      <c r="Q911">
        <v>0.1061</v>
      </c>
      <c r="R911">
        <v>0.42</v>
      </c>
      <c r="S911">
        <v>0.29849999999999999</v>
      </c>
      <c r="T911">
        <v>1</v>
      </c>
      <c r="U911">
        <v>34</v>
      </c>
      <c r="V911">
        <v>35</v>
      </c>
    </row>
    <row r="912" spans="1:22" x14ac:dyDescent="0.3">
      <c r="A912">
        <v>911</v>
      </c>
      <c r="B912" s="1">
        <v>40584</v>
      </c>
      <c r="C912">
        <v>1</v>
      </c>
      <c r="D912">
        <v>0</v>
      </c>
      <c r="E912" t="str">
        <f>TEXT(Append1[[#This Row],[dteday]],"MMMM")</f>
        <v>February</v>
      </c>
      <c r="F912">
        <v>2</v>
      </c>
      <c r="G912">
        <v>11</v>
      </c>
      <c r="H912" t="b">
        <v>0</v>
      </c>
      <c r="I912" t="str">
        <f>TEXT(Append1[[#This Row],[dteday]],"DDDD")</f>
        <v>Thursday</v>
      </c>
      <c r="J912" t="str" cm="1">
        <f t="array" ref="J912">_xlfn.IFS(Append1[[#This Row],[weekday cnt]]=0,"Weekend",Append1[[#This Row],[weekday cnt]]=6,"Weekend",Append1[[#This Row],[weekday cnt]]&gt;0,"Weekday")</f>
        <v>Weekday</v>
      </c>
      <c r="K912">
        <v>4</v>
      </c>
      <c r="L912" t="str" cm="1">
        <f t="array" ref="L91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2">
        <v>1</v>
      </c>
      <c r="N912">
        <v>0.14000000000000001</v>
      </c>
      <c r="O912">
        <f t="shared" si="8"/>
        <v>910</v>
      </c>
      <c r="P912">
        <f t="shared" si="9"/>
        <v>911</v>
      </c>
      <c r="Q912">
        <v>0.1212</v>
      </c>
      <c r="R912">
        <v>0.39</v>
      </c>
      <c r="S912">
        <v>0.35820000000000002</v>
      </c>
      <c r="T912">
        <v>1</v>
      </c>
      <c r="U912">
        <v>44</v>
      </c>
      <c r="V912">
        <v>45</v>
      </c>
    </row>
    <row r="913" spans="1:22" x14ac:dyDescent="0.3">
      <c r="A913">
        <v>912</v>
      </c>
      <c r="B913" s="1">
        <v>40584</v>
      </c>
      <c r="C913">
        <v>1</v>
      </c>
      <c r="D913">
        <v>0</v>
      </c>
      <c r="E913" t="str">
        <f>TEXT(Append1[[#This Row],[dteday]],"MMMM")</f>
        <v>February</v>
      </c>
      <c r="F913">
        <v>2</v>
      </c>
      <c r="G913">
        <v>12</v>
      </c>
      <c r="H913" t="b">
        <v>0</v>
      </c>
      <c r="I913" t="str">
        <f>TEXT(Append1[[#This Row],[dteday]],"DDDD")</f>
        <v>Thursday</v>
      </c>
      <c r="J913" t="str" cm="1">
        <f t="array" ref="J913">_xlfn.IFS(Append1[[#This Row],[weekday cnt]]=0,"Weekend",Append1[[#This Row],[weekday cnt]]=6,"Weekend",Append1[[#This Row],[weekday cnt]]&gt;0,"Weekday")</f>
        <v>Weekday</v>
      </c>
      <c r="K913">
        <v>4</v>
      </c>
      <c r="L913" t="str" cm="1">
        <f t="array" ref="L91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3">
        <v>1</v>
      </c>
      <c r="N913">
        <v>0.16</v>
      </c>
      <c r="O913">
        <f t="shared" si="8"/>
        <v>911</v>
      </c>
      <c r="P913">
        <f t="shared" si="9"/>
        <v>912</v>
      </c>
      <c r="Q913">
        <v>0.13639999999999999</v>
      </c>
      <c r="R913">
        <v>0.34</v>
      </c>
      <c r="S913">
        <v>0.3881</v>
      </c>
      <c r="T913">
        <v>4</v>
      </c>
      <c r="U913">
        <v>65</v>
      </c>
      <c r="V913">
        <v>69</v>
      </c>
    </row>
    <row r="914" spans="1:22" x14ac:dyDescent="0.3">
      <c r="A914">
        <v>913</v>
      </c>
      <c r="B914" s="1">
        <v>40584</v>
      </c>
      <c r="C914">
        <v>1</v>
      </c>
      <c r="D914">
        <v>0</v>
      </c>
      <c r="E914" t="str">
        <f>TEXT(Append1[[#This Row],[dteday]],"MMMM")</f>
        <v>February</v>
      </c>
      <c r="F914">
        <v>2</v>
      </c>
      <c r="G914">
        <v>13</v>
      </c>
      <c r="H914" t="b">
        <v>0</v>
      </c>
      <c r="I914" t="str">
        <f>TEXT(Append1[[#This Row],[dteday]],"DDDD")</f>
        <v>Thursday</v>
      </c>
      <c r="J914" t="str" cm="1">
        <f t="array" ref="J914">_xlfn.IFS(Append1[[#This Row],[weekday cnt]]=0,"Weekend",Append1[[#This Row],[weekday cnt]]=6,"Weekend",Append1[[#This Row],[weekday cnt]]&gt;0,"Weekday")</f>
        <v>Weekday</v>
      </c>
      <c r="K914">
        <v>4</v>
      </c>
      <c r="L914" t="str" cm="1">
        <f t="array" ref="L91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4">
        <v>1</v>
      </c>
      <c r="N914">
        <v>0.18</v>
      </c>
      <c r="O914">
        <f t="shared" si="8"/>
        <v>912</v>
      </c>
      <c r="P914">
        <f t="shared" si="9"/>
        <v>913</v>
      </c>
      <c r="Q914">
        <v>0.16669999999999999</v>
      </c>
      <c r="R914">
        <v>0.28999999999999998</v>
      </c>
      <c r="S914">
        <v>0.29849999999999999</v>
      </c>
      <c r="T914">
        <v>3</v>
      </c>
      <c r="U914">
        <v>59</v>
      </c>
      <c r="V914">
        <v>62</v>
      </c>
    </row>
    <row r="915" spans="1:22" x14ac:dyDescent="0.3">
      <c r="A915">
        <v>914</v>
      </c>
      <c r="B915" s="1">
        <v>40584</v>
      </c>
      <c r="C915">
        <v>1</v>
      </c>
      <c r="D915">
        <v>0</v>
      </c>
      <c r="E915" t="str">
        <f>TEXT(Append1[[#This Row],[dteday]],"MMMM")</f>
        <v>February</v>
      </c>
      <c r="F915">
        <v>2</v>
      </c>
      <c r="G915">
        <v>14</v>
      </c>
      <c r="H915" t="b">
        <v>0</v>
      </c>
      <c r="I915" t="str">
        <f>TEXT(Append1[[#This Row],[dteday]],"DDDD")</f>
        <v>Thursday</v>
      </c>
      <c r="J915" t="str" cm="1">
        <f t="array" ref="J915">_xlfn.IFS(Append1[[#This Row],[weekday cnt]]=0,"Weekend",Append1[[#This Row],[weekday cnt]]=6,"Weekend",Append1[[#This Row],[weekday cnt]]&gt;0,"Weekday")</f>
        <v>Weekday</v>
      </c>
      <c r="K915">
        <v>4</v>
      </c>
      <c r="L915" t="str" cm="1">
        <f t="array" ref="L91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5">
        <v>1</v>
      </c>
      <c r="N915">
        <v>0.2</v>
      </c>
      <c r="O915">
        <f t="shared" si="8"/>
        <v>913</v>
      </c>
      <c r="P915">
        <f t="shared" si="9"/>
        <v>914</v>
      </c>
      <c r="Q915">
        <v>0.18179999999999999</v>
      </c>
      <c r="R915">
        <v>0.27</v>
      </c>
      <c r="S915">
        <v>0.28360000000000002</v>
      </c>
      <c r="T915">
        <v>6</v>
      </c>
      <c r="U915">
        <v>42</v>
      </c>
      <c r="V915">
        <v>48</v>
      </c>
    </row>
    <row r="916" spans="1:22" x14ac:dyDescent="0.3">
      <c r="A916">
        <v>915</v>
      </c>
      <c r="B916" s="1">
        <v>40584</v>
      </c>
      <c r="C916">
        <v>1</v>
      </c>
      <c r="D916">
        <v>0</v>
      </c>
      <c r="E916" t="str">
        <f>TEXT(Append1[[#This Row],[dteday]],"MMMM")</f>
        <v>February</v>
      </c>
      <c r="F916">
        <v>2</v>
      </c>
      <c r="G916">
        <v>15</v>
      </c>
      <c r="H916" t="b">
        <v>0</v>
      </c>
      <c r="I916" t="str">
        <f>TEXT(Append1[[#This Row],[dteday]],"DDDD")</f>
        <v>Thursday</v>
      </c>
      <c r="J916" t="str" cm="1">
        <f t="array" ref="J916">_xlfn.IFS(Append1[[#This Row],[weekday cnt]]=0,"Weekend",Append1[[#This Row],[weekday cnt]]=6,"Weekend",Append1[[#This Row],[weekday cnt]]&gt;0,"Weekday")</f>
        <v>Weekday</v>
      </c>
      <c r="K916">
        <v>4</v>
      </c>
      <c r="L916" t="str" cm="1">
        <f t="array" ref="L91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6">
        <v>1</v>
      </c>
      <c r="N916">
        <v>0.2</v>
      </c>
      <c r="O916">
        <f t="shared" si="8"/>
        <v>914</v>
      </c>
      <c r="P916">
        <f t="shared" si="9"/>
        <v>915</v>
      </c>
      <c r="Q916">
        <v>0.19700000000000001</v>
      </c>
      <c r="R916">
        <v>0.25</v>
      </c>
      <c r="S916">
        <v>0.25369999999999998</v>
      </c>
      <c r="T916">
        <v>0</v>
      </c>
      <c r="U916">
        <v>50</v>
      </c>
      <c r="V916">
        <v>50</v>
      </c>
    </row>
    <row r="917" spans="1:22" x14ac:dyDescent="0.3">
      <c r="A917">
        <v>916</v>
      </c>
      <c r="B917" s="1">
        <v>40584</v>
      </c>
      <c r="C917">
        <v>1</v>
      </c>
      <c r="D917">
        <v>0</v>
      </c>
      <c r="E917" t="str">
        <f>TEXT(Append1[[#This Row],[dteday]],"MMMM")</f>
        <v>February</v>
      </c>
      <c r="F917">
        <v>2</v>
      </c>
      <c r="G917">
        <v>16</v>
      </c>
      <c r="H917" t="b">
        <v>0</v>
      </c>
      <c r="I917" t="str">
        <f>TEXT(Append1[[#This Row],[dteday]],"DDDD")</f>
        <v>Thursday</v>
      </c>
      <c r="J917" t="str" cm="1">
        <f t="array" ref="J917">_xlfn.IFS(Append1[[#This Row],[weekday cnt]]=0,"Weekend",Append1[[#This Row],[weekday cnt]]=6,"Weekend",Append1[[#This Row],[weekday cnt]]&gt;0,"Weekday")</f>
        <v>Weekday</v>
      </c>
      <c r="K917">
        <v>4</v>
      </c>
      <c r="L917" t="str" cm="1">
        <f t="array" ref="L91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7">
        <v>1</v>
      </c>
      <c r="N917">
        <v>0.2</v>
      </c>
      <c r="O917">
        <f t="shared" si="8"/>
        <v>915</v>
      </c>
      <c r="P917">
        <f t="shared" si="9"/>
        <v>916</v>
      </c>
      <c r="Q917">
        <v>0.18179999999999999</v>
      </c>
      <c r="R917">
        <v>0.27</v>
      </c>
      <c r="S917">
        <v>0.29849999999999999</v>
      </c>
      <c r="T917">
        <v>4</v>
      </c>
      <c r="U917">
        <v>76</v>
      </c>
      <c r="V917">
        <v>80</v>
      </c>
    </row>
    <row r="918" spans="1:22" x14ac:dyDescent="0.3">
      <c r="A918">
        <v>917</v>
      </c>
      <c r="B918" s="1">
        <v>40584</v>
      </c>
      <c r="C918">
        <v>1</v>
      </c>
      <c r="D918">
        <v>0</v>
      </c>
      <c r="E918" t="str">
        <f>TEXT(Append1[[#This Row],[dteday]],"MMMM")</f>
        <v>February</v>
      </c>
      <c r="F918">
        <v>2</v>
      </c>
      <c r="G918">
        <v>17</v>
      </c>
      <c r="H918" t="b">
        <v>0</v>
      </c>
      <c r="I918" t="str">
        <f>TEXT(Append1[[#This Row],[dteday]],"DDDD")</f>
        <v>Thursday</v>
      </c>
      <c r="J918" t="str" cm="1">
        <f t="array" ref="J918">_xlfn.IFS(Append1[[#This Row],[weekday cnt]]=0,"Weekend",Append1[[#This Row],[weekday cnt]]=6,"Weekend",Append1[[#This Row],[weekday cnt]]&gt;0,"Weekday")</f>
        <v>Weekday</v>
      </c>
      <c r="K918">
        <v>4</v>
      </c>
      <c r="L918" t="str" cm="1">
        <f t="array" ref="L91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8">
        <v>1</v>
      </c>
      <c r="N918">
        <v>0.18</v>
      </c>
      <c r="O918">
        <f t="shared" si="8"/>
        <v>916</v>
      </c>
      <c r="P918">
        <f t="shared" si="9"/>
        <v>917</v>
      </c>
      <c r="Q918">
        <v>0.18179999999999999</v>
      </c>
      <c r="R918">
        <v>0.26</v>
      </c>
      <c r="S918">
        <v>0.19400000000000001</v>
      </c>
      <c r="T918">
        <v>6</v>
      </c>
      <c r="U918">
        <v>159</v>
      </c>
      <c r="V918">
        <v>165</v>
      </c>
    </row>
    <row r="919" spans="1:22" x14ac:dyDescent="0.3">
      <c r="A919">
        <v>918</v>
      </c>
      <c r="B919" s="1">
        <v>40584</v>
      </c>
      <c r="C919">
        <v>1</v>
      </c>
      <c r="D919">
        <v>0</v>
      </c>
      <c r="E919" t="str">
        <f>TEXT(Append1[[#This Row],[dteday]],"MMMM")</f>
        <v>February</v>
      </c>
      <c r="F919">
        <v>2</v>
      </c>
      <c r="G919">
        <v>18</v>
      </c>
      <c r="H919" t="b">
        <v>0</v>
      </c>
      <c r="I919" t="str">
        <f>TEXT(Append1[[#This Row],[dteday]],"DDDD")</f>
        <v>Thursday</v>
      </c>
      <c r="J919" t="str" cm="1">
        <f t="array" ref="J919">_xlfn.IFS(Append1[[#This Row],[weekday cnt]]=0,"Weekend",Append1[[#This Row],[weekday cnt]]=6,"Weekend",Append1[[#This Row],[weekday cnt]]&gt;0,"Weekday")</f>
        <v>Weekday</v>
      </c>
      <c r="K919">
        <v>4</v>
      </c>
      <c r="L919" t="str" cm="1">
        <f t="array" ref="L91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19">
        <v>1</v>
      </c>
      <c r="N919">
        <v>0.16</v>
      </c>
      <c r="O919">
        <f t="shared" si="8"/>
        <v>917</v>
      </c>
      <c r="P919">
        <f t="shared" si="9"/>
        <v>918</v>
      </c>
      <c r="Q919">
        <v>0.18179999999999999</v>
      </c>
      <c r="R919">
        <v>0.28000000000000003</v>
      </c>
      <c r="S919">
        <v>0.1343</v>
      </c>
      <c r="T919">
        <v>3</v>
      </c>
      <c r="U919">
        <v>157</v>
      </c>
      <c r="V919">
        <v>160</v>
      </c>
    </row>
    <row r="920" spans="1:22" x14ac:dyDescent="0.3">
      <c r="A920">
        <v>919</v>
      </c>
      <c r="B920" s="1">
        <v>40584</v>
      </c>
      <c r="C920">
        <v>1</v>
      </c>
      <c r="D920">
        <v>0</v>
      </c>
      <c r="E920" t="str">
        <f>TEXT(Append1[[#This Row],[dteday]],"MMMM")</f>
        <v>February</v>
      </c>
      <c r="F920">
        <v>2</v>
      </c>
      <c r="G920">
        <v>19</v>
      </c>
      <c r="H920" t="b">
        <v>0</v>
      </c>
      <c r="I920" t="str">
        <f>TEXT(Append1[[#This Row],[dteday]],"DDDD")</f>
        <v>Thursday</v>
      </c>
      <c r="J920" t="str" cm="1">
        <f t="array" ref="J920">_xlfn.IFS(Append1[[#This Row],[weekday cnt]]=0,"Weekend",Append1[[#This Row],[weekday cnt]]=6,"Weekend",Append1[[#This Row],[weekday cnt]]&gt;0,"Weekday")</f>
        <v>Weekday</v>
      </c>
      <c r="K920">
        <v>4</v>
      </c>
      <c r="L920" t="str" cm="1">
        <f t="array" ref="L92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0">
        <v>1</v>
      </c>
      <c r="N920">
        <v>0.14000000000000001</v>
      </c>
      <c r="O920">
        <f t="shared" si="8"/>
        <v>918</v>
      </c>
      <c r="P920">
        <f t="shared" si="9"/>
        <v>919</v>
      </c>
      <c r="Q920">
        <v>0.16669999999999999</v>
      </c>
      <c r="R920">
        <v>0.28000000000000003</v>
      </c>
      <c r="S920">
        <v>0.1045</v>
      </c>
      <c r="T920">
        <v>2</v>
      </c>
      <c r="U920">
        <v>110</v>
      </c>
      <c r="V920">
        <v>112</v>
      </c>
    </row>
    <row r="921" spans="1:22" x14ac:dyDescent="0.3">
      <c r="A921">
        <v>920</v>
      </c>
      <c r="B921" s="1">
        <v>40584</v>
      </c>
      <c r="C921">
        <v>1</v>
      </c>
      <c r="D921">
        <v>0</v>
      </c>
      <c r="E921" t="str">
        <f>TEXT(Append1[[#This Row],[dteday]],"MMMM")</f>
        <v>February</v>
      </c>
      <c r="F921">
        <v>2</v>
      </c>
      <c r="G921">
        <v>20</v>
      </c>
      <c r="H921" t="b">
        <v>0</v>
      </c>
      <c r="I921" t="str">
        <f>TEXT(Append1[[#This Row],[dteday]],"DDDD")</f>
        <v>Thursday</v>
      </c>
      <c r="J921" t="str" cm="1">
        <f t="array" ref="J921">_xlfn.IFS(Append1[[#This Row],[weekday cnt]]=0,"Weekend",Append1[[#This Row],[weekday cnt]]=6,"Weekend",Append1[[#This Row],[weekday cnt]]&gt;0,"Weekday")</f>
        <v>Weekday</v>
      </c>
      <c r="K921">
        <v>4</v>
      </c>
      <c r="L921" t="str" cm="1">
        <f t="array" ref="L92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1">
        <v>1</v>
      </c>
      <c r="N921">
        <v>0.14000000000000001</v>
      </c>
      <c r="O921">
        <f t="shared" si="8"/>
        <v>919</v>
      </c>
      <c r="P921">
        <f t="shared" si="9"/>
        <v>920</v>
      </c>
      <c r="Q921">
        <v>0.18179999999999999</v>
      </c>
      <c r="R921">
        <v>0.31</v>
      </c>
      <c r="S921">
        <v>8.9599999999999999E-2</v>
      </c>
      <c r="T921">
        <v>4</v>
      </c>
      <c r="U921">
        <v>93</v>
      </c>
      <c r="V921">
        <v>97</v>
      </c>
    </row>
    <row r="922" spans="1:22" x14ac:dyDescent="0.3">
      <c r="A922">
        <v>921</v>
      </c>
      <c r="B922" s="1">
        <v>40584</v>
      </c>
      <c r="C922">
        <v>1</v>
      </c>
      <c r="D922">
        <v>0</v>
      </c>
      <c r="E922" t="str">
        <f>TEXT(Append1[[#This Row],[dteday]],"MMMM")</f>
        <v>February</v>
      </c>
      <c r="F922">
        <v>2</v>
      </c>
      <c r="G922">
        <v>21</v>
      </c>
      <c r="H922" t="b">
        <v>0</v>
      </c>
      <c r="I922" t="str">
        <f>TEXT(Append1[[#This Row],[dteday]],"DDDD")</f>
        <v>Thursday</v>
      </c>
      <c r="J922" t="str" cm="1">
        <f t="array" ref="J922">_xlfn.IFS(Append1[[#This Row],[weekday cnt]]=0,"Weekend",Append1[[#This Row],[weekday cnt]]=6,"Weekend",Append1[[#This Row],[weekday cnt]]&gt;0,"Weekday")</f>
        <v>Weekday</v>
      </c>
      <c r="K922">
        <v>4</v>
      </c>
      <c r="L922" t="str" cm="1">
        <f t="array" ref="L92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2">
        <v>1</v>
      </c>
      <c r="N922">
        <v>0.14000000000000001</v>
      </c>
      <c r="O922">
        <f t="shared" si="8"/>
        <v>920</v>
      </c>
      <c r="P922">
        <f t="shared" si="9"/>
        <v>921</v>
      </c>
      <c r="Q922">
        <v>0.21210000000000001</v>
      </c>
      <c r="R922">
        <v>0.39</v>
      </c>
      <c r="S922">
        <v>0</v>
      </c>
      <c r="T922">
        <v>2</v>
      </c>
      <c r="U922">
        <v>70</v>
      </c>
      <c r="V922">
        <v>72</v>
      </c>
    </row>
    <row r="923" spans="1:22" x14ac:dyDescent="0.3">
      <c r="A923">
        <v>922</v>
      </c>
      <c r="B923" s="1">
        <v>40584</v>
      </c>
      <c r="C923">
        <v>1</v>
      </c>
      <c r="D923">
        <v>0</v>
      </c>
      <c r="E923" t="str">
        <f>TEXT(Append1[[#This Row],[dteday]],"MMMM")</f>
        <v>February</v>
      </c>
      <c r="F923">
        <v>2</v>
      </c>
      <c r="G923">
        <v>22</v>
      </c>
      <c r="H923" t="b">
        <v>0</v>
      </c>
      <c r="I923" t="str">
        <f>TEXT(Append1[[#This Row],[dteday]],"DDDD")</f>
        <v>Thursday</v>
      </c>
      <c r="J923" t="str" cm="1">
        <f t="array" ref="J923">_xlfn.IFS(Append1[[#This Row],[weekday cnt]]=0,"Weekend",Append1[[#This Row],[weekday cnt]]=6,"Weekend",Append1[[#This Row],[weekday cnt]]&gt;0,"Weekday")</f>
        <v>Weekday</v>
      </c>
      <c r="K923">
        <v>4</v>
      </c>
      <c r="L923" t="str" cm="1">
        <f t="array" ref="L92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3">
        <v>1</v>
      </c>
      <c r="N923">
        <v>0.12</v>
      </c>
      <c r="O923">
        <f t="shared" si="8"/>
        <v>921</v>
      </c>
      <c r="P923">
        <f t="shared" si="9"/>
        <v>922</v>
      </c>
      <c r="Q923">
        <v>0.19700000000000001</v>
      </c>
      <c r="R923">
        <v>0.39</v>
      </c>
      <c r="S923">
        <v>0</v>
      </c>
      <c r="T923">
        <v>4</v>
      </c>
      <c r="U923">
        <v>47</v>
      </c>
      <c r="V923">
        <v>51</v>
      </c>
    </row>
    <row r="924" spans="1:22" x14ac:dyDescent="0.3">
      <c r="A924">
        <v>923</v>
      </c>
      <c r="B924" s="1">
        <v>40584</v>
      </c>
      <c r="C924">
        <v>1</v>
      </c>
      <c r="D924">
        <v>0</v>
      </c>
      <c r="E924" t="str">
        <f>TEXT(Append1[[#This Row],[dteday]],"MMMM")</f>
        <v>February</v>
      </c>
      <c r="F924">
        <v>2</v>
      </c>
      <c r="G924">
        <v>23</v>
      </c>
      <c r="H924" t="b">
        <v>0</v>
      </c>
      <c r="I924" t="str">
        <f>TEXT(Append1[[#This Row],[dteday]],"DDDD")</f>
        <v>Thursday</v>
      </c>
      <c r="J924" t="str" cm="1">
        <f t="array" ref="J924">_xlfn.IFS(Append1[[#This Row],[weekday cnt]]=0,"Weekend",Append1[[#This Row],[weekday cnt]]=6,"Weekend",Append1[[#This Row],[weekday cnt]]&gt;0,"Weekday")</f>
        <v>Weekday</v>
      </c>
      <c r="K924">
        <v>4</v>
      </c>
      <c r="L924" t="str" cm="1">
        <f t="array" ref="L92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4">
        <v>1</v>
      </c>
      <c r="N924">
        <v>0.12</v>
      </c>
      <c r="O924">
        <f t="shared" si="8"/>
        <v>922</v>
      </c>
      <c r="P924">
        <f t="shared" si="9"/>
        <v>923</v>
      </c>
      <c r="Q924">
        <v>0.1515</v>
      </c>
      <c r="R924">
        <v>0.42</v>
      </c>
      <c r="S924">
        <v>0.1045</v>
      </c>
      <c r="T924">
        <v>1</v>
      </c>
      <c r="U924">
        <v>33</v>
      </c>
      <c r="V924">
        <v>34</v>
      </c>
    </row>
    <row r="925" spans="1:22" x14ac:dyDescent="0.3">
      <c r="A925">
        <v>924</v>
      </c>
      <c r="B925" s="1">
        <v>40585</v>
      </c>
      <c r="C925">
        <v>1</v>
      </c>
      <c r="D925">
        <v>0</v>
      </c>
      <c r="E925" t="str">
        <f>TEXT(Append1[[#This Row],[dteday]],"MMMM")</f>
        <v>February</v>
      </c>
      <c r="F925">
        <v>2</v>
      </c>
      <c r="G925">
        <v>0</v>
      </c>
      <c r="H925" t="b">
        <v>0</v>
      </c>
      <c r="I925" t="str">
        <f>TEXT(Append1[[#This Row],[dteday]],"DDDD")</f>
        <v>Friday</v>
      </c>
      <c r="J925" t="str" cm="1">
        <f t="array" ref="J925">_xlfn.IFS(Append1[[#This Row],[weekday cnt]]=0,"Weekend",Append1[[#This Row],[weekday cnt]]=6,"Weekend",Append1[[#This Row],[weekday cnt]]&gt;0,"Weekday")</f>
        <v>Weekday</v>
      </c>
      <c r="K925">
        <v>5</v>
      </c>
      <c r="L925" t="str" cm="1">
        <f t="array" ref="L92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5">
        <v>1</v>
      </c>
      <c r="N925">
        <v>0.1</v>
      </c>
      <c r="O925">
        <f t="shared" si="8"/>
        <v>923</v>
      </c>
      <c r="P925">
        <f t="shared" si="9"/>
        <v>924</v>
      </c>
      <c r="Q925">
        <v>0.13639999999999999</v>
      </c>
      <c r="R925">
        <v>0.49</v>
      </c>
      <c r="S925">
        <v>0.1045</v>
      </c>
      <c r="T925">
        <v>2</v>
      </c>
      <c r="U925">
        <v>12</v>
      </c>
      <c r="V925">
        <v>14</v>
      </c>
    </row>
    <row r="926" spans="1:22" x14ac:dyDescent="0.3">
      <c r="A926">
        <v>925</v>
      </c>
      <c r="B926" s="1">
        <v>40585</v>
      </c>
      <c r="C926">
        <v>1</v>
      </c>
      <c r="D926">
        <v>0</v>
      </c>
      <c r="E926" t="str">
        <f>TEXT(Append1[[#This Row],[dteday]],"MMMM")</f>
        <v>February</v>
      </c>
      <c r="F926">
        <v>2</v>
      </c>
      <c r="G926">
        <v>1</v>
      </c>
      <c r="H926" t="b">
        <v>0</v>
      </c>
      <c r="I926" t="str">
        <f>TEXT(Append1[[#This Row],[dteday]],"DDDD")</f>
        <v>Friday</v>
      </c>
      <c r="J926" t="str" cm="1">
        <f t="array" ref="J926">_xlfn.IFS(Append1[[#This Row],[weekday cnt]]=0,"Weekend",Append1[[#This Row],[weekday cnt]]=6,"Weekend",Append1[[#This Row],[weekday cnt]]&gt;0,"Weekday")</f>
        <v>Weekday</v>
      </c>
      <c r="K926">
        <v>5</v>
      </c>
      <c r="L926" t="str" cm="1">
        <f t="array" ref="L92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6">
        <v>1</v>
      </c>
      <c r="N926">
        <v>0.1</v>
      </c>
      <c r="O926">
        <f t="shared" si="8"/>
        <v>924</v>
      </c>
      <c r="P926">
        <f t="shared" si="9"/>
        <v>925</v>
      </c>
      <c r="Q926">
        <v>0.13639999999999999</v>
      </c>
      <c r="R926">
        <v>0.54</v>
      </c>
      <c r="S926">
        <v>8.9599999999999999E-2</v>
      </c>
      <c r="T926">
        <v>1</v>
      </c>
      <c r="U926">
        <v>6</v>
      </c>
      <c r="V926">
        <v>7</v>
      </c>
    </row>
    <row r="927" spans="1:22" x14ac:dyDescent="0.3">
      <c r="A927">
        <v>926</v>
      </c>
      <c r="B927" s="1">
        <v>40585</v>
      </c>
      <c r="C927">
        <v>1</v>
      </c>
      <c r="D927">
        <v>0</v>
      </c>
      <c r="E927" t="str">
        <f>TEXT(Append1[[#This Row],[dteday]],"MMMM")</f>
        <v>February</v>
      </c>
      <c r="F927">
        <v>2</v>
      </c>
      <c r="G927">
        <v>2</v>
      </c>
      <c r="H927" t="b">
        <v>0</v>
      </c>
      <c r="I927" t="str">
        <f>TEXT(Append1[[#This Row],[dteday]],"DDDD")</f>
        <v>Friday</v>
      </c>
      <c r="J927" t="str" cm="1">
        <f t="array" ref="J927">_xlfn.IFS(Append1[[#This Row],[weekday cnt]]=0,"Weekend",Append1[[#This Row],[weekday cnt]]=6,"Weekend",Append1[[#This Row],[weekday cnt]]&gt;0,"Weekday")</f>
        <v>Weekday</v>
      </c>
      <c r="K927">
        <v>5</v>
      </c>
      <c r="L927" t="str" cm="1">
        <f t="array" ref="L92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7">
        <v>1</v>
      </c>
      <c r="N927">
        <v>0.1</v>
      </c>
      <c r="O927">
        <f t="shared" si="8"/>
        <v>925</v>
      </c>
      <c r="P927">
        <f t="shared" si="9"/>
        <v>926</v>
      </c>
      <c r="Q927">
        <v>0.13639999999999999</v>
      </c>
      <c r="R927">
        <v>0.54</v>
      </c>
      <c r="S927">
        <v>8.9599999999999999E-2</v>
      </c>
      <c r="T927">
        <v>0</v>
      </c>
      <c r="U927">
        <v>3</v>
      </c>
      <c r="V927">
        <v>3</v>
      </c>
    </row>
    <row r="928" spans="1:22" x14ac:dyDescent="0.3">
      <c r="A928">
        <v>927</v>
      </c>
      <c r="B928" s="1">
        <v>40585</v>
      </c>
      <c r="C928">
        <v>1</v>
      </c>
      <c r="D928">
        <v>0</v>
      </c>
      <c r="E928" t="str">
        <f>TEXT(Append1[[#This Row],[dteday]],"MMMM")</f>
        <v>February</v>
      </c>
      <c r="F928">
        <v>2</v>
      </c>
      <c r="G928">
        <v>5</v>
      </c>
      <c r="H928" t="b">
        <v>0</v>
      </c>
      <c r="I928" t="str">
        <f>TEXT(Append1[[#This Row],[dteday]],"DDDD")</f>
        <v>Friday</v>
      </c>
      <c r="J928" t="str" cm="1">
        <f t="array" ref="J928">_xlfn.IFS(Append1[[#This Row],[weekday cnt]]=0,"Weekend",Append1[[#This Row],[weekday cnt]]=6,"Weekend",Append1[[#This Row],[weekday cnt]]&gt;0,"Weekday")</f>
        <v>Weekday</v>
      </c>
      <c r="K928">
        <v>5</v>
      </c>
      <c r="L928" t="str" cm="1">
        <f t="array" ref="L92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8">
        <v>1</v>
      </c>
      <c r="N928">
        <v>0.08</v>
      </c>
      <c r="O928">
        <f t="shared" si="8"/>
        <v>926</v>
      </c>
      <c r="P928">
        <f t="shared" si="9"/>
        <v>927</v>
      </c>
      <c r="Q928">
        <v>0.1212</v>
      </c>
      <c r="R928">
        <v>0.63</v>
      </c>
      <c r="S928">
        <v>8.9599999999999999E-2</v>
      </c>
      <c r="T928">
        <v>0</v>
      </c>
      <c r="U928">
        <v>4</v>
      </c>
      <c r="V928">
        <v>4</v>
      </c>
    </row>
    <row r="929" spans="1:22" x14ac:dyDescent="0.3">
      <c r="A929">
        <v>928</v>
      </c>
      <c r="B929" s="1">
        <v>40585</v>
      </c>
      <c r="C929">
        <v>1</v>
      </c>
      <c r="D929">
        <v>0</v>
      </c>
      <c r="E929" t="str">
        <f>TEXT(Append1[[#This Row],[dteday]],"MMMM")</f>
        <v>February</v>
      </c>
      <c r="F929">
        <v>2</v>
      </c>
      <c r="G929">
        <v>6</v>
      </c>
      <c r="H929" t="b">
        <v>0</v>
      </c>
      <c r="I929" t="str">
        <f>TEXT(Append1[[#This Row],[dteday]],"DDDD")</f>
        <v>Friday</v>
      </c>
      <c r="J929" t="str" cm="1">
        <f t="array" ref="J929">_xlfn.IFS(Append1[[#This Row],[weekday cnt]]=0,"Weekend",Append1[[#This Row],[weekday cnt]]=6,"Weekend",Append1[[#This Row],[weekday cnt]]&gt;0,"Weekday")</f>
        <v>Weekday</v>
      </c>
      <c r="K929">
        <v>5</v>
      </c>
      <c r="L929" t="str" cm="1">
        <f t="array" ref="L92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29">
        <v>1</v>
      </c>
      <c r="N929">
        <v>0.1</v>
      </c>
      <c r="O929">
        <f t="shared" si="8"/>
        <v>927</v>
      </c>
      <c r="P929">
        <f t="shared" si="9"/>
        <v>928</v>
      </c>
      <c r="Q929">
        <v>0.18179999999999999</v>
      </c>
      <c r="R929">
        <v>0.68</v>
      </c>
      <c r="S929">
        <v>0</v>
      </c>
      <c r="T929">
        <v>1</v>
      </c>
      <c r="U929">
        <v>23</v>
      </c>
      <c r="V929">
        <v>24</v>
      </c>
    </row>
    <row r="930" spans="1:22" x14ac:dyDescent="0.3">
      <c r="A930">
        <v>929</v>
      </c>
      <c r="B930" s="1">
        <v>40585</v>
      </c>
      <c r="C930">
        <v>1</v>
      </c>
      <c r="D930">
        <v>0</v>
      </c>
      <c r="E930" t="str">
        <f>TEXT(Append1[[#This Row],[dteday]],"MMMM")</f>
        <v>February</v>
      </c>
      <c r="F930">
        <v>2</v>
      </c>
      <c r="G930">
        <v>7</v>
      </c>
      <c r="H930" t="b">
        <v>0</v>
      </c>
      <c r="I930" t="str">
        <f>TEXT(Append1[[#This Row],[dteday]],"DDDD")</f>
        <v>Friday</v>
      </c>
      <c r="J930" t="str" cm="1">
        <f t="array" ref="J930">_xlfn.IFS(Append1[[#This Row],[weekday cnt]]=0,"Weekend",Append1[[#This Row],[weekday cnt]]=6,"Weekend",Append1[[#This Row],[weekday cnt]]&gt;0,"Weekday")</f>
        <v>Weekday</v>
      </c>
      <c r="K930">
        <v>5</v>
      </c>
      <c r="L930" t="str" cm="1">
        <f t="array" ref="L93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0">
        <v>1</v>
      </c>
      <c r="N930">
        <v>0.08</v>
      </c>
      <c r="O930">
        <f t="shared" si="8"/>
        <v>928</v>
      </c>
      <c r="P930">
        <f t="shared" si="9"/>
        <v>929</v>
      </c>
      <c r="Q930">
        <v>0.16669999999999999</v>
      </c>
      <c r="R930">
        <v>0.73</v>
      </c>
      <c r="S930">
        <v>0</v>
      </c>
      <c r="T930">
        <v>1</v>
      </c>
      <c r="U930">
        <v>73</v>
      </c>
      <c r="V930">
        <v>74</v>
      </c>
    </row>
    <row r="931" spans="1:22" x14ac:dyDescent="0.3">
      <c r="A931">
        <v>930</v>
      </c>
      <c r="B931" s="1">
        <v>40585</v>
      </c>
      <c r="C931">
        <v>1</v>
      </c>
      <c r="D931">
        <v>0</v>
      </c>
      <c r="E931" t="str">
        <f>TEXT(Append1[[#This Row],[dteday]],"MMMM")</f>
        <v>February</v>
      </c>
      <c r="F931">
        <v>2</v>
      </c>
      <c r="G931">
        <v>8</v>
      </c>
      <c r="H931" t="b">
        <v>0</v>
      </c>
      <c r="I931" t="str">
        <f>TEXT(Append1[[#This Row],[dteday]],"DDDD")</f>
        <v>Friday</v>
      </c>
      <c r="J931" t="str" cm="1">
        <f t="array" ref="J931">_xlfn.IFS(Append1[[#This Row],[weekday cnt]]=0,"Weekend",Append1[[#This Row],[weekday cnt]]=6,"Weekend",Append1[[#This Row],[weekday cnt]]&gt;0,"Weekday")</f>
        <v>Weekday</v>
      </c>
      <c r="K931">
        <v>5</v>
      </c>
      <c r="L931" t="str" cm="1">
        <f t="array" ref="L93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1">
        <v>1</v>
      </c>
      <c r="N931">
        <v>0.1</v>
      </c>
      <c r="O931">
        <f t="shared" si="8"/>
        <v>929</v>
      </c>
      <c r="P931">
        <f t="shared" si="9"/>
        <v>930</v>
      </c>
      <c r="Q931">
        <v>0.1212</v>
      </c>
      <c r="R931">
        <v>0.74</v>
      </c>
      <c r="S931">
        <v>0.16420000000000001</v>
      </c>
      <c r="T931">
        <v>4</v>
      </c>
      <c r="U931">
        <v>212</v>
      </c>
      <c r="V931">
        <v>216</v>
      </c>
    </row>
    <row r="932" spans="1:22" x14ac:dyDescent="0.3">
      <c r="A932">
        <v>931</v>
      </c>
      <c r="B932" s="1">
        <v>40585</v>
      </c>
      <c r="C932">
        <v>1</v>
      </c>
      <c r="D932">
        <v>0</v>
      </c>
      <c r="E932" t="str">
        <f>TEXT(Append1[[#This Row],[dteday]],"MMMM")</f>
        <v>February</v>
      </c>
      <c r="F932">
        <v>2</v>
      </c>
      <c r="G932">
        <v>9</v>
      </c>
      <c r="H932" t="b">
        <v>0</v>
      </c>
      <c r="I932" t="str">
        <f>TEXT(Append1[[#This Row],[dteday]],"DDDD")</f>
        <v>Friday</v>
      </c>
      <c r="J932" t="str" cm="1">
        <f t="array" ref="J932">_xlfn.IFS(Append1[[#This Row],[weekday cnt]]=0,"Weekend",Append1[[#This Row],[weekday cnt]]=6,"Weekend",Append1[[#This Row],[weekday cnt]]&gt;0,"Weekday")</f>
        <v>Weekday</v>
      </c>
      <c r="K932">
        <v>5</v>
      </c>
      <c r="L932" t="str" cm="1">
        <f t="array" ref="L93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2">
        <v>1</v>
      </c>
      <c r="N932">
        <v>0.12</v>
      </c>
      <c r="O932">
        <f t="shared" si="8"/>
        <v>930</v>
      </c>
      <c r="P932">
        <f t="shared" si="9"/>
        <v>931</v>
      </c>
      <c r="Q932">
        <v>0.1212</v>
      </c>
      <c r="R932">
        <v>0.74</v>
      </c>
      <c r="S932">
        <v>0.22389999999999999</v>
      </c>
      <c r="T932">
        <v>8</v>
      </c>
      <c r="U932">
        <v>132</v>
      </c>
      <c r="V932">
        <v>140</v>
      </c>
    </row>
    <row r="933" spans="1:22" x14ac:dyDescent="0.3">
      <c r="A933">
        <v>932</v>
      </c>
      <c r="B933" s="1">
        <v>40585</v>
      </c>
      <c r="C933">
        <v>1</v>
      </c>
      <c r="D933">
        <v>0</v>
      </c>
      <c r="E933" t="str">
        <f>TEXT(Append1[[#This Row],[dteday]],"MMMM")</f>
        <v>February</v>
      </c>
      <c r="F933">
        <v>2</v>
      </c>
      <c r="G933">
        <v>10</v>
      </c>
      <c r="H933" t="b">
        <v>0</v>
      </c>
      <c r="I933" t="str">
        <f>TEXT(Append1[[#This Row],[dteday]],"DDDD")</f>
        <v>Friday</v>
      </c>
      <c r="J933" t="str" cm="1">
        <f t="array" ref="J933">_xlfn.IFS(Append1[[#This Row],[weekday cnt]]=0,"Weekend",Append1[[#This Row],[weekday cnt]]=6,"Weekend",Append1[[#This Row],[weekday cnt]]&gt;0,"Weekday")</f>
        <v>Weekday</v>
      </c>
      <c r="K933">
        <v>5</v>
      </c>
      <c r="L933" t="str" cm="1">
        <f t="array" ref="L93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3">
        <v>1</v>
      </c>
      <c r="N933">
        <v>0.14000000000000001</v>
      </c>
      <c r="O933">
        <f t="shared" ref="O933:O996" si="10">O932+1</f>
        <v>931</v>
      </c>
      <c r="P933">
        <f t="shared" ref="P933:P996" si="11">P932+1</f>
        <v>932</v>
      </c>
      <c r="Q933">
        <v>0.13639999999999999</v>
      </c>
      <c r="R933">
        <v>0.69</v>
      </c>
      <c r="S933">
        <v>0.19400000000000001</v>
      </c>
      <c r="T933">
        <v>5</v>
      </c>
      <c r="U933">
        <v>39</v>
      </c>
      <c r="V933">
        <v>44</v>
      </c>
    </row>
    <row r="934" spans="1:22" x14ac:dyDescent="0.3">
      <c r="A934">
        <v>933</v>
      </c>
      <c r="B934" s="1">
        <v>40585</v>
      </c>
      <c r="C934">
        <v>1</v>
      </c>
      <c r="D934">
        <v>0</v>
      </c>
      <c r="E934" t="str">
        <f>TEXT(Append1[[#This Row],[dteday]],"MMMM")</f>
        <v>February</v>
      </c>
      <c r="F934">
        <v>2</v>
      </c>
      <c r="G934">
        <v>11</v>
      </c>
      <c r="H934" t="b">
        <v>0</v>
      </c>
      <c r="I934" t="str">
        <f>TEXT(Append1[[#This Row],[dteday]],"DDDD")</f>
        <v>Friday</v>
      </c>
      <c r="J934" t="str" cm="1">
        <f t="array" ref="J934">_xlfn.IFS(Append1[[#This Row],[weekday cnt]]=0,"Weekend",Append1[[#This Row],[weekday cnt]]=6,"Weekend",Append1[[#This Row],[weekday cnt]]&gt;0,"Weekday")</f>
        <v>Weekday</v>
      </c>
      <c r="K934">
        <v>5</v>
      </c>
      <c r="L934" t="str" cm="1">
        <f t="array" ref="L93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4">
        <v>1</v>
      </c>
      <c r="N934">
        <v>0.22</v>
      </c>
      <c r="O934">
        <f t="shared" si="10"/>
        <v>932</v>
      </c>
      <c r="P934">
        <f t="shared" si="11"/>
        <v>933</v>
      </c>
      <c r="Q934">
        <v>0.2273</v>
      </c>
      <c r="R934">
        <v>0.47</v>
      </c>
      <c r="S934">
        <v>0.1343</v>
      </c>
      <c r="T934">
        <v>12</v>
      </c>
      <c r="U934">
        <v>52</v>
      </c>
      <c r="V934">
        <v>64</v>
      </c>
    </row>
    <row r="935" spans="1:22" x14ac:dyDescent="0.3">
      <c r="A935">
        <v>934</v>
      </c>
      <c r="B935" s="1">
        <v>40585</v>
      </c>
      <c r="C935">
        <v>1</v>
      </c>
      <c r="D935">
        <v>0</v>
      </c>
      <c r="E935" t="str">
        <f>TEXT(Append1[[#This Row],[dteday]],"MMMM")</f>
        <v>February</v>
      </c>
      <c r="F935">
        <v>2</v>
      </c>
      <c r="G935">
        <v>12</v>
      </c>
      <c r="H935" t="b">
        <v>0</v>
      </c>
      <c r="I935" t="str">
        <f>TEXT(Append1[[#This Row],[dteday]],"DDDD")</f>
        <v>Friday</v>
      </c>
      <c r="J935" t="str" cm="1">
        <f t="array" ref="J935">_xlfn.IFS(Append1[[#This Row],[weekday cnt]]=0,"Weekend",Append1[[#This Row],[weekday cnt]]=6,"Weekend",Append1[[#This Row],[weekday cnt]]&gt;0,"Weekday")</f>
        <v>Weekday</v>
      </c>
      <c r="K935">
        <v>5</v>
      </c>
      <c r="L935" t="str" cm="1">
        <f t="array" ref="L93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5">
        <v>1</v>
      </c>
      <c r="N935">
        <v>0.22</v>
      </c>
      <c r="O935">
        <f t="shared" si="10"/>
        <v>933</v>
      </c>
      <c r="P935">
        <f t="shared" si="11"/>
        <v>934</v>
      </c>
      <c r="Q935">
        <v>0.2273</v>
      </c>
      <c r="R935">
        <v>0.47</v>
      </c>
      <c r="S935">
        <v>0.1343</v>
      </c>
      <c r="T935">
        <v>7</v>
      </c>
      <c r="U935">
        <v>64</v>
      </c>
      <c r="V935">
        <v>71</v>
      </c>
    </row>
    <row r="936" spans="1:22" x14ac:dyDescent="0.3">
      <c r="A936">
        <v>935</v>
      </c>
      <c r="B936" s="1">
        <v>40585</v>
      </c>
      <c r="C936">
        <v>1</v>
      </c>
      <c r="D936">
        <v>0</v>
      </c>
      <c r="E936" t="str">
        <f>TEXT(Append1[[#This Row],[dteday]],"MMMM")</f>
        <v>February</v>
      </c>
      <c r="F936">
        <v>2</v>
      </c>
      <c r="G936">
        <v>13</v>
      </c>
      <c r="H936" t="b">
        <v>0</v>
      </c>
      <c r="I936" t="str">
        <f>TEXT(Append1[[#This Row],[dteday]],"DDDD")</f>
        <v>Friday</v>
      </c>
      <c r="J936" t="str" cm="1">
        <f t="array" ref="J936">_xlfn.IFS(Append1[[#This Row],[weekday cnt]]=0,"Weekend",Append1[[#This Row],[weekday cnt]]=6,"Weekend",Append1[[#This Row],[weekday cnt]]&gt;0,"Weekday")</f>
        <v>Weekday</v>
      </c>
      <c r="K936">
        <v>5</v>
      </c>
      <c r="L936" t="str" cm="1">
        <f t="array" ref="L93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6">
        <v>1</v>
      </c>
      <c r="N936">
        <v>0.24</v>
      </c>
      <c r="O936">
        <f t="shared" si="10"/>
        <v>934</v>
      </c>
      <c r="P936">
        <f t="shared" si="11"/>
        <v>935</v>
      </c>
      <c r="Q936">
        <v>0.2273</v>
      </c>
      <c r="R936">
        <v>0.35</v>
      </c>
      <c r="S936">
        <v>0.19400000000000001</v>
      </c>
      <c r="T936">
        <v>21</v>
      </c>
      <c r="U936">
        <v>89</v>
      </c>
      <c r="V936">
        <v>110</v>
      </c>
    </row>
    <row r="937" spans="1:22" x14ac:dyDescent="0.3">
      <c r="A937">
        <v>936</v>
      </c>
      <c r="B937" s="1">
        <v>40585</v>
      </c>
      <c r="C937">
        <v>1</v>
      </c>
      <c r="D937">
        <v>0</v>
      </c>
      <c r="E937" t="str">
        <f>TEXT(Append1[[#This Row],[dteday]],"MMMM")</f>
        <v>February</v>
      </c>
      <c r="F937">
        <v>2</v>
      </c>
      <c r="G937">
        <v>14</v>
      </c>
      <c r="H937" t="b">
        <v>0</v>
      </c>
      <c r="I937" t="str">
        <f>TEXT(Append1[[#This Row],[dteday]],"DDDD")</f>
        <v>Friday</v>
      </c>
      <c r="J937" t="str" cm="1">
        <f t="array" ref="J937">_xlfn.IFS(Append1[[#This Row],[weekday cnt]]=0,"Weekend",Append1[[#This Row],[weekday cnt]]=6,"Weekend",Append1[[#This Row],[weekday cnt]]&gt;0,"Weekday")</f>
        <v>Weekday</v>
      </c>
      <c r="K937">
        <v>5</v>
      </c>
      <c r="L937" t="str" cm="1">
        <f t="array" ref="L93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7">
        <v>1</v>
      </c>
      <c r="N937">
        <v>0.3</v>
      </c>
      <c r="O937">
        <f t="shared" si="10"/>
        <v>935</v>
      </c>
      <c r="P937">
        <f t="shared" si="11"/>
        <v>936</v>
      </c>
      <c r="Q937">
        <v>0.28789999999999999</v>
      </c>
      <c r="R937">
        <v>0.26</v>
      </c>
      <c r="S937">
        <v>0.25369999999999998</v>
      </c>
      <c r="T937">
        <v>17</v>
      </c>
      <c r="U937">
        <v>67</v>
      </c>
      <c r="V937">
        <v>84</v>
      </c>
    </row>
    <row r="938" spans="1:22" x14ac:dyDescent="0.3">
      <c r="A938">
        <v>937</v>
      </c>
      <c r="B938" s="1">
        <v>40585</v>
      </c>
      <c r="C938">
        <v>1</v>
      </c>
      <c r="D938">
        <v>0</v>
      </c>
      <c r="E938" t="str">
        <f>TEXT(Append1[[#This Row],[dteday]],"MMMM")</f>
        <v>February</v>
      </c>
      <c r="F938">
        <v>2</v>
      </c>
      <c r="G938">
        <v>15</v>
      </c>
      <c r="H938" t="b">
        <v>0</v>
      </c>
      <c r="I938" t="str">
        <f>TEXT(Append1[[#This Row],[dteday]],"DDDD")</f>
        <v>Friday</v>
      </c>
      <c r="J938" t="str" cm="1">
        <f t="array" ref="J938">_xlfn.IFS(Append1[[#This Row],[weekday cnt]]=0,"Weekend",Append1[[#This Row],[weekday cnt]]=6,"Weekend",Append1[[#This Row],[weekday cnt]]&gt;0,"Weekday")</f>
        <v>Weekday</v>
      </c>
      <c r="K938">
        <v>5</v>
      </c>
      <c r="L938" t="str" cm="1">
        <f t="array" ref="L93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8">
        <v>1</v>
      </c>
      <c r="N938">
        <v>0.32</v>
      </c>
      <c r="O938">
        <f t="shared" si="10"/>
        <v>936</v>
      </c>
      <c r="P938">
        <f t="shared" si="11"/>
        <v>937</v>
      </c>
      <c r="Q938">
        <v>0.31819999999999998</v>
      </c>
      <c r="R938">
        <v>0.21</v>
      </c>
      <c r="S938">
        <v>0.16420000000000001</v>
      </c>
      <c r="T938">
        <v>12</v>
      </c>
      <c r="U938">
        <v>62</v>
      </c>
      <c r="V938">
        <v>74</v>
      </c>
    </row>
    <row r="939" spans="1:22" x14ac:dyDescent="0.3">
      <c r="A939">
        <v>938</v>
      </c>
      <c r="B939" s="1">
        <v>40585</v>
      </c>
      <c r="C939">
        <v>1</v>
      </c>
      <c r="D939">
        <v>0</v>
      </c>
      <c r="E939" t="str">
        <f>TEXT(Append1[[#This Row],[dteday]],"MMMM")</f>
        <v>February</v>
      </c>
      <c r="F939">
        <v>2</v>
      </c>
      <c r="G939">
        <v>16</v>
      </c>
      <c r="H939" t="b">
        <v>0</v>
      </c>
      <c r="I939" t="str">
        <f>TEXT(Append1[[#This Row],[dteday]],"DDDD")</f>
        <v>Friday</v>
      </c>
      <c r="J939" t="str" cm="1">
        <f t="array" ref="J939">_xlfn.IFS(Append1[[#This Row],[weekday cnt]]=0,"Weekend",Append1[[#This Row],[weekday cnt]]=6,"Weekend",Append1[[#This Row],[weekday cnt]]&gt;0,"Weekday")</f>
        <v>Weekday</v>
      </c>
      <c r="K939">
        <v>5</v>
      </c>
      <c r="L939" t="str" cm="1">
        <f t="array" ref="L93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39">
        <v>1</v>
      </c>
      <c r="N939">
        <v>0.3</v>
      </c>
      <c r="O939">
        <f t="shared" si="10"/>
        <v>937</v>
      </c>
      <c r="P939">
        <f t="shared" si="11"/>
        <v>938</v>
      </c>
      <c r="Q939">
        <v>0.28789999999999999</v>
      </c>
      <c r="R939">
        <v>0.28000000000000003</v>
      </c>
      <c r="S939">
        <v>0.19400000000000001</v>
      </c>
      <c r="T939">
        <v>14</v>
      </c>
      <c r="U939">
        <v>111</v>
      </c>
      <c r="V939">
        <v>125</v>
      </c>
    </row>
    <row r="940" spans="1:22" x14ac:dyDescent="0.3">
      <c r="A940">
        <v>939</v>
      </c>
      <c r="B940" s="1">
        <v>40585</v>
      </c>
      <c r="C940">
        <v>1</v>
      </c>
      <c r="D940">
        <v>0</v>
      </c>
      <c r="E940" t="str">
        <f>TEXT(Append1[[#This Row],[dteday]],"MMMM")</f>
        <v>February</v>
      </c>
      <c r="F940">
        <v>2</v>
      </c>
      <c r="G940">
        <v>17</v>
      </c>
      <c r="H940" t="b">
        <v>0</v>
      </c>
      <c r="I940" t="str">
        <f>TEXT(Append1[[#This Row],[dteday]],"DDDD")</f>
        <v>Friday</v>
      </c>
      <c r="J940" t="str" cm="1">
        <f t="array" ref="J940">_xlfn.IFS(Append1[[#This Row],[weekday cnt]]=0,"Weekend",Append1[[#This Row],[weekday cnt]]=6,"Weekend",Append1[[#This Row],[weekday cnt]]&gt;0,"Weekday")</f>
        <v>Weekday</v>
      </c>
      <c r="K940">
        <v>5</v>
      </c>
      <c r="L940" t="str" cm="1">
        <f t="array" ref="L94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0">
        <v>1</v>
      </c>
      <c r="N940">
        <v>0.3</v>
      </c>
      <c r="O940">
        <f t="shared" si="10"/>
        <v>938</v>
      </c>
      <c r="P940">
        <f t="shared" si="11"/>
        <v>939</v>
      </c>
      <c r="Q940">
        <v>0.33329999999999999</v>
      </c>
      <c r="R940">
        <v>0.24</v>
      </c>
      <c r="S940">
        <v>0</v>
      </c>
      <c r="T940">
        <v>18</v>
      </c>
      <c r="U940">
        <v>193</v>
      </c>
      <c r="V940">
        <v>211</v>
      </c>
    </row>
    <row r="941" spans="1:22" x14ac:dyDescent="0.3">
      <c r="A941">
        <v>940</v>
      </c>
      <c r="B941" s="1">
        <v>40585</v>
      </c>
      <c r="C941">
        <v>1</v>
      </c>
      <c r="D941">
        <v>0</v>
      </c>
      <c r="E941" t="str">
        <f>TEXT(Append1[[#This Row],[dteday]],"MMMM")</f>
        <v>February</v>
      </c>
      <c r="F941">
        <v>2</v>
      </c>
      <c r="G941">
        <v>18</v>
      </c>
      <c r="H941" t="b">
        <v>0</v>
      </c>
      <c r="I941" t="str">
        <f>TEXT(Append1[[#This Row],[dteday]],"DDDD")</f>
        <v>Friday</v>
      </c>
      <c r="J941" t="str" cm="1">
        <f t="array" ref="J941">_xlfn.IFS(Append1[[#This Row],[weekday cnt]]=0,"Weekend",Append1[[#This Row],[weekday cnt]]=6,"Weekend",Append1[[#This Row],[weekday cnt]]&gt;0,"Weekday")</f>
        <v>Weekday</v>
      </c>
      <c r="K941">
        <v>5</v>
      </c>
      <c r="L941" t="str" cm="1">
        <f t="array" ref="L94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1">
        <v>1</v>
      </c>
      <c r="N941">
        <v>0.28000000000000003</v>
      </c>
      <c r="O941">
        <f t="shared" si="10"/>
        <v>939</v>
      </c>
      <c r="P941">
        <f t="shared" si="11"/>
        <v>940</v>
      </c>
      <c r="Q941">
        <v>0.31819999999999998</v>
      </c>
      <c r="R941">
        <v>0.28000000000000003</v>
      </c>
      <c r="S941">
        <v>0</v>
      </c>
      <c r="T941">
        <v>9</v>
      </c>
      <c r="U941">
        <v>165</v>
      </c>
      <c r="V941">
        <v>174</v>
      </c>
    </row>
    <row r="942" spans="1:22" x14ac:dyDescent="0.3">
      <c r="A942">
        <v>941</v>
      </c>
      <c r="B942" s="1">
        <v>40585</v>
      </c>
      <c r="C942">
        <v>1</v>
      </c>
      <c r="D942">
        <v>0</v>
      </c>
      <c r="E942" t="str">
        <f>TEXT(Append1[[#This Row],[dteday]],"MMMM")</f>
        <v>February</v>
      </c>
      <c r="F942">
        <v>2</v>
      </c>
      <c r="G942">
        <v>19</v>
      </c>
      <c r="H942" t="b">
        <v>0</v>
      </c>
      <c r="I942" t="str">
        <f>TEXT(Append1[[#This Row],[dteday]],"DDDD")</f>
        <v>Friday</v>
      </c>
      <c r="J942" t="str" cm="1">
        <f t="array" ref="J942">_xlfn.IFS(Append1[[#This Row],[weekday cnt]]=0,"Weekend",Append1[[#This Row],[weekday cnt]]=6,"Weekend",Append1[[#This Row],[weekday cnt]]&gt;0,"Weekday")</f>
        <v>Weekday</v>
      </c>
      <c r="K942">
        <v>5</v>
      </c>
      <c r="L942" t="str" cm="1">
        <f t="array" ref="L94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2">
        <v>1</v>
      </c>
      <c r="N942">
        <v>0.26</v>
      </c>
      <c r="O942">
        <f t="shared" si="10"/>
        <v>940</v>
      </c>
      <c r="P942">
        <f t="shared" si="11"/>
        <v>941</v>
      </c>
      <c r="Q942">
        <v>0.30299999999999999</v>
      </c>
      <c r="R942">
        <v>0.33</v>
      </c>
      <c r="S942">
        <v>0</v>
      </c>
      <c r="T942">
        <v>7</v>
      </c>
      <c r="U942">
        <v>94</v>
      </c>
      <c r="V942">
        <v>101</v>
      </c>
    </row>
    <row r="943" spans="1:22" x14ac:dyDescent="0.3">
      <c r="A943">
        <v>942</v>
      </c>
      <c r="B943" s="1">
        <v>40585</v>
      </c>
      <c r="C943">
        <v>1</v>
      </c>
      <c r="D943">
        <v>0</v>
      </c>
      <c r="E943" t="str">
        <f>TEXT(Append1[[#This Row],[dteday]],"MMMM")</f>
        <v>February</v>
      </c>
      <c r="F943">
        <v>2</v>
      </c>
      <c r="G943">
        <v>20</v>
      </c>
      <c r="H943" t="b">
        <v>0</v>
      </c>
      <c r="I943" t="str">
        <f>TEXT(Append1[[#This Row],[dteday]],"DDDD")</f>
        <v>Friday</v>
      </c>
      <c r="J943" t="str" cm="1">
        <f t="array" ref="J943">_xlfn.IFS(Append1[[#This Row],[weekday cnt]]=0,"Weekend",Append1[[#This Row],[weekday cnt]]=6,"Weekend",Append1[[#This Row],[weekday cnt]]&gt;0,"Weekday")</f>
        <v>Weekday</v>
      </c>
      <c r="K943">
        <v>5</v>
      </c>
      <c r="L943" t="str" cm="1">
        <f t="array" ref="L94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3">
        <v>1</v>
      </c>
      <c r="N943">
        <v>0.22</v>
      </c>
      <c r="O943">
        <f t="shared" si="10"/>
        <v>941</v>
      </c>
      <c r="P943">
        <f t="shared" si="11"/>
        <v>942</v>
      </c>
      <c r="Q943">
        <v>0.2273</v>
      </c>
      <c r="R943">
        <v>0.55000000000000004</v>
      </c>
      <c r="S943">
        <v>0.1343</v>
      </c>
      <c r="T943">
        <v>2</v>
      </c>
      <c r="U943">
        <v>61</v>
      </c>
      <c r="V943">
        <v>63</v>
      </c>
    </row>
    <row r="944" spans="1:22" x14ac:dyDescent="0.3">
      <c r="A944">
        <v>943</v>
      </c>
      <c r="B944" s="1">
        <v>40585</v>
      </c>
      <c r="C944">
        <v>1</v>
      </c>
      <c r="D944">
        <v>0</v>
      </c>
      <c r="E944" t="str">
        <f>TEXT(Append1[[#This Row],[dteday]],"MMMM")</f>
        <v>February</v>
      </c>
      <c r="F944">
        <v>2</v>
      </c>
      <c r="G944">
        <v>21</v>
      </c>
      <c r="H944" t="b">
        <v>0</v>
      </c>
      <c r="I944" t="str">
        <f>TEXT(Append1[[#This Row],[dteday]],"DDDD")</f>
        <v>Friday</v>
      </c>
      <c r="J944" t="str" cm="1">
        <f t="array" ref="J944">_xlfn.IFS(Append1[[#This Row],[weekday cnt]]=0,"Weekend",Append1[[#This Row],[weekday cnt]]=6,"Weekend",Append1[[#This Row],[weekday cnt]]&gt;0,"Weekday")</f>
        <v>Weekday</v>
      </c>
      <c r="K944">
        <v>5</v>
      </c>
      <c r="L944" t="str" cm="1">
        <f t="array" ref="L94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4">
        <v>1</v>
      </c>
      <c r="N944">
        <v>0.2</v>
      </c>
      <c r="O944">
        <f t="shared" si="10"/>
        <v>942</v>
      </c>
      <c r="P944">
        <f t="shared" si="11"/>
        <v>943</v>
      </c>
      <c r="Q944">
        <v>0.21210000000000001</v>
      </c>
      <c r="R944">
        <v>0.59</v>
      </c>
      <c r="S944">
        <v>0.1343</v>
      </c>
      <c r="T944">
        <v>1</v>
      </c>
      <c r="U944">
        <v>46</v>
      </c>
      <c r="V944">
        <v>47</v>
      </c>
    </row>
    <row r="945" spans="1:22" x14ac:dyDescent="0.3">
      <c r="A945">
        <v>944</v>
      </c>
      <c r="B945" s="1">
        <v>40585</v>
      </c>
      <c r="C945">
        <v>1</v>
      </c>
      <c r="D945">
        <v>0</v>
      </c>
      <c r="E945" t="str">
        <f>TEXT(Append1[[#This Row],[dteday]],"MMMM")</f>
        <v>February</v>
      </c>
      <c r="F945">
        <v>2</v>
      </c>
      <c r="G945">
        <v>22</v>
      </c>
      <c r="H945" t="b">
        <v>0</v>
      </c>
      <c r="I945" t="str">
        <f>TEXT(Append1[[#This Row],[dteday]],"DDDD")</f>
        <v>Friday</v>
      </c>
      <c r="J945" t="str" cm="1">
        <f t="array" ref="J945">_xlfn.IFS(Append1[[#This Row],[weekday cnt]]=0,"Weekend",Append1[[#This Row],[weekday cnt]]=6,"Weekend",Append1[[#This Row],[weekday cnt]]&gt;0,"Weekday")</f>
        <v>Weekday</v>
      </c>
      <c r="K945">
        <v>5</v>
      </c>
      <c r="L945" t="str" cm="1">
        <f t="array" ref="L94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5">
        <v>1</v>
      </c>
      <c r="N945">
        <v>0.2</v>
      </c>
      <c r="O945">
        <f t="shared" si="10"/>
        <v>943</v>
      </c>
      <c r="P945">
        <f t="shared" si="11"/>
        <v>944</v>
      </c>
      <c r="Q945">
        <v>0.2273</v>
      </c>
      <c r="R945">
        <v>0.64</v>
      </c>
      <c r="S945">
        <v>8.9599999999999999E-2</v>
      </c>
      <c r="T945">
        <v>2</v>
      </c>
      <c r="U945">
        <v>41</v>
      </c>
      <c r="V945">
        <v>43</v>
      </c>
    </row>
    <row r="946" spans="1:22" x14ac:dyDescent="0.3">
      <c r="A946">
        <v>945</v>
      </c>
      <c r="B946" s="1">
        <v>40585</v>
      </c>
      <c r="C946">
        <v>1</v>
      </c>
      <c r="D946">
        <v>0</v>
      </c>
      <c r="E946" t="str">
        <f>TEXT(Append1[[#This Row],[dteday]],"MMMM")</f>
        <v>February</v>
      </c>
      <c r="F946">
        <v>2</v>
      </c>
      <c r="G946">
        <v>23</v>
      </c>
      <c r="H946" t="b">
        <v>0</v>
      </c>
      <c r="I946" t="str">
        <f>TEXT(Append1[[#This Row],[dteday]],"DDDD")</f>
        <v>Friday</v>
      </c>
      <c r="J946" t="str" cm="1">
        <f t="array" ref="J946">_xlfn.IFS(Append1[[#This Row],[weekday cnt]]=0,"Weekend",Append1[[#This Row],[weekday cnt]]=6,"Weekend",Append1[[#This Row],[weekday cnt]]&gt;0,"Weekday")</f>
        <v>Weekday</v>
      </c>
      <c r="K946">
        <v>5</v>
      </c>
      <c r="L946" t="str" cm="1">
        <f t="array" ref="L94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6">
        <v>1</v>
      </c>
      <c r="N946">
        <v>0.18</v>
      </c>
      <c r="O946">
        <f t="shared" si="10"/>
        <v>944</v>
      </c>
      <c r="P946">
        <f t="shared" si="11"/>
        <v>945</v>
      </c>
      <c r="Q946">
        <v>0.2424</v>
      </c>
      <c r="R946">
        <v>0.69</v>
      </c>
      <c r="S946">
        <v>0</v>
      </c>
      <c r="T946">
        <v>5</v>
      </c>
      <c r="U946">
        <v>48</v>
      </c>
      <c r="V946">
        <v>53</v>
      </c>
    </row>
    <row r="947" spans="1:22" x14ac:dyDescent="0.3">
      <c r="A947">
        <v>946</v>
      </c>
      <c r="B947" s="1">
        <v>40586</v>
      </c>
      <c r="C947">
        <v>1</v>
      </c>
      <c r="D947">
        <v>0</v>
      </c>
      <c r="E947" t="str">
        <f>TEXT(Append1[[#This Row],[dteday]],"MMMM")</f>
        <v>February</v>
      </c>
      <c r="F947">
        <v>2</v>
      </c>
      <c r="G947">
        <v>0</v>
      </c>
      <c r="H947" t="b">
        <v>0</v>
      </c>
      <c r="I947" t="str">
        <f>TEXT(Append1[[#This Row],[dteday]],"DDDD")</f>
        <v>Saturday</v>
      </c>
      <c r="J947" t="str" cm="1">
        <f t="array" ref="J947">_xlfn.IFS(Append1[[#This Row],[weekday cnt]]=0,"Weekend",Append1[[#This Row],[weekday cnt]]=6,"Weekend",Append1[[#This Row],[weekday cnt]]&gt;0,"Weekday")</f>
        <v>Weekend</v>
      </c>
      <c r="K947">
        <v>6</v>
      </c>
      <c r="L947" t="str" cm="1">
        <f t="array" ref="L94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7">
        <v>1</v>
      </c>
      <c r="N947">
        <v>0.16</v>
      </c>
      <c r="O947">
        <f t="shared" si="10"/>
        <v>945</v>
      </c>
      <c r="P947">
        <f t="shared" si="11"/>
        <v>946</v>
      </c>
      <c r="Q947">
        <v>0.19700000000000001</v>
      </c>
      <c r="R947">
        <v>0.69</v>
      </c>
      <c r="S947">
        <v>8.9599999999999999E-2</v>
      </c>
      <c r="T947">
        <v>3</v>
      </c>
      <c r="U947">
        <v>27</v>
      </c>
      <c r="V947">
        <v>30</v>
      </c>
    </row>
    <row r="948" spans="1:22" x14ac:dyDescent="0.3">
      <c r="A948">
        <v>947</v>
      </c>
      <c r="B948" s="1">
        <v>40586</v>
      </c>
      <c r="C948">
        <v>1</v>
      </c>
      <c r="D948">
        <v>0</v>
      </c>
      <c r="E948" t="str">
        <f>TEXT(Append1[[#This Row],[dteday]],"MMMM")</f>
        <v>February</v>
      </c>
      <c r="F948">
        <v>2</v>
      </c>
      <c r="G948">
        <v>1</v>
      </c>
      <c r="H948" t="b">
        <v>0</v>
      </c>
      <c r="I948" t="str">
        <f>TEXT(Append1[[#This Row],[dteday]],"DDDD")</f>
        <v>Saturday</v>
      </c>
      <c r="J948" t="str" cm="1">
        <f t="array" ref="J948">_xlfn.IFS(Append1[[#This Row],[weekday cnt]]=0,"Weekend",Append1[[#This Row],[weekday cnt]]=6,"Weekend",Append1[[#This Row],[weekday cnt]]&gt;0,"Weekday")</f>
        <v>Weekend</v>
      </c>
      <c r="K948">
        <v>6</v>
      </c>
      <c r="L948" t="str" cm="1">
        <f t="array" ref="L94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8">
        <v>1</v>
      </c>
      <c r="N948">
        <v>0.14000000000000001</v>
      </c>
      <c r="O948">
        <f t="shared" si="10"/>
        <v>946</v>
      </c>
      <c r="P948">
        <f t="shared" si="11"/>
        <v>947</v>
      </c>
      <c r="Q948">
        <v>0.21210000000000001</v>
      </c>
      <c r="R948">
        <v>0.86</v>
      </c>
      <c r="S948">
        <v>0</v>
      </c>
      <c r="T948">
        <v>2</v>
      </c>
      <c r="U948">
        <v>22</v>
      </c>
      <c r="V948">
        <v>24</v>
      </c>
    </row>
    <row r="949" spans="1:22" x14ac:dyDescent="0.3">
      <c r="A949">
        <v>948</v>
      </c>
      <c r="B949" s="1">
        <v>40586</v>
      </c>
      <c r="C949">
        <v>1</v>
      </c>
      <c r="D949">
        <v>0</v>
      </c>
      <c r="E949" t="str">
        <f>TEXT(Append1[[#This Row],[dteday]],"MMMM")</f>
        <v>February</v>
      </c>
      <c r="F949">
        <v>2</v>
      </c>
      <c r="G949">
        <v>2</v>
      </c>
      <c r="H949" t="b">
        <v>0</v>
      </c>
      <c r="I949" t="str">
        <f>TEXT(Append1[[#This Row],[dteday]],"DDDD")</f>
        <v>Saturday</v>
      </c>
      <c r="J949" t="str" cm="1">
        <f t="array" ref="J949">_xlfn.IFS(Append1[[#This Row],[weekday cnt]]=0,"Weekend",Append1[[#This Row],[weekday cnt]]=6,"Weekend",Append1[[#This Row],[weekday cnt]]&gt;0,"Weekday")</f>
        <v>Weekend</v>
      </c>
      <c r="K949">
        <v>6</v>
      </c>
      <c r="L949" t="str" cm="1">
        <f t="array" ref="L94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49">
        <v>1</v>
      </c>
      <c r="N949">
        <v>0.14000000000000001</v>
      </c>
      <c r="O949">
        <f t="shared" si="10"/>
        <v>947</v>
      </c>
      <c r="P949">
        <f t="shared" si="11"/>
        <v>948</v>
      </c>
      <c r="Q949">
        <v>0.21210000000000001</v>
      </c>
      <c r="R949">
        <v>0.8</v>
      </c>
      <c r="S949">
        <v>0</v>
      </c>
      <c r="T949">
        <v>2</v>
      </c>
      <c r="U949">
        <v>13</v>
      </c>
      <c r="V949">
        <v>15</v>
      </c>
    </row>
    <row r="950" spans="1:22" x14ac:dyDescent="0.3">
      <c r="A950">
        <v>949</v>
      </c>
      <c r="B950" s="1">
        <v>40586</v>
      </c>
      <c r="C950">
        <v>1</v>
      </c>
      <c r="D950">
        <v>0</v>
      </c>
      <c r="E950" t="str">
        <f>TEXT(Append1[[#This Row],[dteday]],"MMMM")</f>
        <v>February</v>
      </c>
      <c r="F950">
        <v>2</v>
      </c>
      <c r="G950">
        <v>3</v>
      </c>
      <c r="H950" t="b">
        <v>0</v>
      </c>
      <c r="I950" t="str">
        <f>TEXT(Append1[[#This Row],[dteday]],"DDDD")</f>
        <v>Saturday</v>
      </c>
      <c r="J950" t="str" cm="1">
        <f t="array" ref="J950">_xlfn.IFS(Append1[[#This Row],[weekday cnt]]=0,"Weekend",Append1[[#This Row],[weekday cnt]]=6,"Weekend",Append1[[#This Row],[weekday cnt]]&gt;0,"Weekday")</f>
        <v>Weekend</v>
      </c>
      <c r="K950">
        <v>6</v>
      </c>
      <c r="L950" t="str" cm="1">
        <f t="array" ref="L95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0">
        <v>1</v>
      </c>
      <c r="N950">
        <v>0.12</v>
      </c>
      <c r="O950">
        <f t="shared" si="10"/>
        <v>948</v>
      </c>
      <c r="P950">
        <f t="shared" si="11"/>
        <v>949</v>
      </c>
      <c r="Q950">
        <v>0.19700000000000001</v>
      </c>
      <c r="R950">
        <v>0.8</v>
      </c>
      <c r="S950">
        <v>0</v>
      </c>
      <c r="T950">
        <v>3</v>
      </c>
      <c r="U950">
        <v>7</v>
      </c>
      <c r="V950">
        <v>10</v>
      </c>
    </row>
    <row r="951" spans="1:22" x14ac:dyDescent="0.3">
      <c r="A951">
        <v>950</v>
      </c>
      <c r="B951" s="1">
        <v>40586</v>
      </c>
      <c r="C951">
        <v>1</v>
      </c>
      <c r="D951">
        <v>0</v>
      </c>
      <c r="E951" t="str">
        <f>TEXT(Append1[[#This Row],[dteday]],"MMMM")</f>
        <v>February</v>
      </c>
      <c r="F951">
        <v>2</v>
      </c>
      <c r="G951">
        <v>4</v>
      </c>
      <c r="H951" t="b">
        <v>0</v>
      </c>
      <c r="I951" t="str">
        <f>TEXT(Append1[[#This Row],[dteday]],"DDDD")</f>
        <v>Saturday</v>
      </c>
      <c r="J951" t="str" cm="1">
        <f t="array" ref="J951">_xlfn.IFS(Append1[[#This Row],[weekday cnt]]=0,"Weekend",Append1[[#This Row],[weekday cnt]]=6,"Weekend",Append1[[#This Row],[weekday cnt]]&gt;0,"Weekday")</f>
        <v>Weekend</v>
      </c>
      <c r="K951">
        <v>6</v>
      </c>
      <c r="L951" t="str" cm="1">
        <f t="array" ref="L95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1">
        <v>1</v>
      </c>
      <c r="N951">
        <v>0.12</v>
      </c>
      <c r="O951">
        <f t="shared" si="10"/>
        <v>949</v>
      </c>
      <c r="P951">
        <f t="shared" si="11"/>
        <v>950</v>
      </c>
      <c r="Q951">
        <v>0.16669999999999999</v>
      </c>
      <c r="R951">
        <v>0.74</v>
      </c>
      <c r="S951">
        <v>8.9599999999999999E-2</v>
      </c>
      <c r="T951">
        <v>0</v>
      </c>
      <c r="U951">
        <v>4</v>
      </c>
      <c r="V951">
        <v>4</v>
      </c>
    </row>
    <row r="952" spans="1:22" x14ac:dyDescent="0.3">
      <c r="A952">
        <v>951</v>
      </c>
      <c r="B952" s="1">
        <v>40586</v>
      </c>
      <c r="C952">
        <v>1</v>
      </c>
      <c r="D952">
        <v>0</v>
      </c>
      <c r="E952" t="str">
        <f>TEXT(Append1[[#This Row],[dteday]],"MMMM")</f>
        <v>February</v>
      </c>
      <c r="F952">
        <v>2</v>
      </c>
      <c r="G952">
        <v>5</v>
      </c>
      <c r="H952" t="b">
        <v>0</v>
      </c>
      <c r="I952" t="str">
        <f>TEXT(Append1[[#This Row],[dteday]],"DDDD")</f>
        <v>Saturday</v>
      </c>
      <c r="J952" t="str" cm="1">
        <f t="array" ref="J952">_xlfn.IFS(Append1[[#This Row],[weekday cnt]]=0,"Weekend",Append1[[#This Row],[weekday cnt]]=6,"Weekend",Append1[[#This Row],[weekday cnt]]&gt;0,"Weekday")</f>
        <v>Weekend</v>
      </c>
      <c r="K952">
        <v>6</v>
      </c>
      <c r="L952" t="str" cm="1">
        <f t="array" ref="L95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2">
        <v>1</v>
      </c>
      <c r="N952">
        <v>0.12</v>
      </c>
      <c r="O952">
        <f t="shared" si="10"/>
        <v>950</v>
      </c>
      <c r="P952">
        <f t="shared" si="11"/>
        <v>951</v>
      </c>
      <c r="Q952">
        <v>0.16669999999999999</v>
      </c>
      <c r="R952">
        <v>0.74</v>
      </c>
      <c r="S952">
        <v>8.9599999999999999E-2</v>
      </c>
      <c r="T952">
        <v>0</v>
      </c>
      <c r="U952">
        <v>1</v>
      </c>
      <c r="V952">
        <v>1</v>
      </c>
    </row>
    <row r="953" spans="1:22" x14ac:dyDescent="0.3">
      <c r="A953">
        <v>952</v>
      </c>
      <c r="B953" s="1">
        <v>40586</v>
      </c>
      <c r="C953">
        <v>1</v>
      </c>
      <c r="D953">
        <v>0</v>
      </c>
      <c r="E953" t="str">
        <f>TEXT(Append1[[#This Row],[dteday]],"MMMM")</f>
        <v>February</v>
      </c>
      <c r="F953">
        <v>2</v>
      </c>
      <c r="G953">
        <v>6</v>
      </c>
      <c r="H953" t="b">
        <v>0</v>
      </c>
      <c r="I953" t="str">
        <f>TEXT(Append1[[#This Row],[dteday]],"DDDD")</f>
        <v>Saturday</v>
      </c>
      <c r="J953" t="str" cm="1">
        <f t="array" ref="J953">_xlfn.IFS(Append1[[#This Row],[weekday cnt]]=0,"Weekend",Append1[[#This Row],[weekday cnt]]=6,"Weekend",Append1[[#This Row],[weekday cnt]]&gt;0,"Weekday")</f>
        <v>Weekend</v>
      </c>
      <c r="K953">
        <v>6</v>
      </c>
      <c r="L953" t="str" cm="1">
        <f t="array" ref="L95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3">
        <v>1</v>
      </c>
      <c r="N953">
        <v>0.12</v>
      </c>
      <c r="O953">
        <f t="shared" si="10"/>
        <v>951</v>
      </c>
      <c r="P953">
        <f t="shared" si="11"/>
        <v>952</v>
      </c>
      <c r="Q953">
        <v>0.13639999999999999</v>
      </c>
      <c r="R953">
        <v>0.93</v>
      </c>
      <c r="S953">
        <v>0.19400000000000001</v>
      </c>
      <c r="T953">
        <v>1</v>
      </c>
      <c r="U953">
        <v>1</v>
      </c>
      <c r="V953">
        <v>2</v>
      </c>
    </row>
    <row r="954" spans="1:22" x14ac:dyDescent="0.3">
      <c r="A954">
        <v>953</v>
      </c>
      <c r="B954" s="1">
        <v>40586</v>
      </c>
      <c r="C954">
        <v>1</v>
      </c>
      <c r="D954">
        <v>0</v>
      </c>
      <c r="E954" t="str">
        <f>TEXT(Append1[[#This Row],[dteday]],"MMMM")</f>
        <v>February</v>
      </c>
      <c r="F954">
        <v>2</v>
      </c>
      <c r="G954">
        <v>7</v>
      </c>
      <c r="H954" t="b">
        <v>0</v>
      </c>
      <c r="I954" t="str">
        <f>TEXT(Append1[[#This Row],[dteday]],"DDDD")</f>
        <v>Saturday</v>
      </c>
      <c r="J954" t="str" cm="1">
        <f t="array" ref="J954">_xlfn.IFS(Append1[[#This Row],[weekday cnt]]=0,"Weekend",Append1[[#This Row],[weekday cnt]]=6,"Weekend",Append1[[#This Row],[weekday cnt]]&gt;0,"Weekday")</f>
        <v>Weekend</v>
      </c>
      <c r="K954">
        <v>6</v>
      </c>
      <c r="L954" t="str" cm="1">
        <f t="array" ref="L95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4">
        <v>1</v>
      </c>
      <c r="N954">
        <v>0.12</v>
      </c>
      <c r="O954">
        <f t="shared" si="10"/>
        <v>952</v>
      </c>
      <c r="P954">
        <f t="shared" si="11"/>
        <v>953</v>
      </c>
      <c r="Q954">
        <v>0.1515</v>
      </c>
      <c r="R954">
        <v>0.8</v>
      </c>
      <c r="S954">
        <v>0.1045</v>
      </c>
      <c r="T954">
        <v>2</v>
      </c>
      <c r="U954">
        <v>9</v>
      </c>
      <c r="V954">
        <v>11</v>
      </c>
    </row>
    <row r="955" spans="1:22" x14ac:dyDescent="0.3">
      <c r="A955">
        <v>954</v>
      </c>
      <c r="B955" s="1">
        <v>40586</v>
      </c>
      <c r="C955">
        <v>1</v>
      </c>
      <c r="D955">
        <v>0</v>
      </c>
      <c r="E955" t="str">
        <f>TEXT(Append1[[#This Row],[dteday]],"MMMM")</f>
        <v>February</v>
      </c>
      <c r="F955">
        <v>2</v>
      </c>
      <c r="G955">
        <v>8</v>
      </c>
      <c r="H955" t="b">
        <v>0</v>
      </c>
      <c r="I955" t="str">
        <f>TEXT(Append1[[#This Row],[dteday]],"DDDD")</f>
        <v>Saturday</v>
      </c>
      <c r="J955" t="str" cm="1">
        <f t="array" ref="J955">_xlfn.IFS(Append1[[#This Row],[weekday cnt]]=0,"Weekend",Append1[[#This Row],[weekday cnt]]=6,"Weekend",Append1[[#This Row],[weekday cnt]]&gt;0,"Weekday")</f>
        <v>Weekend</v>
      </c>
      <c r="K955">
        <v>6</v>
      </c>
      <c r="L955" t="str" cm="1">
        <f t="array" ref="L95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5">
        <v>1</v>
      </c>
      <c r="N955">
        <v>0.14000000000000001</v>
      </c>
      <c r="O955">
        <f t="shared" si="10"/>
        <v>953</v>
      </c>
      <c r="P955">
        <f t="shared" si="11"/>
        <v>954</v>
      </c>
      <c r="Q955">
        <v>0.1515</v>
      </c>
      <c r="R955">
        <v>0.86</v>
      </c>
      <c r="S955">
        <v>0.1343</v>
      </c>
      <c r="T955">
        <v>2</v>
      </c>
      <c r="U955">
        <v>28</v>
      </c>
      <c r="V955">
        <v>30</v>
      </c>
    </row>
    <row r="956" spans="1:22" x14ac:dyDescent="0.3">
      <c r="A956">
        <v>955</v>
      </c>
      <c r="B956" s="1">
        <v>40586</v>
      </c>
      <c r="C956">
        <v>1</v>
      </c>
      <c r="D956">
        <v>0</v>
      </c>
      <c r="E956" t="str">
        <f>TEXT(Append1[[#This Row],[dteday]],"MMMM")</f>
        <v>February</v>
      </c>
      <c r="F956">
        <v>2</v>
      </c>
      <c r="G956">
        <v>9</v>
      </c>
      <c r="H956" t="b">
        <v>0</v>
      </c>
      <c r="I956" t="str">
        <f>TEXT(Append1[[#This Row],[dteday]],"DDDD")</f>
        <v>Saturday</v>
      </c>
      <c r="J956" t="str" cm="1">
        <f t="array" ref="J956">_xlfn.IFS(Append1[[#This Row],[weekday cnt]]=0,"Weekend",Append1[[#This Row],[weekday cnt]]=6,"Weekend",Append1[[#This Row],[weekday cnt]]&gt;0,"Weekday")</f>
        <v>Weekend</v>
      </c>
      <c r="K956">
        <v>6</v>
      </c>
      <c r="L956" t="str" cm="1">
        <f t="array" ref="L95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6">
        <v>1</v>
      </c>
      <c r="N956">
        <v>0.16</v>
      </c>
      <c r="O956">
        <f t="shared" si="10"/>
        <v>954</v>
      </c>
      <c r="P956">
        <f t="shared" si="11"/>
        <v>955</v>
      </c>
      <c r="Q956">
        <v>0.18179999999999999</v>
      </c>
      <c r="R956">
        <v>0.64</v>
      </c>
      <c r="S956">
        <v>0.1343</v>
      </c>
      <c r="T956">
        <v>5</v>
      </c>
      <c r="U956">
        <v>38</v>
      </c>
      <c r="V956">
        <v>43</v>
      </c>
    </row>
    <row r="957" spans="1:22" x14ac:dyDescent="0.3">
      <c r="A957">
        <v>956</v>
      </c>
      <c r="B957" s="1">
        <v>40586</v>
      </c>
      <c r="C957">
        <v>1</v>
      </c>
      <c r="D957">
        <v>0</v>
      </c>
      <c r="E957" t="str">
        <f>TEXT(Append1[[#This Row],[dteday]],"MMMM")</f>
        <v>February</v>
      </c>
      <c r="F957">
        <v>2</v>
      </c>
      <c r="G957">
        <v>10</v>
      </c>
      <c r="H957" t="b">
        <v>0</v>
      </c>
      <c r="I957" t="str">
        <f>TEXT(Append1[[#This Row],[dteday]],"DDDD")</f>
        <v>Saturday</v>
      </c>
      <c r="J957" t="str" cm="1">
        <f t="array" ref="J957">_xlfn.IFS(Append1[[#This Row],[weekday cnt]]=0,"Weekend",Append1[[#This Row],[weekday cnt]]=6,"Weekend",Append1[[#This Row],[weekday cnt]]&gt;0,"Weekday")</f>
        <v>Weekend</v>
      </c>
      <c r="K957">
        <v>6</v>
      </c>
      <c r="L957" t="str" cm="1">
        <f t="array" ref="L95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7">
        <v>1</v>
      </c>
      <c r="N957">
        <v>0.22</v>
      </c>
      <c r="O957">
        <f t="shared" si="10"/>
        <v>955</v>
      </c>
      <c r="P957">
        <f t="shared" si="11"/>
        <v>956</v>
      </c>
      <c r="Q957">
        <v>0.21210000000000001</v>
      </c>
      <c r="R957">
        <v>0.41</v>
      </c>
      <c r="S957">
        <v>0.25369999999999998</v>
      </c>
      <c r="T957">
        <v>13</v>
      </c>
      <c r="U957">
        <v>71</v>
      </c>
      <c r="V957">
        <v>84</v>
      </c>
    </row>
    <row r="958" spans="1:22" x14ac:dyDescent="0.3">
      <c r="A958">
        <v>957</v>
      </c>
      <c r="B958" s="1">
        <v>40586</v>
      </c>
      <c r="C958">
        <v>1</v>
      </c>
      <c r="D958">
        <v>0</v>
      </c>
      <c r="E958" t="str">
        <f>TEXT(Append1[[#This Row],[dteday]],"MMMM")</f>
        <v>February</v>
      </c>
      <c r="F958">
        <v>2</v>
      </c>
      <c r="G958">
        <v>11</v>
      </c>
      <c r="H958" t="b">
        <v>0</v>
      </c>
      <c r="I958" t="str">
        <f>TEXT(Append1[[#This Row],[dteday]],"DDDD")</f>
        <v>Saturday</v>
      </c>
      <c r="J958" t="str" cm="1">
        <f t="array" ref="J958">_xlfn.IFS(Append1[[#This Row],[weekday cnt]]=0,"Weekend",Append1[[#This Row],[weekday cnt]]=6,"Weekend",Append1[[#This Row],[weekday cnt]]&gt;0,"Weekday")</f>
        <v>Weekend</v>
      </c>
      <c r="K958">
        <v>6</v>
      </c>
      <c r="L958" t="str" cm="1">
        <f t="array" ref="L95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8">
        <v>1</v>
      </c>
      <c r="N958">
        <v>0.3</v>
      </c>
      <c r="O958">
        <f t="shared" si="10"/>
        <v>956</v>
      </c>
      <c r="P958">
        <f t="shared" si="11"/>
        <v>957</v>
      </c>
      <c r="Q958">
        <v>0.2727</v>
      </c>
      <c r="R958">
        <v>0.28000000000000003</v>
      </c>
      <c r="S958">
        <v>0.32840000000000003</v>
      </c>
      <c r="T958">
        <v>30</v>
      </c>
      <c r="U958">
        <v>84</v>
      </c>
      <c r="V958">
        <v>114</v>
      </c>
    </row>
    <row r="959" spans="1:22" x14ac:dyDescent="0.3">
      <c r="A959">
        <v>958</v>
      </c>
      <c r="B959" s="1">
        <v>40586</v>
      </c>
      <c r="C959">
        <v>1</v>
      </c>
      <c r="D959">
        <v>0</v>
      </c>
      <c r="E959" t="str">
        <f>TEXT(Append1[[#This Row],[dteday]],"MMMM")</f>
        <v>February</v>
      </c>
      <c r="F959">
        <v>2</v>
      </c>
      <c r="G959">
        <v>12</v>
      </c>
      <c r="H959" t="b">
        <v>0</v>
      </c>
      <c r="I959" t="str">
        <f>TEXT(Append1[[#This Row],[dteday]],"DDDD")</f>
        <v>Saturday</v>
      </c>
      <c r="J959" t="str" cm="1">
        <f t="array" ref="J959">_xlfn.IFS(Append1[[#This Row],[weekday cnt]]=0,"Weekend",Append1[[#This Row],[weekday cnt]]=6,"Weekend",Append1[[#This Row],[weekday cnt]]&gt;0,"Weekday")</f>
        <v>Weekend</v>
      </c>
      <c r="K959">
        <v>6</v>
      </c>
      <c r="L959" t="str" cm="1">
        <f t="array" ref="L95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59">
        <v>1</v>
      </c>
      <c r="N959">
        <v>0.3</v>
      </c>
      <c r="O959">
        <f t="shared" si="10"/>
        <v>957</v>
      </c>
      <c r="P959">
        <f t="shared" si="11"/>
        <v>958</v>
      </c>
      <c r="Q959">
        <v>0.2727</v>
      </c>
      <c r="R959">
        <v>0.39</v>
      </c>
      <c r="S959">
        <v>0.4627</v>
      </c>
      <c r="T959">
        <v>27</v>
      </c>
      <c r="U959">
        <v>93</v>
      </c>
      <c r="V959">
        <v>120</v>
      </c>
    </row>
    <row r="960" spans="1:22" x14ac:dyDescent="0.3">
      <c r="A960">
        <v>959</v>
      </c>
      <c r="B960" s="1">
        <v>40586</v>
      </c>
      <c r="C960">
        <v>1</v>
      </c>
      <c r="D960">
        <v>0</v>
      </c>
      <c r="E960" t="str">
        <f>TEXT(Append1[[#This Row],[dteday]],"MMMM")</f>
        <v>February</v>
      </c>
      <c r="F960">
        <v>2</v>
      </c>
      <c r="G960">
        <v>13</v>
      </c>
      <c r="H960" t="b">
        <v>0</v>
      </c>
      <c r="I960" t="str">
        <f>TEXT(Append1[[#This Row],[dteday]],"DDDD")</f>
        <v>Saturday</v>
      </c>
      <c r="J960" t="str" cm="1">
        <f t="array" ref="J960">_xlfn.IFS(Append1[[#This Row],[weekday cnt]]=0,"Weekend",Append1[[#This Row],[weekday cnt]]=6,"Weekend",Append1[[#This Row],[weekday cnt]]&gt;0,"Weekday")</f>
        <v>Weekend</v>
      </c>
      <c r="K960">
        <v>6</v>
      </c>
      <c r="L960" t="str" cm="1">
        <f t="array" ref="L96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0">
        <v>1</v>
      </c>
      <c r="N960">
        <v>0.3</v>
      </c>
      <c r="O960">
        <f t="shared" si="10"/>
        <v>958</v>
      </c>
      <c r="P960">
        <f t="shared" si="11"/>
        <v>959</v>
      </c>
      <c r="Q960">
        <v>0.2727</v>
      </c>
      <c r="R960">
        <v>0.39</v>
      </c>
      <c r="S960">
        <v>0.41789999999999999</v>
      </c>
      <c r="T960">
        <v>32</v>
      </c>
      <c r="U960">
        <v>103</v>
      </c>
      <c r="V960">
        <v>135</v>
      </c>
    </row>
    <row r="961" spans="1:22" x14ac:dyDescent="0.3">
      <c r="A961">
        <v>960</v>
      </c>
      <c r="B961" s="1">
        <v>40586</v>
      </c>
      <c r="C961">
        <v>1</v>
      </c>
      <c r="D961">
        <v>0</v>
      </c>
      <c r="E961" t="str">
        <f>TEXT(Append1[[#This Row],[dteday]],"MMMM")</f>
        <v>February</v>
      </c>
      <c r="F961">
        <v>2</v>
      </c>
      <c r="G961">
        <v>14</v>
      </c>
      <c r="H961" t="b">
        <v>0</v>
      </c>
      <c r="I961" t="str">
        <f>TEXT(Append1[[#This Row],[dteday]],"DDDD")</f>
        <v>Saturday</v>
      </c>
      <c r="J961" t="str" cm="1">
        <f t="array" ref="J961">_xlfn.IFS(Append1[[#This Row],[weekday cnt]]=0,"Weekend",Append1[[#This Row],[weekday cnt]]=6,"Weekend",Append1[[#This Row],[weekday cnt]]&gt;0,"Weekday")</f>
        <v>Weekend</v>
      </c>
      <c r="K961">
        <v>6</v>
      </c>
      <c r="L961" t="str" cm="1">
        <f t="array" ref="L96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1">
        <v>1</v>
      </c>
      <c r="N961">
        <v>0.34</v>
      </c>
      <c r="O961">
        <f t="shared" si="10"/>
        <v>959</v>
      </c>
      <c r="P961">
        <f t="shared" si="11"/>
        <v>960</v>
      </c>
      <c r="Q961">
        <v>0.31819999999999998</v>
      </c>
      <c r="R961">
        <v>0.31</v>
      </c>
      <c r="S961">
        <v>0.28360000000000002</v>
      </c>
      <c r="T961">
        <v>30</v>
      </c>
      <c r="U961">
        <v>90</v>
      </c>
      <c r="V961">
        <v>120</v>
      </c>
    </row>
    <row r="962" spans="1:22" x14ac:dyDescent="0.3">
      <c r="A962">
        <v>961</v>
      </c>
      <c r="B962" s="1">
        <v>40586</v>
      </c>
      <c r="C962">
        <v>1</v>
      </c>
      <c r="D962">
        <v>0</v>
      </c>
      <c r="E962" t="str">
        <f>TEXT(Append1[[#This Row],[dteday]],"MMMM")</f>
        <v>February</v>
      </c>
      <c r="F962">
        <v>2</v>
      </c>
      <c r="G962">
        <v>15</v>
      </c>
      <c r="H962" t="b">
        <v>0</v>
      </c>
      <c r="I962" t="str">
        <f>TEXT(Append1[[#This Row],[dteday]],"DDDD")</f>
        <v>Saturday</v>
      </c>
      <c r="J962" t="str" cm="1">
        <f t="array" ref="J962">_xlfn.IFS(Append1[[#This Row],[weekday cnt]]=0,"Weekend",Append1[[#This Row],[weekday cnt]]=6,"Weekend",Append1[[#This Row],[weekday cnt]]&gt;0,"Weekday")</f>
        <v>Weekend</v>
      </c>
      <c r="K962">
        <v>6</v>
      </c>
      <c r="L962" t="str" cm="1">
        <f t="array" ref="L96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2">
        <v>1</v>
      </c>
      <c r="N962">
        <v>0.34</v>
      </c>
      <c r="O962">
        <f t="shared" si="10"/>
        <v>960</v>
      </c>
      <c r="P962">
        <f t="shared" si="11"/>
        <v>961</v>
      </c>
      <c r="Q962">
        <v>0.30299999999999999</v>
      </c>
      <c r="R962">
        <v>0.28999999999999998</v>
      </c>
      <c r="S962">
        <v>0.41789999999999999</v>
      </c>
      <c r="T962">
        <v>47</v>
      </c>
      <c r="U962">
        <v>127</v>
      </c>
      <c r="V962">
        <v>174</v>
      </c>
    </row>
    <row r="963" spans="1:22" x14ac:dyDescent="0.3">
      <c r="A963">
        <v>962</v>
      </c>
      <c r="B963" s="1">
        <v>40586</v>
      </c>
      <c r="C963">
        <v>1</v>
      </c>
      <c r="D963">
        <v>0</v>
      </c>
      <c r="E963" t="str">
        <f>TEXT(Append1[[#This Row],[dteday]],"MMMM")</f>
        <v>February</v>
      </c>
      <c r="F963">
        <v>2</v>
      </c>
      <c r="G963">
        <v>16</v>
      </c>
      <c r="H963" t="b">
        <v>0</v>
      </c>
      <c r="I963" t="str">
        <f>TEXT(Append1[[#This Row],[dteday]],"DDDD")</f>
        <v>Saturday</v>
      </c>
      <c r="J963" t="str" cm="1">
        <f t="array" ref="J963">_xlfn.IFS(Append1[[#This Row],[weekday cnt]]=0,"Weekend",Append1[[#This Row],[weekday cnt]]=6,"Weekend",Append1[[#This Row],[weekday cnt]]&gt;0,"Weekday")</f>
        <v>Weekend</v>
      </c>
      <c r="K963">
        <v>6</v>
      </c>
      <c r="L963" t="str" cm="1">
        <f t="array" ref="L96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3">
        <v>1</v>
      </c>
      <c r="N963">
        <v>0.34</v>
      </c>
      <c r="O963">
        <f t="shared" si="10"/>
        <v>961</v>
      </c>
      <c r="P963">
        <f t="shared" si="11"/>
        <v>962</v>
      </c>
      <c r="Q963">
        <v>0.30299999999999999</v>
      </c>
      <c r="R963">
        <v>0.28999999999999998</v>
      </c>
      <c r="S963">
        <v>0.41789999999999999</v>
      </c>
      <c r="T963">
        <v>42</v>
      </c>
      <c r="U963">
        <v>103</v>
      </c>
      <c r="V963">
        <v>145</v>
      </c>
    </row>
    <row r="964" spans="1:22" x14ac:dyDescent="0.3">
      <c r="A964">
        <v>963</v>
      </c>
      <c r="B964" s="1">
        <v>40586</v>
      </c>
      <c r="C964">
        <v>1</v>
      </c>
      <c r="D964">
        <v>0</v>
      </c>
      <c r="E964" t="str">
        <f>TEXT(Append1[[#This Row],[dteday]],"MMMM")</f>
        <v>February</v>
      </c>
      <c r="F964">
        <v>2</v>
      </c>
      <c r="G964">
        <v>17</v>
      </c>
      <c r="H964" t="b">
        <v>0</v>
      </c>
      <c r="I964" t="str">
        <f>TEXT(Append1[[#This Row],[dteday]],"DDDD")</f>
        <v>Saturday</v>
      </c>
      <c r="J964" t="str" cm="1">
        <f t="array" ref="J964">_xlfn.IFS(Append1[[#This Row],[weekday cnt]]=0,"Weekend",Append1[[#This Row],[weekday cnt]]=6,"Weekend",Append1[[#This Row],[weekday cnt]]&gt;0,"Weekday")</f>
        <v>Weekend</v>
      </c>
      <c r="K964">
        <v>6</v>
      </c>
      <c r="L964" t="str" cm="1">
        <f t="array" ref="L96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4">
        <v>1</v>
      </c>
      <c r="N964">
        <v>0.32</v>
      </c>
      <c r="O964">
        <f t="shared" si="10"/>
        <v>962</v>
      </c>
      <c r="P964">
        <f t="shared" si="11"/>
        <v>963</v>
      </c>
      <c r="Q964">
        <v>0.28789999999999999</v>
      </c>
      <c r="R964">
        <v>0.31</v>
      </c>
      <c r="S964">
        <v>0.52239999999999998</v>
      </c>
      <c r="T964">
        <v>24</v>
      </c>
      <c r="U964">
        <v>113</v>
      </c>
      <c r="V964">
        <v>137</v>
      </c>
    </row>
    <row r="965" spans="1:22" x14ac:dyDescent="0.3">
      <c r="A965">
        <v>964</v>
      </c>
      <c r="B965" s="1">
        <v>40586</v>
      </c>
      <c r="C965">
        <v>1</v>
      </c>
      <c r="D965">
        <v>0</v>
      </c>
      <c r="E965" t="str">
        <f>TEXT(Append1[[#This Row],[dteday]],"MMMM")</f>
        <v>February</v>
      </c>
      <c r="F965">
        <v>2</v>
      </c>
      <c r="G965">
        <v>18</v>
      </c>
      <c r="H965" t="b">
        <v>0</v>
      </c>
      <c r="I965" t="str">
        <f>TEXT(Append1[[#This Row],[dteday]],"DDDD")</f>
        <v>Saturday</v>
      </c>
      <c r="J965" t="str" cm="1">
        <f t="array" ref="J965">_xlfn.IFS(Append1[[#This Row],[weekday cnt]]=0,"Weekend",Append1[[#This Row],[weekday cnt]]=6,"Weekend",Append1[[#This Row],[weekday cnt]]&gt;0,"Weekday")</f>
        <v>Weekend</v>
      </c>
      <c r="K965">
        <v>6</v>
      </c>
      <c r="L965" t="str" cm="1">
        <f t="array" ref="L96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5">
        <v>1</v>
      </c>
      <c r="N965">
        <v>0.28000000000000003</v>
      </c>
      <c r="O965">
        <f t="shared" si="10"/>
        <v>963</v>
      </c>
      <c r="P965">
        <f t="shared" si="11"/>
        <v>964</v>
      </c>
      <c r="Q965">
        <v>0.2576</v>
      </c>
      <c r="R965">
        <v>0.38</v>
      </c>
      <c r="S965">
        <v>0.32840000000000003</v>
      </c>
      <c r="T965">
        <v>4</v>
      </c>
      <c r="U965">
        <v>60</v>
      </c>
      <c r="V965">
        <v>64</v>
      </c>
    </row>
    <row r="966" spans="1:22" x14ac:dyDescent="0.3">
      <c r="A966">
        <v>965</v>
      </c>
      <c r="B966" s="1">
        <v>40586</v>
      </c>
      <c r="C966">
        <v>1</v>
      </c>
      <c r="D966">
        <v>0</v>
      </c>
      <c r="E966" t="str">
        <f>TEXT(Append1[[#This Row],[dteday]],"MMMM")</f>
        <v>February</v>
      </c>
      <c r="F966">
        <v>2</v>
      </c>
      <c r="G966">
        <v>19</v>
      </c>
      <c r="H966" t="b">
        <v>0</v>
      </c>
      <c r="I966" t="str">
        <f>TEXT(Append1[[#This Row],[dteday]],"DDDD")</f>
        <v>Saturday</v>
      </c>
      <c r="J966" t="str" cm="1">
        <f t="array" ref="J966">_xlfn.IFS(Append1[[#This Row],[weekday cnt]]=0,"Weekend",Append1[[#This Row],[weekday cnt]]=6,"Weekend",Append1[[#This Row],[weekday cnt]]&gt;0,"Weekday")</f>
        <v>Weekend</v>
      </c>
      <c r="K966">
        <v>6</v>
      </c>
      <c r="L966" t="str" cm="1">
        <f t="array" ref="L96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6">
        <v>1</v>
      </c>
      <c r="N966">
        <v>0.28000000000000003</v>
      </c>
      <c r="O966">
        <f t="shared" si="10"/>
        <v>964</v>
      </c>
      <c r="P966">
        <f t="shared" si="11"/>
        <v>965</v>
      </c>
      <c r="Q966">
        <v>0.2727</v>
      </c>
      <c r="R966">
        <v>0.38</v>
      </c>
      <c r="S966">
        <v>0.16420000000000001</v>
      </c>
      <c r="T966">
        <v>2</v>
      </c>
      <c r="U966">
        <v>39</v>
      </c>
      <c r="V966">
        <v>41</v>
      </c>
    </row>
    <row r="967" spans="1:22" x14ac:dyDescent="0.3">
      <c r="A967">
        <v>966</v>
      </c>
      <c r="B967" s="1">
        <v>40586</v>
      </c>
      <c r="C967">
        <v>1</v>
      </c>
      <c r="D967">
        <v>0</v>
      </c>
      <c r="E967" t="str">
        <f>TEXT(Append1[[#This Row],[dteday]],"MMMM")</f>
        <v>February</v>
      </c>
      <c r="F967">
        <v>2</v>
      </c>
      <c r="G967">
        <v>20</v>
      </c>
      <c r="H967" t="b">
        <v>0</v>
      </c>
      <c r="I967" t="str">
        <f>TEXT(Append1[[#This Row],[dteday]],"DDDD")</f>
        <v>Saturday</v>
      </c>
      <c r="J967" t="str" cm="1">
        <f t="array" ref="J967">_xlfn.IFS(Append1[[#This Row],[weekday cnt]]=0,"Weekend",Append1[[#This Row],[weekday cnt]]=6,"Weekend",Append1[[#This Row],[weekday cnt]]&gt;0,"Weekday")</f>
        <v>Weekend</v>
      </c>
      <c r="K967">
        <v>6</v>
      </c>
      <c r="L967" t="str" cm="1">
        <f t="array" ref="L96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7">
        <v>1</v>
      </c>
      <c r="N967">
        <v>0.26</v>
      </c>
      <c r="O967">
        <f t="shared" si="10"/>
        <v>965</v>
      </c>
      <c r="P967">
        <f t="shared" si="11"/>
        <v>966</v>
      </c>
      <c r="Q967">
        <v>0.2576</v>
      </c>
      <c r="R967">
        <v>0.41</v>
      </c>
      <c r="S967">
        <v>0.22389999999999999</v>
      </c>
      <c r="T967">
        <v>1</v>
      </c>
      <c r="U967">
        <v>39</v>
      </c>
      <c r="V967">
        <v>40</v>
      </c>
    </row>
    <row r="968" spans="1:22" x14ac:dyDescent="0.3">
      <c r="A968">
        <v>967</v>
      </c>
      <c r="B968" s="1">
        <v>40586</v>
      </c>
      <c r="C968">
        <v>1</v>
      </c>
      <c r="D968">
        <v>0</v>
      </c>
      <c r="E968" t="str">
        <f>TEXT(Append1[[#This Row],[dteday]],"MMMM")</f>
        <v>February</v>
      </c>
      <c r="F968">
        <v>2</v>
      </c>
      <c r="G968">
        <v>21</v>
      </c>
      <c r="H968" t="b">
        <v>0</v>
      </c>
      <c r="I968" t="str">
        <f>TEXT(Append1[[#This Row],[dteday]],"DDDD")</f>
        <v>Saturday</v>
      </c>
      <c r="J968" t="str" cm="1">
        <f t="array" ref="J968">_xlfn.IFS(Append1[[#This Row],[weekday cnt]]=0,"Weekend",Append1[[#This Row],[weekday cnt]]=6,"Weekend",Append1[[#This Row],[weekday cnt]]&gt;0,"Weekday")</f>
        <v>Weekend</v>
      </c>
      <c r="K968">
        <v>6</v>
      </c>
      <c r="L968" t="str" cm="1">
        <f t="array" ref="L96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8">
        <v>1</v>
      </c>
      <c r="N968">
        <v>0.26</v>
      </c>
      <c r="O968">
        <f t="shared" si="10"/>
        <v>966</v>
      </c>
      <c r="P968">
        <f t="shared" si="11"/>
        <v>967</v>
      </c>
      <c r="Q968">
        <v>0.30299999999999999</v>
      </c>
      <c r="R968">
        <v>0.41</v>
      </c>
      <c r="S968">
        <v>0</v>
      </c>
      <c r="T968">
        <v>9</v>
      </c>
      <c r="U968">
        <v>42</v>
      </c>
      <c r="V968">
        <v>51</v>
      </c>
    </row>
    <row r="969" spans="1:22" x14ac:dyDescent="0.3">
      <c r="A969">
        <v>968</v>
      </c>
      <c r="B969" s="1">
        <v>40586</v>
      </c>
      <c r="C969">
        <v>1</v>
      </c>
      <c r="D969">
        <v>0</v>
      </c>
      <c r="E969" t="str">
        <f>TEXT(Append1[[#This Row],[dteday]],"MMMM")</f>
        <v>February</v>
      </c>
      <c r="F969">
        <v>2</v>
      </c>
      <c r="G969">
        <v>22</v>
      </c>
      <c r="H969" t="b">
        <v>0</v>
      </c>
      <c r="I969" t="str">
        <f>TEXT(Append1[[#This Row],[dteday]],"DDDD")</f>
        <v>Saturday</v>
      </c>
      <c r="J969" t="str" cm="1">
        <f t="array" ref="J969">_xlfn.IFS(Append1[[#This Row],[weekday cnt]]=0,"Weekend",Append1[[#This Row],[weekday cnt]]=6,"Weekend",Append1[[#This Row],[weekday cnt]]&gt;0,"Weekday")</f>
        <v>Weekend</v>
      </c>
      <c r="K969">
        <v>6</v>
      </c>
      <c r="L969" t="str" cm="1">
        <f t="array" ref="L96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69">
        <v>1</v>
      </c>
      <c r="N969">
        <v>0.24</v>
      </c>
      <c r="O969">
        <f t="shared" si="10"/>
        <v>967</v>
      </c>
      <c r="P969">
        <f t="shared" si="11"/>
        <v>968</v>
      </c>
      <c r="Q969">
        <v>0.2576</v>
      </c>
      <c r="R969">
        <v>0.44</v>
      </c>
      <c r="S969">
        <v>8.9599999999999999E-2</v>
      </c>
      <c r="T969">
        <v>6</v>
      </c>
      <c r="U969">
        <v>39</v>
      </c>
      <c r="V969">
        <v>45</v>
      </c>
    </row>
    <row r="970" spans="1:22" x14ac:dyDescent="0.3">
      <c r="A970">
        <v>969</v>
      </c>
      <c r="B970" s="1">
        <v>40586</v>
      </c>
      <c r="C970">
        <v>1</v>
      </c>
      <c r="D970">
        <v>0</v>
      </c>
      <c r="E970" t="str">
        <f>TEXT(Append1[[#This Row],[dteday]],"MMMM")</f>
        <v>February</v>
      </c>
      <c r="F970">
        <v>2</v>
      </c>
      <c r="G970">
        <v>23</v>
      </c>
      <c r="H970" t="b">
        <v>0</v>
      </c>
      <c r="I970" t="str">
        <f>TEXT(Append1[[#This Row],[dteday]],"DDDD")</f>
        <v>Saturday</v>
      </c>
      <c r="J970" t="str" cm="1">
        <f t="array" ref="J970">_xlfn.IFS(Append1[[#This Row],[weekday cnt]]=0,"Weekend",Append1[[#This Row],[weekday cnt]]=6,"Weekend",Append1[[#This Row],[weekday cnt]]&gt;0,"Weekday")</f>
        <v>Weekend</v>
      </c>
      <c r="K970">
        <v>6</v>
      </c>
      <c r="L970" t="str" cm="1">
        <f t="array" ref="L97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70">
        <v>1</v>
      </c>
      <c r="N970">
        <v>0.22</v>
      </c>
      <c r="O970">
        <f t="shared" si="10"/>
        <v>968</v>
      </c>
      <c r="P970">
        <f t="shared" si="11"/>
        <v>969</v>
      </c>
      <c r="Q970">
        <v>0.2273</v>
      </c>
      <c r="R970">
        <v>0.51</v>
      </c>
      <c r="S970">
        <v>0.1343</v>
      </c>
      <c r="T970">
        <v>1</v>
      </c>
      <c r="U970">
        <v>31</v>
      </c>
      <c r="V970">
        <v>32</v>
      </c>
    </row>
    <row r="971" spans="1:22" x14ac:dyDescent="0.3">
      <c r="A971">
        <v>970</v>
      </c>
      <c r="B971" s="1">
        <v>40587</v>
      </c>
      <c r="C971">
        <v>1</v>
      </c>
      <c r="D971">
        <v>0</v>
      </c>
      <c r="E971" t="str">
        <f>TEXT(Append1[[#This Row],[dteday]],"MMMM")</f>
        <v>February</v>
      </c>
      <c r="F971">
        <v>2</v>
      </c>
      <c r="G971">
        <v>0</v>
      </c>
      <c r="H971" t="b">
        <v>0</v>
      </c>
      <c r="I971" t="str">
        <f>TEXT(Append1[[#This Row],[dteday]],"DDDD")</f>
        <v>Sunday</v>
      </c>
      <c r="J971" t="str" cm="1">
        <f t="array" ref="J971">_xlfn.IFS(Append1[[#This Row],[weekday cnt]]=0,"Weekend",Append1[[#This Row],[weekday cnt]]=6,"Weekend",Append1[[#This Row],[weekday cnt]]&gt;0,"Weekday")</f>
        <v>Weekend</v>
      </c>
      <c r="K971">
        <v>0</v>
      </c>
      <c r="L971" t="str" cm="1">
        <f t="array" ref="L97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71">
        <v>1</v>
      </c>
      <c r="N971">
        <v>0.2</v>
      </c>
      <c r="O971">
        <f t="shared" si="10"/>
        <v>969</v>
      </c>
      <c r="P971">
        <f t="shared" si="11"/>
        <v>970</v>
      </c>
      <c r="Q971">
        <v>0.2273</v>
      </c>
      <c r="R971">
        <v>0.64</v>
      </c>
      <c r="S971">
        <v>0.1045</v>
      </c>
      <c r="T971">
        <v>5</v>
      </c>
      <c r="U971">
        <v>34</v>
      </c>
      <c r="V971">
        <v>39</v>
      </c>
    </row>
    <row r="972" spans="1:22" x14ac:dyDescent="0.3">
      <c r="A972">
        <v>971</v>
      </c>
      <c r="B972" s="1">
        <v>40587</v>
      </c>
      <c r="C972">
        <v>1</v>
      </c>
      <c r="D972">
        <v>0</v>
      </c>
      <c r="E972" t="str">
        <f>TEXT(Append1[[#This Row],[dteday]],"MMMM")</f>
        <v>February</v>
      </c>
      <c r="F972">
        <v>2</v>
      </c>
      <c r="G972">
        <v>1</v>
      </c>
      <c r="H972" t="b">
        <v>0</v>
      </c>
      <c r="I972" t="str">
        <f>TEXT(Append1[[#This Row],[dteday]],"DDDD")</f>
        <v>Sunday</v>
      </c>
      <c r="J972" t="str" cm="1">
        <f t="array" ref="J972">_xlfn.IFS(Append1[[#This Row],[weekday cnt]]=0,"Weekend",Append1[[#This Row],[weekday cnt]]=6,"Weekend",Append1[[#This Row],[weekday cnt]]&gt;0,"Weekday")</f>
        <v>Weekend</v>
      </c>
      <c r="K972">
        <v>0</v>
      </c>
      <c r="L972" t="str" cm="1">
        <f t="array" ref="L97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72">
        <v>1</v>
      </c>
      <c r="N972">
        <v>0.2</v>
      </c>
      <c r="O972">
        <f t="shared" si="10"/>
        <v>970</v>
      </c>
      <c r="P972">
        <f t="shared" si="11"/>
        <v>971</v>
      </c>
      <c r="Q972">
        <v>0.2273</v>
      </c>
      <c r="R972">
        <v>0.59</v>
      </c>
      <c r="S972">
        <v>8.9599999999999999E-2</v>
      </c>
      <c r="T972">
        <v>1</v>
      </c>
      <c r="U972">
        <v>23</v>
      </c>
      <c r="V972">
        <v>24</v>
      </c>
    </row>
    <row r="973" spans="1:22" x14ac:dyDescent="0.3">
      <c r="A973">
        <v>972</v>
      </c>
      <c r="B973" s="1">
        <v>40587</v>
      </c>
      <c r="C973">
        <v>1</v>
      </c>
      <c r="D973">
        <v>0</v>
      </c>
      <c r="E973" t="str">
        <f>TEXT(Append1[[#This Row],[dteday]],"MMMM")</f>
        <v>February</v>
      </c>
      <c r="F973">
        <v>2</v>
      </c>
      <c r="G973">
        <v>2</v>
      </c>
      <c r="H973" t="b">
        <v>0</v>
      </c>
      <c r="I973" t="str">
        <f>TEXT(Append1[[#This Row],[dteday]],"DDDD")</f>
        <v>Sunday</v>
      </c>
      <c r="J973" t="str" cm="1">
        <f t="array" ref="J973">_xlfn.IFS(Append1[[#This Row],[weekday cnt]]=0,"Weekend",Append1[[#This Row],[weekday cnt]]=6,"Weekend",Append1[[#This Row],[weekday cnt]]&gt;0,"Weekday")</f>
        <v>Weekend</v>
      </c>
      <c r="K973">
        <v>0</v>
      </c>
      <c r="L973" t="str" cm="1">
        <f t="array" ref="L97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73">
        <v>2</v>
      </c>
      <c r="N973">
        <v>0.2</v>
      </c>
      <c r="O973">
        <f t="shared" si="10"/>
        <v>971</v>
      </c>
      <c r="P973">
        <f t="shared" si="11"/>
        <v>972</v>
      </c>
      <c r="Q973">
        <v>0.2273</v>
      </c>
      <c r="R973">
        <v>0.75</v>
      </c>
      <c r="S973">
        <v>8.9599999999999999E-2</v>
      </c>
      <c r="T973">
        <v>1</v>
      </c>
      <c r="U973">
        <v>19</v>
      </c>
      <c r="V973">
        <v>20</v>
      </c>
    </row>
    <row r="974" spans="1:22" x14ac:dyDescent="0.3">
      <c r="A974">
        <v>973</v>
      </c>
      <c r="B974" s="1">
        <v>40587</v>
      </c>
      <c r="C974">
        <v>1</v>
      </c>
      <c r="D974">
        <v>0</v>
      </c>
      <c r="E974" t="str">
        <f>TEXT(Append1[[#This Row],[dteday]],"MMMM")</f>
        <v>February</v>
      </c>
      <c r="F974">
        <v>2</v>
      </c>
      <c r="G974">
        <v>3</v>
      </c>
      <c r="H974" t="b">
        <v>0</v>
      </c>
      <c r="I974" t="str">
        <f>TEXT(Append1[[#This Row],[dteday]],"DDDD")</f>
        <v>Sunday</v>
      </c>
      <c r="J974" t="str" cm="1">
        <f t="array" ref="J974">_xlfn.IFS(Append1[[#This Row],[weekday cnt]]=0,"Weekend",Append1[[#This Row],[weekday cnt]]=6,"Weekend",Append1[[#This Row],[weekday cnt]]&gt;0,"Weekday")</f>
        <v>Weekend</v>
      </c>
      <c r="K974">
        <v>0</v>
      </c>
      <c r="L974" t="str" cm="1">
        <f t="array" ref="L97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74">
        <v>2</v>
      </c>
      <c r="N974">
        <v>0.2</v>
      </c>
      <c r="O974">
        <f t="shared" si="10"/>
        <v>972</v>
      </c>
      <c r="P974">
        <f t="shared" si="11"/>
        <v>973</v>
      </c>
      <c r="Q974">
        <v>0.2273</v>
      </c>
      <c r="R974">
        <v>0.69</v>
      </c>
      <c r="S974">
        <v>0.1045</v>
      </c>
      <c r="T974">
        <v>4</v>
      </c>
      <c r="U974">
        <v>8</v>
      </c>
      <c r="V974">
        <v>12</v>
      </c>
    </row>
    <row r="975" spans="1:22" x14ac:dyDescent="0.3">
      <c r="A975">
        <v>974</v>
      </c>
      <c r="B975" s="1">
        <v>40587</v>
      </c>
      <c r="C975">
        <v>1</v>
      </c>
      <c r="D975">
        <v>0</v>
      </c>
      <c r="E975" t="str">
        <f>TEXT(Append1[[#This Row],[dteday]],"MMMM")</f>
        <v>February</v>
      </c>
      <c r="F975">
        <v>2</v>
      </c>
      <c r="G975">
        <v>4</v>
      </c>
      <c r="H975" t="b">
        <v>0</v>
      </c>
      <c r="I975" t="str">
        <f>TEXT(Append1[[#This Row],[dteday]],"DDDD")</f>
        <v>Sunday</v>
      </c>
      <c r="J975" t="str" cm="1">
        <f t="array" ref="J975">_xlfn.IFS(Append1[[#This Row],[weekday cnt]]=0,"Weekend",Append1[[#This Row],[weekday cnt]]=6,"Weekend",Append1[[#This Row],[weekday cnt]]&gt;0,"Weekday")</f>
        <v>Weekend</v>
      </c>
      <c r="K975">
        <v>0</v>
      </c>
      <c r="L975" t="str" cm="1">
        <f t="array" ref="L97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75">
        <v>2</v>
      </c>
      <c r="N975">
        <v>0.2</v>
      </c>
      <c r="O975">
        <f t="shared" si="10"/>
        <v>973</v>
      </c>
      <c r="P975">
        <f t="shared" si="11"/>
        <v>974</v>
      </c>
      <c r="Q975">
        <v>0.21210000000000001</v>
      </c>
      <c r="R975">
        <v>0.69</v>
      </c>
      <c r="S975">
        <v>0.16420000000000001</v>
      </c>
      <c r="T975">
        <v>0</v>
      </c>
      <c r="U975">
        <v>2</v>
      </c>
      <c r="V975">
        <v>2</v>
      </c>
    </row>
    <row r="976" spans="1:22" x14ac:dyDescent="0.3">
      <c r="A976">
        <v>975</v>
      </c>
      <c r="B976" s="1">
        <v>40587</v>
      </c>
      <c r="C976">
        <v>1</v>
      </c>
      <c r="D976">
        <v>0</v>
      </c>
      <c r="E976" t="str">
        <f>TEXT(Append1[[#This Row],[dteday]],"MMMM")</f>
        <v>February</v>
      </c>
      <c r="F976">
        <v>2</v>
      </c>
      <c r="G976">
        <v>6</v>
      </c>
      <c r="H976" t="b">
        <v>0</v>
      </c>
      <c r="I976" t="str">
        <f>TEXT(Append1[[#This Row],[dteday]],"DDDD")</f>
        <v>Sunday</v>
      </c>
      <c r="J976" t="str" cm="1">
        <f t="array" ref="J976">_xlfn.IFS(Append1[[#This Row],[weekday cnt]]=0,"Weekend",Append1[[#This Row],[weekday cnt]]=6,"Weekend",Append1[[#This Row],[weekday cnt]]&gt;0,"Weekday")</f>
        <v>Weekend</v>
      </c>
      <c r="K976">
        <v>0</v>
      </c>
      <c r="L976" t="str" cm="1">
        <f t="array" ref="L97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76">
        <v>2</v>
      </c>
      <c r="N976">
        <v>0.2</v>
      </c>
      <c r="O976">
        <f t="shared" si="10"/>
        <v>974</v>
      </c>
      <c r="P976">
        <f t="shared" si="11"/>
        <v>975</v>
      </c>
      <c r="Q976">
        <v>0.21210000000000001</v>
      </c>
      <c r="R976">
        <v>0.69</v>
      </c>
      <c r="S976">
        <v>0.1343</v>
      </c>
      <c r="T976">
        <v>2</v>
      </c>
      <c r="U976">
        <v>3</v>
      </c>
      <c r="V976">
        <v>5</v>
      </c>
    </row>
    <row r="977" spans="1:22" x14ac:dyDescent="0.3">
      <c r="A977">
        <v>976</v>
      </c>
      <c r="B977" s="1">
        <v>40587</v>
      </c>
      <c r="C977">
        <v>1</v>
      </c>
      <c r="D977">
        <v>0</v>
      </c>
      <c r="E977" t="str">
        <f>TEXT(Append1[[#This Row],[dteday]],"MMMM")</f>
        <v>February</v>
      </c>
      <c r="F977">
        <v>2</v>
      </c>
      <c r="G977">
        <v>7</v>
      </c>
      <c r="H977" t="b">
        <v>0</v>
      </c>
      <c r="I977" t="str">
        <f>TEXT(Append1[[#This Row],[dteday]],"DDDD")</f>
        <v>Sunday</v>
      </c>
      <c r="J977" t="str" cm="1">
        <f t="array" ref="J977">_xlfn.IFS(Append1[[#This Row],[weekday cnt]]=0,"Weekend",Append1[[#This Row],[weekday cnt]]=6,"Weekend",Append1[[#This Row],[weekday cnt]]&gt;0,"Weekday")</f>
        <v>Weekend</v>
      </c>
      <c r="K977">
        <v>0</v>
      </c>
      <c r="L977" t="str" cm="1">
        <f t="array" ref="L97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77">
        <v>2</v>
      </c>
      <c r="N977">
        <v>0.22</v>
      </c>
      <c r="O977">
        <f t="shared" si="10"/>
        <v>975</v>
      </c>
      <c r="P977">
        <f t="shared" si="11"/>
        <v>976</v>
      </c>
      <c r="Q977">
        <v>0.2727</v>
      </c>
      <c r="R977">
        <v>0.55000000000000004</v>
      </c>
      <c r="S977">
        <v>0</v>
      </c>
      <c r="T977">
        <v>0</v>
      </c>
      <c r="U977">
        <v>3</v>
      </c>
      <c r="V977">
        <v>3</v>
      </c>
    </row>
    <row r="978" spans="1:22" x14ac:dyDescent="0.3">
      <c r="A978">
        <v>977</v>
      </c>
      <c r="B978" s="1">
        <v>40587</v>
      </c>
      <c r="C978">
        <v>1</v>
      </c>
      <c r="D978">
        <v>0</v>
      </c>
      <c r="E978" t="str">
        <f>TEXT(Append1[[#This Row],[dteday]],"MMMM")</f>
        <v>February</v>
      </c>
      <c r="F978">
        <v>2</v>
      </c>
      <c r="G978">
        <v>8</v>
      </c>
      <c r="H978" t="b">
        <v>0</v>
      </c>
      <c r="I978" t="str">
        <f>TEXT(Append1[[#This Row],[dteday]],"DDDD")</f>
        <v>Sunday</v>
      </c>
      <c r="J978" t="str" cm="1">
        <f t="array" ref="J978">_xlfn.IFS(Append1[[#This Row],[weekday cnt]]=0,"Weekend",Append1[[#This Row],[weekday cnt]]=6,"Weekend",Append1[[#This Row],[weekday cnt]]&gt;0,"Weekday")</f>
        <v>Weekend</v>
      </c>
      <c r="K978">
        <v>0</v>
      </c>
      <c r="L978" t="str" cm="1">
        <f t="array" ref="L97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78">
        <v>2</v>
      </c>
      <c r="N978">
        <v>0.22</v>
      </c>
      <c r="O978">
        <f t="shared" si="10"/>
        <v>976</v>
      </c>
      <c r="P978">
        <f t="shared" si="11"/>
        <v>977</v>
      </c>
      <c r="Q978">
        <v>0.2273</v>
      </c>
      <c r="R978">
        <v>0.64</v>
      </c>
      <c r="S978">
        <v>0.19400000000000001</v>
      </c>
      <c r="T978">
        <v>1</v>
      </c>
      <c r="U978">
        <v>11</v>
      </c>
      <c r="V978">
        <v>12</v>
      </c>
    </row>
    <row r="979" spans="1:22" x14ac:dyDescent="0.3">
      <c r="A979">
        <v>978</v>
      </c>
      <c r="B979" s="1">
        <v>40587</v>
      </c>
      <c r="C979">
        <v>1</v>
      </c>
      <c r="D979">
        <v>0</v>
      </c>
      <c r="E979" t="str">
        <f>TEXT(Append1[[#This Row],[dteday]],"MMMM")</f>
        <v>February</v>
      </c>
      <c r="F979">
        <v>2</v>
      </c>
      <c r="G979">
        <v>9</v>
      </c>
      <c r="H979" t="b">
        <v>0</v>
      </c>
      <c r="I979" t="str">
        <f>TEXT(Append1[[#This Row],[dteday]],"DDDD")</f>
        <v>Sunday</v>
      </c>
      <c r="J979" t="str" cm="1">
        <f t="array" ref="J979">_xlfn.IFS(Append1[[#This Row],[weekday cnt]]=0,"Weekend",Append1[[#This Row],[weekday cnt]]=6,"Weekend",Append1[[#This Row],[weekday cnt]]&gt;0,"Weekday")</f>
        <v>Weekend</v>
      </c>
      <c r="K979">
        <v>0</v>
      </c>
      <c r="L979" t="str" cm="1">
        <f t="array" ref="L97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79">
        <v>2</v>
      </c>
      <c r="N979">
        <v>0.24</v>
      </c>
      <c r="O979">
        <f t="shared" si="10"/>
        <v>977</v>
      </c>
      <c r="P979">
        <f t="shared" si="11"/>
        <v>978</v>
      </c>
      <c r="Q979">
        <v>0.2273</v>
      </c>
      <c r="R979">
        <v>0.6</v>
      </c>
      <c r="S979">
        <v>0.22389999999999999</v>
      </c>
      <c r="T979">
        <v>12</v>
      </c>
      <c r="U979">
        <v>35</v>
      </c>
      <c r="V979">
        <v>47</v>
      </c>
    </row>
    <row r="980" spans="1:22" x14ac:dyDescent="0.3">
      <c r="A980">
        <v>979</v>
      </c>
      <c r="B980" s="1">
        <v>40587</v>
      </c>
      <c r="C980">
        <v>1</v>
      </c>
      <c r="D980">
        <v>0</v>
      </c>
      <c r="E980" t="str">
        <f>TEXT(Append1[[#This Row],[dteday]],"MMMM")</f>
        <v>February</v>
      </c>
      <c r="F980">
        <v>2</v>
      </c>
      <c r="G980">
        <v>10</v>
      </c>
      <c r="H980" t="b">
        <v>0</v>
      </c>
      <c r="I980" t="str">
        <f>TEXT(Append1[[#This Row],[dteday]],"DDDD")</f>
        <v>Sunday</v>
      </c>
      <c r="J980" t="str" cm="1">
        <f t="array" ref="J980">_xlfn.IFS(Append1[[#This Row],[weekday cnt]]=0,"Weekend",Append1[[#This Row],[weekday cnt]]=6,"Weekend",Append1[[#This Row],[weekday cnt]]&gt;0,"Weekday")</f>
        <v>Weekend</v>
      </c>
      <c r="K980">
        <v>0</v>
      </c>
      <c r="L980" t="str" cm="1">
        <f t="array" ref="L98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80">
        <v>1</v>
      </c>
      <c r="N980">
        <v>0.3</v>
      </c>
      <c r="O980">
        <f t="shared" si="10"/>
        <v>978</v>
      </c>
      <c r="P980">
        <f t="shared" si="11"/>
        <v>979</v>
      </c>
      <c r="Q980">
        <v>0.2727</v>
      </c>
      <c r="R980">
        <v>0.45</v>
      </c>
      <c r="S980">
        <v>0.32840000000000003</v>
      </c>
      <c r="T980">
        <v>19</v>
      </c>
      <c r="U980">
        <v>86</v>
      </c>
      <c r="V980">
        <v>105</v>
      </c>
    </row>
    <row r="981" spans="1:22" x14ac:dyDescent="0.3">
      <c r="A981">
        <v>980</v>
      </c>
      <c r="B981" s="1">
        <v>40587</v>
      </c>
      <c r="C981">
        <v>1</v>
      </c>
      <c r="D981">
        <v>0</v>
      </c>
      <c r="E981" t="str">
        <f>TEXT(Append1[[#This Row],[dteday]],"MMMM")</f>
        <v>February</v>
      </c>
      <c r="F981">
        <v>2</v>
      </c>
      <c r="G981">
        <v>11</v>
      </c>
      <c r="H981" t="b">
        <v>0</v>
      </c>
      <c r="I981" t="str">
        <f>TEXT(Append1[[#This Row],[dteday]],"DDDD")</f>
        <v>Sunday</v>
      </c>
      <c r="J981" t="str" cm="1">
        <f t="array" ref="J981">_xlfn.IFS(Append1[[#This Row],[weekday cnt]]=0,"Weekend",Append1[[#This Row],[weekday cnt]]=6,"Weekend",Append1[[#This Row],[weekday cnt]]&gt;0,"Weekday")</f>
        <v>Weekend</v>
      </c>
      <c r="K981">
        <v>0</v>
      </c>
      <c r="L981" t="str" cm="1">
        <f t="array" ref="L98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81">
        <v>1</v>
      </c>
      <c r="N981">
        <v>0.32</v>
      </c>
      <c r="O981">
        <f t="shared" si="10"/>
        <v>979</v>
      </c>
      <c r="P981">
        <f t="shared" si="11"/>
        <v>980</v>
      </c>
      <c r="Q981">
        <v>0.28789999999999999</v>
      </c>
      <c r="R981">
        <v>0.39</v>
      </c>
      <c r="S981">
        <v>0.44779999999999998</v>
      </c>
      <c r="T981">
        <v>26</v>
      </c>
      <c r="U981">
        <v>86</v>
      </c>
      <c r="V981">
        <v>112</v>
      </c>
    </row>
    <row r="982" spans="1:22" x14ac:dyDescent="0.3">
      <c r="A982">
        <v>981</v>
      </c>
      <c r="B982" s="1">
        <v>40587</v>
      </c>
      <c r="C982">
        <v>1</v>
      </c>
      <c r="D982">
        <v>0</v>
      </c>
      <c r="E982" t="str">
        <f>TEXT(Append1[[#This Row],[dteday]],"MMMM")</f>
        <v>February</v>
      </c>
      <c r="F982">
        <v>2</v>
      </c>
      <c r="G982">
        <v>12</v>
      </c>
      <c r="H982" t="b">
        <v>0</v>
      </c>
      <c r="I982" t="str">
        <f>TEXT(Append1[[#This Row],[dteday]],"DDDD")</f>
        <v>Sunday</v>
      </c>
      <c r="J982" t="str" cm="1">
        <f t="array" ref="J982">_xlfn.IFS(Append1[[#This Row],[weekday cnt]]=0,"Weekend",Append1[[#This Row],[weekday cnt]]=6,"Weekend",Append1[[#This Row],[weekday cnt]]&gt;0,"Weekday")</f>
        <v>Weekend</v>
      </c>
      <c r="K982">
        <v>0</v>
      </c>
      <c r="L982" t="str" cm="1">
        <f t="array" ref="L98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82">
        <v>1</v>
      </c>
      <c r="N982">
        <v>0.36</v>
      </c>
      <c r="O982">
        <f t="shared" si="10"/>
        <v>980</v>
      </c>
      <c r="P982">
        <f t="shared" si="11"/>
        <v>981</v>
      </c>
      <c r="Q982">
        <v>0.31819999999999998</v>
      </c>
      <c r="R982">
        <v>0.32</v>
      </c>
      <c r="S982">
        <v>0.4627</v>
      </c>
      <c r="T982">
        <v>58</v>
      </c>
      <c r="U982">
        <v>94</v>
      </c>
      <c r="V982">
        <v>152</v>
      </c>
    </row>
    <row r="983" spans="1:22" x14ac:dyDescent="0.3">
      <c r="A983">
        <v>982</v>
      </c>
      <c r="B983" s="1">
        <v>40587</v>
      </c>
      <c r="C983">
        <v>1</v>
      </c>
      <c r="D983">
        <v>0</v>
      </c>
      <c r="E983" t="str">
        <f>TEXT(Append1[[#This Row],[dteday]],"MMMM")</f>
        <v>February</v>
      </c>
      <c r="F983">
        <v>2</v>
      </c>
      <c r="G983">
        <v>13</v>
      </c>
      <c r="H983" t="b">
        <v>0</v>
      </c>
      <c r="I983" t="str">
        <f>TEXT(Append1[[#This Row],[dteday]],"DDDD")</f>
        <v>Sunday</v>
      </c>
      <c r="J983" t="str" cm="1">
        <f t="array" ref="J983">_xlfn.IFS(Append1[[#This Row],[weekday cnt]]=0,"Weekend",Append1[[#This Row],[weekday cnt]]=6,"Weekend",Append1[[#This Row],[weekday cnt]]&gt;0,"Weekday")</f>
        <v>Weekend</v>
      </c>
      <c r="K983">
        <v>0</v>
      </c>
      <c r="L983" t="str" cm="1">
        <f t="array" ref="L98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83">
        <v>1</v>
      </c>
      <c r="N983">
        <v>0.38</v>
      </c>
      <c r="O983">
        <f t="shared" si="10"/>
        <v>981</v>
      </c>
      <c r="P983">
        <f t="shared" si="11"/>
        <v>982</v>
      </c>
      <c r="Q983">
        <v>0.39389999999999997</v>
      </c>
      <c r="R983">
        <v>0.28999999999999998</v>
      </c>
      <c r="S983">
        <v>0.35820000000000002</v>
      </c>
      <c r="T983">
        <v>62</v>
      </c>
      <c r="U983">
        <v>92</v>
      </c>
      <c r="V983">
        <v>154</v>
      </c>
    </row>
    <row r="984" spans="1:22" x14ac:dyDescent="0.3">
      <c r="A984">
        <v>983</v>
      </c>
      <c r="B984" s="1">
        <v>40587</v>
      </c>
      <c r="C984">
        <v>1</v>
      </c>
      <c r="D984">
        <v>0</v>
      </c>
      <c r="E984" t="str">
        <f>TEXT(Append1[[#This Row],[dteday]],"MMMM")</f>
        <v>February</v>
      </c>
      <c r="F984">
        <v>2</v>
      </c>
      <c r="G984">
        <v>14</v>
      </c>
      <c r="H984" t="b">
        <v>0</v>
      </c>
      <c r="I984" t="str">
        <f>TEXT(Append1[[#This Row],[dteday]],"DDDD")</f>
        <v>Sunday</v>
      </c>
      <c r="J984" t="str" cm="1">
        <f t="array" ref="J984">_xlfn.IFS(Append1[[#This Row],[weekday cnt]]=0,"Weekend",Append1[[#This Row],[weekday cnt]]=6,"Weekend",Append1[[#This Row],[weekday cnt]]&gt;0,"Weekday")</f>
        <v>Weekend</v>
      </c>
      <c r="K984">
        <v>0</v>
      </c>
      <c r="L984" t="str" cm="1">
        <f t="array" ref="L98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84">
        <v>2</v>
      </c>
      <c r="N984">
        <v>0.4</v>
      </c>
      <c r="O984">
        <f t="shared" si="10"/>
        <v>982</v>
      </c>
      <c r="P984">
        <f t="shared" si="11"/>
        <v>983</v>
      </c>
      <c r="Q984">
        <v>0.40910000000000002</v>
      </c>
      <c r="R984">
        <v>0.3</v>
      </c>
      <c r="S984">
        <v>0.41789999999999999</v>
      </c>
      <c r="T984">
        <v>51</v>
      </c>
      <c r="U984">
        <v>110</v>
      </c>
      <c r="V984">
        <v>161</v>
      </c>
    </row>
    <row r="985" spans="1:22" x14ac:dyDescent="0.3">
      <c r="A985">
        <v>984</v>
      </c>
      <c r="B985" s="1">
        <v>40587</v>
      </c>
      <c r="C985">
        <v>1</v>
      </c>
      <c r="D985">
        <v>0</v>
      </c>
      <c r="E985" t="str">
        <f>TEXT(Append1[[#This Row],[dteday]],"MMMM")</f>
        <v>February</v>
      </c>
      <c r="F985">
        <v>2</v>
      </c>
      <c r="G985">
        <v>15</v>
      </c>
      <c r="H985" t="b">
        <v>0</v>
      </c>
      <c r="I985" t="str">
        <f>TEXT(Append1[[#This Row],[dteday]],"DDDD")</f>
        <v>Sunday</v>
      </c>
      <c r="J985" t="str" cm="1">
        <f t="array" ref="J985">_xlfn.IFS(Append1[[#This Row],[weekday cnt]]=0,"Weekend",Append1[[#This Row],[weekday cnt]]=6,"Weekend",Append1[[#This Row],[weekday cnt]]&gt;0,"Weekday")</f>
        <v>Weekend</v>
      </c>
      <c r="K985">
        <v>0</v>
      </c>
      <c r="L985" t="str" cm="1">
        <f t="array" ref="L98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85">
        <v>2</v>
      </c>
      <c r="N985">
        <v>0.4</v>
      </c>
      <c r="O985">
        <f t="shared" si="10"/>
        <v>983</v>
      </c>
      <c r="P985">
        <f t="shared" si="11"/>
        <v>984</v>
      </c>
      <c r="Q985">
        <v>0.40910000000000002</v>
      </c>
      <c r="R985">
        <v>0.3</v>
      </c>
      <c r="S985">
        <v>0.29849999999999999</v>
      </c>
      <c r="T985">
        <v>40</v>
      </c>
      <c r="U985">
        <v>122</v>
      </c>
      <c r="V985">
        <v>162</v>
      </c>
    </row>
    <row r="986" spans="1:22" x14ac:dyDescent="0.3">
      <c r="A986">
        <v>985</v>
      </c>
      <c r="B986" s="1">
        <v>40587</v>
      </c>
      <c r="C986">
        <v>1</v>
      </c>
      <c r="D986">
        <v>0</v>
      </c>
      <c r="E986" t="str">
        <f>TEXT(Append1[[#This Row],[dteday]],"MMMM")</f>
        <v>February</v>
      </c>
      <c r="F986">
        <v>2</v>
      </c>
      <c r="G986">
        <v>16</v>
      </c>
      <c r="H986" t="b">
        <v>0</v>
      </c>
      <c r="I986" t="str">
        <f>TEXT(Append1[[#This Row],[dteday]],"DDDD")</f>
        <v>Sunday</v>
      </c>
      <c r="J986" t="str" cm="1">
        <f t="array" ref="J986">_xlfn.IFS(Append1[[#This Row],[weekday cnt]]=0,"Weekend",Append1[[#This Row],[weekday cnt]]=6,"Weekend",Append1[[#This Row],[weekday cnt]]&gt;0,"Weekday")</f>
        <v>Weekend</v>
      </c>
      <c r="K986">
        <v>0</v>
      </c>
      <c r="L986" t="str" cm="1">
        <f t="array" ref="L98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Light Rain or Snow</v>
      </c>
      <c r="M986">
        <v>2</v>
      </c>
      <c r="N986">
        <v>0.42</v>
      </c>
      <c r="O986">
        <f t="shared" si="10"/>
        <v>984</v>
      </c>
      <c r="P986">
        <f t="shared" si="11"/>
        <v>985</v>
      </c>
      <c r="Q986">
        <v>0.42420000000000002</v>
      </c>
      <c r="R986">
        <v>0.28000000000000003</v>
      </c>
      <c r="S986">
        <v>0.32840000000000003</v>
      </c>
      <c r="T986">
        <v>28</v>
      </c>
      <c r="U986">
        <v>106</v>
      </c>
      <c r="V986">
        <v>134</v>
      </c>
    </row>
    <row r="987" spans="1:22" x14ac:dyDescent="0.3">
      <c r="A987">
        <v>986</v>
      </c>
      <c r="B987" s="1">
        <v>40587</v>
      </c>
      <c r="C987">
        <v>1</v>
      </c>
      <c r="D987">
        <v>0</v>
      </c>
      <c r="E987" t="str">
        <f>TEXT(Append1[[#This Row],[dteday]],"MMMM")</f>
        <v>February</v>
      </c>
      <c r="F987">
        <v>2</v>
      </c>
      <c r="G987">
        <v>17</v>
      </c>
      <c r="H987" t="b">
        <v>0</v>
      </c>
      <c r="I987" t="str">
        <f>TEXT(Append1[[#This Row],[dteday]],"DDDD")</f>
        <v>Sunday</v>
      </c>
      <c r="J987" t="str" cm="1">
        <f t="array" ref="J987">_xlfn.IFS(Append1[[#This Row],[weekday cnt]]=0,"Weekend",Append1[[#This Row],[weekday cnt]]=6,"Weekend",Append1[[#This Row],[weekday cnt]]&gt;0,"Weekday")</f>
        <v>Weekend</v>
      </c>
      <c r="K987">
        <v>0</v>
      </c>
      <c r="L987" t="str" cm="1">
        <f t="array" ref="L98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87">
        <v>1</v>
      </c>
      <c r="N987">
        <v>0.42</v>
      </c>
      <c r="O987">
        <f t="shared" si="10"/>
        <v>985</v>
      </c>
      <c r="P987">
        <f t="shared" si="11"/>
        <v>986</v>
      </c>
      <c r="Q987">
        <v>0.42420000000000002</v>
      </c>
      <c r="R987">
        <v>0.28000000000000003</v>
      </c>
      <c r="S987">
        <v>0.32840000000000003</v>
      </c>
      <c r="T987">
        <v>30</v>
      </c>
      <c r="U987">
        <v>95</v>
      </c>
      <c r="V987">
        <v>125</v>
      </c>
    </row>
    <row r="988" spans="1:22" x14ac:dyDescent="0.3">
      <c r="A988">
        <v>987</v>
      </c>
      <c r="B988" s="1">
        <v>40587</v>
      </c>
      <c r="C988">
        <v>1</v>
      </c>
      <c r="D988">
        <v>0</v>
      </c>
      <c r="E988" t="str">
        <f>TEXT(Append1[[#This Row],[dteday]],"MMMM")</f>
        <v>February</v>
      </c>
      <c r="F988">
        <v>2</v>
      </c>
      <c r="G988">
        <v>18</v>
      </c>
      <c r="H988" t="b">
        <v>0</v>
      </c>
      <c r="I988" t="str">
        <f>TEXT(Append1[[#This Row],[dteday]],"DDDD")</f>
        <v>Sunday</v>
      </c>
      <c r="J988" t="str" cm="1">
        <f t="array" ref="J988">_xlfn.IFS(Append1[[#This Row],[weekday cnt]]=0,"Weekend",Append1[[#This Row],[weekday cnt]]=6,"Weekend",Append1[[#This Row],[weekday cnt]]&gt;0,"Weekday")</f>
        <v>Weekend</v>
      </c>
      <c r="K988">
        <v>0</v>
      </c>
      <c r="L988" t="str" cm="1">
        <f t="array" ref="L98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88">
        <v>1</v>
      </c>
      <c r="N988">
        <v>0.4</v>
      </c>
      <c r="O988">
        <f t="shared" si="10"/>
        <v>986</v>
      </c>
      <c r="P988">
        <f t="shared" si="11"/>
        <v>987</v>
      </c>
      <c r="Q988">
        <v>0.40910000000000002</v>
      </c>
      <c r="R988">
        <v>0.32</v>
      </c>
      <c r="S988">
        <v>0.29849999999999999</v>
      </c>
      <c r="T988">
        <v>17</v>
      </c>
      <c r="U988">
        <v>78</v>
      </c>
      <c r="V988">
        <v>95</v>
      </c>
    </row>
    <row r="989" spans="1:22" x14ac:dyDescent="0.3">
      <c r="A989">
        <v>988</v>
      </c>
      <c r="B989" s="1">
        <v>40587</v>
      </c>
      <c r="C989">
        <v>1</v>
      </c>
      <c r="D989">
        <v>0</v>
      </c>
      <c r="E989" t="str">
        <f>TEXT(Append1[[#This Row],[dteday]],"MMMM")</f>
        <v>February</v>
      </c>
      <c r="F989">
        <v>2</v>
      </c>
      <c r="G989">
        <v>19</v>
      </c>
      <c r="H989" t="b">
        <v>0</v>
      </c>
      <c r="I989" t="str">
        <f>TEXT(Append1[[#This Row],[dteday]],"DDDD")</f>
        <v>Sunday</v>
      </c>
      <c r="J989" t="str" cm="1">
        <f t="array" ref="J989">_xlfn.IFS(Append1[[#This Row],[weekday cnt]]=0,"Weekend",Append1[[#This Row],[weekday cnt]]=6,"Weekend",Append1[[#This Row],[weekday cnt]]&gt;0,"Weekday")</f>
        <v>Weekend</v>
      </c>
      <c r="K989">
        <v>0</v>
      </c>
      <c r="L989" t="str" cm="1">
        <f t="array" ref="L98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89">
        <v>1</v>
      </c>
      <c r="N989">
        <v>0.4</v>
      </c>
      <c r="O989">
        <f t="shared" si="10"/>
        <v>987</v>
      </c>
      <c r="P989">
        <f t="shared" si="11"/>
        <v>988</v>
      </c>
      <c r="Q989">
        <v>0.40910000000000002</v>
      </c>
      <c r="R989">
        <v>0.35</v>
      </c>
      <c r="S989">
        <v>0.28360000000000002</v>
      </c>
      <c r="T989">
        <v>11</v>
      </c>
      <c r="U989">
        <v>50</v>
      </c>
      <c r="V989">
        <v>61</v>
      </c>
    </row>
    <row r="990" spans="1:22" x14ac:dyDescent="0.3">
      <c r="A990">
        <v>989</v>
      </c>
      <c r="B990" s="1">
        <v>40587</v>
      </c>
      <c r="C990">
        <v>1</v>
      </c>
      <c r="D990">
        <v>0</v>
      </c>
      <c r="E990" t="str">
        <f>TEXT(Append1[[#This Row],[dteday]],"MMMM")</f>
        <v>February</v>
      </c>
      <c r="F990">
        <v>2</v>
      </c>
      <c r="G990">
        <v>20</v>
      </c>
      <c r="H990" t="b">
        <v>0</v>
      </c>
      <c r="I990" t="str">
        <f>TEXT(Append1[[#This Row],[dteday]],"DDDD")</f>
        <v>Sunday</v>
      </c>
      <c r="J990" t="str" cm="1">
        <f t="array" ref="J990">_xlfn.IFS(Append1[[#This Row],[weekday cnt]]=0,"Weekend",Append1[[#This Row],[weekday cnt]]=6,"Weekend",Append1[[#This Row],[weekday cnt]]&gt;0,"Weekday")</f>
        <v>Weekend</v>
      </c>
      <c r="K990">
        <v>0</v>
      </c>
      <c r="L990" t="str" cm="1">
        <f t="array" ref="L99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0">
        <v>1</v>
      </c>
      <c r="N990">
        <v>0.4</v>
      </c>
      <c r="O990">
        <f t="shared" si="10"/>
        <v>988</v>
      </c>
      <c r="P990">
        <f t="shared" si="11"/>
        <v>989</v>
      </c>
      <c r="Q990">
        <v>0.40910000000000002</v>
      </c>
      <c r="R990">
        <v>0.35</v>
      </c>
      <c r="S990">
        <v>0.32840000000000003</v>
      </c>
      <c r="T990">
        <v>15</v>
      </c>
      <c r="U990">
        <v>32</v>
      </c>
      <c r="V990">
        <v>47</v>
      </c>
    </row>
    <row r="991" spans="1:22" x14ac:dyDescent="0.3">
      <c r="A991">
        <v>990</v>
      </c>
      <c r="B991" s="1">
        <v>40587</v>
      </c>
      <c r="C991">
        <v>1</v>
      </c>
      <c r="D991">
        <v>0</v>
      </c>
      <c r="E991" t="str">
        <f>TEXT(Append1[[#This Row],[dteday]],"MMMM")</f>
        <v>February</v>
      </c>
      <c r="F991">
        <v>2</v>
      </c>
      <c r="G991">
        <v>21</v>
      </c>
      <c r="H991" t="b">
        <v>0</v>
      </c>
      <c r="I991" t="str">
        <f>TEXT(Append1[[#This Row],[dteday]],"DDDD")</f>
        <v>Sunday</v>
      </c>
      <c r="J991" t="str" cm="1">
        <f t="array" ref="J991">_xlfn.IFS(Append1[[#This Row],[weekday cnt]]=0,"Weekend",Append1[[#This Row],[weekday cnt]]=6,"Weekend",Append1[[#This Row],[weekday cnt]]&gt;0,"Weekday")</f>
        <v>Weekend</v>
      </c>
      <c r="K991">
        <v>0</v>
      </c>
      <c r="L991" t="str" cm="1">
        <f t="array" ref="L99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1">
        <v>1</v>
      </c>
      <c r="N991">
        <v>0.4</v>
      </c>
      <c r="O991">
        <f t="shared" si="10"/>
        <v>989</v>
      </c>
      <c r="P991">
        <f t="shared" si="11"/>
        <v>990</v>
      </c>
      <c r="Q991">
        <v>0.40910000000000002</v>
      </c>
      <c r="R991">
        <v>0.35</v>
      </c>
      <c r="S991">
        <v>0.35820000000000002</v>
      </c>
      <c r="T991">
        <v>6</v>
      </c>
      <c r="U991">
        <v>45</v>
      </c>
      <c r="V991">
        <v>51</v>
      </c>
    </row>
    <row r="992" spans="1:22" x14ac:dyDescent="0.3">
      <c r="A992">
        <v>991</v>
      </c>
      <c r="B992" s="1">
        <v>40587</v>
      </c>
      <c r="C992">
        <v>1</v>
      </c>
      <c r="D992">
        <v>0</v>
      </c>
      <c r="E992" t="str">
        <f>TEXT(Append1[[#This Row],[dteday]],"MMMM")</f>
        <v>February</v>
      </c>
      <c r="F992">
        <v>2</v>
      </c>
      <c r="G992">
        <v>22</v>
      </c>
      <c r="H992" t="b">
        <v>0</v>
      </c>
      <c r="I992" t="str">
        <f>TEXT(Append1[[#This Row],[dteday]],"DDDD")</f>
        <v>Sunday</v>
      </c>
      <c r="J992" t="str" cm="1">
        <f t="array" ref="J992">_xlfn.IFS(Append1[[#This Row],[weekday cnt]]=0,"Weekend",Append1[[#This Row],[weekday cnt]]=6,"Weekend",Append1[[#This Row],[weekday cnt]]&gt;0,"Weekday")</f>
        <v>Weekend</v>
      </c>
      <c r="K992">
        <v>0</v>
      </c>
      <c r="L992" t="str" cm="1">
        <f t="array" ref="L992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2">
        <v>1</v>
      </c>
      <c r="N992">
        <v>0.4</v>
      </c>
      <c r="O992">
        <f t="shared" si="10"/>
        <v>990</v>
      </c>
      <c r="P992">
        <f t="shared" si="11"/>
        <v>991</v>
      </c>
      <c r="Q992">
        <v>0.40910000000000002</v>
      </c>
      <c r="R992">
        <v>0.35</v>
      </c>
      <c r="S992">
        <v>0.29849999999999999</v>
      </c>
      <c r="T992">
        <v>5</v>
      </c>
      <c r="U992">
        <v>31</v>
      </c>
      <c r="V992">
        <v>36</v>
      </c>
    </row>
    <row r="993" spans="1:22" x14ac:dyDescent="0.3">
      <c r="A993">
        <v>992</v>
      </c>
      <c r="B993" s="1">
        <v>40587</v>
      </c>
      <c r="C993">
        <v>1</v>
      </c>
      <c r="D993">
        <v>0</v>
      </c>
      <c r="E993" t="str">
        <f>TEXT(Append1[[#This Row],[dteday]],"MMMM")</f>
        <v>February</v>
      </c>
      <c r="F993">
        <v>2</v>
      </c>
      <c r="G993">
        <v>23</v>
      </c>
      <c r="H993" t="b">
        <v>0</v>
      </c>
      <c r="I993" t="str">
        <f>TEXT(Append1[[#This Row],[dteday]],"DDDD")</f>
        <v>Sunday</v>
      </c>
      <c r="J993" t="str" cm="1">
        <f t="array" ref="J993">_xlfn.IFS(Append1[[#This Row],[weekday cnt]]=0,"Weekend",Append1[[#This Row],[weekday cnt]]=6,"Weekend",Append1[[#This Row],[weekday cnt]]&gt;0,"Weekday")</f>
        <v>Weekend</v>
      </c>
      <c r="K993">
        <v>0</v>
      </c>
      <c r="L993" t="str" cm="1">
        <f t="array" ref="L993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3">
        <v>1</v>
      </c>
      <c r="N993">
        <v>0.4</v>
      </c>
      <c r="O993">
        <f t="shared" si="10"/>
        <v>991</v>
      </c>
      <c r="P993">
        <f t="shared" si="11"/>
        <v>992</v>
      </c>
      <c r="Q993">
        <v>0.40910000000000002</v>
      </c>
      <c r="R993">
        <v>0.35</v>
      </c>
      <c r="S993">
        <v>0.35820000000000002</v>
      </c>
      <c r="T993">
        <v>3</v>
      </c>
      <c r="U993">
        <v>27</v>
      </c>
      <c r="V993">
        <v>30</v>
      </c>
    </row>
    <row r="994" spans="1:22" x14ac:dyDescent="0.3">
      <c r="A994">
        <v>993</v>
      </c>
      <c r="B994" s="1">
        <v>40588</v>
      </c>
      <c r="C994">
        <v>1</v>
      </c>
      <c r="D994">
        <v>0</v>
      </c>
      <c r="E994" t="str">
        <f>TEXT(Append1[[#This Row],[dteday]],"MMMM")</f>
        <v>February</v>
      </c>
      <c r="F994">
        <v>2</v>
      </c>
      <c r="G994">
        <v>0</v>
      </c>
      <c r="H994" t="b">
        <v>0</v>
      </c>
      <c r="I994" t="str">
        <f>TEXT(Append1[[#This Row],[dteday]],"DDDD")</f>
        <v>Monday</v>
      </c>
      <c r="J994" t="str" cm="1">
        <f t="array" ref="J994">_xlfn.IFS(Append1[[#This Row],[weekday cnt]]=0,"Weekend",Append1[[#This Row],[weekday cnt]]=6,"Weekend",Append1[[#This Row],[weekday cnt]]&gt;0,"Weekday")</f>
        <v>Weekday</v>
      </c>
      <c r="K994">
        <v>1</v>
      </c>
      <c r="L994" t="str" cm="1">
        <f t="array" ref="L994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4">
        <v>1</v>
      </c>
      <c r="N994">
        <v>0.38</v>
      </c>
      <c r="O994">
        <f t="shared" si="10"/>
        <v>992</v>
      </c>
      <c r="P994">
        <f t="shared" si="11"/>
        <v>993</v>
      </c>
      <c r="Q994">
        <v>0.39389999999999997</v>
      </c>
      <c r="R994">
        <v>0.37</v>
      </c>
      <c r="S994">
        <v>0.35820000000000002</v>
      </c>
      <c r="T994">
        <v>3</v>
      </c>
      <c r="U994">
        <v>8</v>
      </c>
      <c r="V994">
        <v>11</v>
      </c>
    </row>
    <row r="995" spans="1:22" x14ac:dyDescent="0.3">
      <c r="A995">
        <v>994</v>
      </c>
      <c r="B995" s="1">
        <v>40588</v>
      </c>
      <c r="C995">
        <v>1</v>
      </c>
      <c r="D995">
        <v>0</v>
      </c>
      <c r="E995" t="str">
        <f>TEXT(Append1[[#This Row],[dteday]],"MMMM")</f>
        <v>February</v>
      </c>
      <c r="F995">
        <v>2</v>
      </c>
      <c r="G995">
        <v>1</v>
      </c>
      <c r="H995" t="b">
        <v>0</v>
      </c>
      <c r="I995" t="str">
        <f>TEXT(Append1[[#This Row],[dteday]],"DDDD")</f>
        <v>Monday</v>
      </c>
      <c r="J995" t="str" cm="1">
        <f t="array" ref="J995">_xlfn.IFS(Append1[[#This Row],[weekday cnt]]=0,"Weekend",Append1[[#This Row],[weekday cnt]]=6,"Weekend",Append1[[#This Row],[weekday cnt]]&gt;0,"Weekday")</f>
        <v>Weekday</v>
      </c>
      <c r="K995">
        <v>1</v>
      </c>
      <c r="L995" t="str" cm="1">
        <f t="array" ref="L995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5">
        <v>1</v>
      </c>
      <c r="N995">
        <v>0.38</v>
      </c>
      <c r="O995">
        <f t="shared" si="10"/>
        <v>993</v>
      </c>
      <c r="P995">
        <f t="shared" si="11"/>
        <v>994</v>
      </c>
      <c r="Q995">
        <v>0.39389999999999997</v>
      </c>
      <c r="R995">
        <v>0.37</v>
      </c>
      <c r="S995">
        <v>0.35820000000000002</v>
      </c>
      <c r="T995">
        <v>1</v>
      </c>
      <c r="U995">
        <v>6</v>
      </c>
      <c r="V995">
        <v>7</v>
      </c>
    </row>
    <row r="996" spans="1:22" x14ac:dyDescent="0.3">
      <c r="A996">
        <v>995</v>
      </c>
      <c r="B996" s="1">
        <v>40588</v>
      </c>
      <c r="C996">
        <v>1</v>
      </c>
      <c r="D996">
        <v>0</v>
      </c>
      <c r="E996" t="str">
        <f>TEXT(Append1[[#This Row],[dteday]],"MMMM")</f>
        <v>February</v>
      </c>
      <c r="F996">
        <v>2</v>
      </c>
      <c r="G996">
        <v>2</v>
      </c>
      <c r="H996" t="b">
        <v>0</v>
      </c>
      <c r="I996" t="str">
        <f>TEXT(Append1[[#This Row],[dteday]],"DDDD")</f>
        <v>Monday</v>
      </c>
      <c r="J996" t="str" cm="1">
        <f t="array" ref="J996">_xlfn.IFS(Append1[[#This Row],[weekday cnt]]=0,"Weekend",Append1[[#This Row],[weekday cnt]]=6,"Weekend",Append1[[#This Row],[weekday cnt]]&gt;0,"Weekday")</f>
        <v>Weekday</v>
      </c>
      <c r="K996">
        <v>1</v>
      </c>
      <c r="L996" t="str" cm="1">
        <f t="array" ref="L996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6">
        <v>1</v>
      </c>
      <c r="N996">
        <v>0.36</v>
      </c>
      <c r="O996">
        <f t="shared" si="10"/>
        <v>994</v>
      </c>
      <c r="P996">
        <f t="shared" si="11"/>
        <v>995</v>
      </c>
      <c r="Q996">
        <v>0.33329999999999999</v>
      </c>
      <c r="R996">
        <v>0.4</v>
      </c>
      <c r="S996">
        <v>0.29849999999999999</v>
      </c>
      <c r="T996">
        <v>0</v>
      </c>
      <c r="U996">
        <v>2</v>
      </c>
      <c r="V996">
        <v>2</v>
      </c>
    </row>
    <row r="997" spans="1:22" x14ac:dyDescent="0.3">
      <c r="A997">
        <v>996</v>
      </c>
      <c r="B997" s="1">
        <v>40588</v>
      </c>
      <c r="C997">
        <v>1</v>
      </c>
      <c r="D997">
        <v>0</v>
      </c>
      <c r="E997" t="str">
        <f>TEXT(Append1[[#This Row],[dteday]],"MMMM")</f>
        <v>February</v>
      </c>
      <c r="F997">
        <v>2</v>
      </c>
      <c r="G997">
        <v>3</v>
      </c>
      <c r="H997" t="b">
        <v>0</v>
      </c>
      <c r="I997" t="str">
        <f>TEXT(Append1[[#This Row],[dteday]],"DDDD")</f>
        <v>Monday</v>
      </c>
      <c r="J997" t="str" cm="1">
        <f t="array" ref="J997">_xlfn.IFS(Append1[[#This Row],[weekday cnt]]=0,"Weekend",Append1[[#This Row],[weekday cnt]]=6,"Weekend",Append1[[#This Row],[weekday cnt]]&gt;0,"Weekday")</f>
        <v>Weekday</v>
      </c>
      <c r="K997">
        <v>1</v>
      </c>
      <c r="L997" t="str" cm="1">
        <f t="array" ref="L997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7">
        <v>1</v>
      </c>
      <c r="N997">
        <v>0.34</v>
      </c>
      <c r="O997">
        <f t="shared" ref="O997:O1001" si="12">O996+1</f>
        <v>995</v>
      </c>
      <c r="P997">
        <f t="shared" ref="P997:P1001" si="13">P996+1</f>
        <v>996</v>
      </c>
      <c r="Q997">
        <v>0.31819999999999998</v>
      </c>
      <c r="R997">
        <v>0.46</v>
      </c>
      <c r="S997">
        <v>0.22389999999999999</v>
      </c>
      <c r="T997">
        <v>1</v>
      </c>
      <c r="U997">
        <v>1</v>
      </c>
      <c r="V997">
        <v>2</v>
      </c>
    </row>
    <row r="998" spans="1:22" x14ac:dyDescent="0.3">
      <c r="A998">
        <v>997</v>
      </c>
      <c r="B998" s="1">
        <v>40588</v>
      </c>
      <c r="C998">
        <v>1</v>
      </c>
      <c r="D998">
        <v>0</v>
      </c>
      <c r="E998" t="str">
        <f>TEXT(Append1[[#This Row],[dteday]],"MMMM")</f>
        <v>February</v>
      </c>
      <c r="F998">
        <v>2</v>
      </c>
      <c r="G998">
        <v>4</v>
      </c>
      <c r="H998" t="b">
        <v>0</v>
      </c>
      <c r="I998" t="str">
        <f>TEXT(Append1[[#This Row],[dteday]],"DDDD")</f>
        <v>Monday</v>
      </c>
      <c r="J998" t="str" cm="1">
        <f t="array" ref="J998">_xlfn.IFS(Append1[[#This Row],[weekday cnt]]=0,"Weekend",Append1[[#This Row],[weekday cnt]]=6,"Weekend",Append1[[#This Row],[weekday cnt]]&gt;0,"Weekday")</f>
        <v>Weekday</v>
      </c>
      <c r="K998">
        <v>1</v>
      </c>
      <c r="L998" t="str" cm="1">
        <f t="array" ref="L998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8">
        <v>1</v>
      </c>
      <c r="N998">
        <v>0.32</v>
      </c>
      <c r="O998">
        <f t="shared" si="12"/>
        <v>996</v>
      </c>
      <c r="P998">
        <f t="shared" si="13"/>
        <v>997</v>
      </c>
      <c r="Q998">
        <v>0.30299999999999999</v>
      </c>
      <c r="R998">
        <v>0.53</v>
      </c>
      <c r="S998">
        <v>0.28360000000000002</v>
      </c>
      <c r="T998">
        <v>0</v>
      </c>
      <c r="U998">
        <v>2</v>
      </c>
      <c r="V998">
        <v>2</v>
      </c>
    </row>
    <row r="999" spans="1:22" x14ac:dyDescent="0.3">
      <c r="A999">
        <v>998</v>
      </c>
      <c r="B999" s="1">
        <v>40588</v>
      </c>
      <c r="C999">
        <v>1</v>
      </c>
      <c r="D999">
        <v>0</v>
      </c>
      <c r="E999" t="str">
        <f>TEXT(Append1[[#This Row],[dteday]],"MMMM")</f>
        <v>February</v>
      </c>
      <c r="F999">
        <v>2</v>
      </c>
      <c r="G999">
        <v>5</v>
      </c>
      <c r="H999" t="b">
        <v>0</v>
      </c>
      <c r="I999" t="str">
        <f>TEXT(Append1[[#This Row],[dteday]],"DDDD")</f>
        <v>Monday</v>
      </c>
      <c r="J999" t="str" cm="1">
        <f t="array" ref="J999">_xlfn.IFS(Append1[[#This Row],[weekday cnt]]=0,"Weekend",Append1[[#This Row],[weekday cnt]]=6,"Weekend",Append1[[#This Row],[weekday cnt]]&gt;0,"Weekday")</f>
        <v>Weekday</v>
      </c>
      <c r="K999">
        <v>1</v>
      </c>
      <c r="L999" t="str" cm="1">
        <f t="array" ref="L999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999">
        <v>1</v>
      </c>
      <c r="N999">
        <v>0.32</v>
      </c>
      <c r="O999">
        <f t="shared" si="12"/>
        <v>997</v>
      </c>
      <c r="P999">
        <f t="shared" si="13"/>
        <v>998</v>
      </c>
      <c r="Q999">
        <v>0.30299999999999999</v>
      </c>
      <c r="R999">
        <v>0.53</v>
      </c>
      <c r="S999">
        <v>0.28360000000000002</v>
      </c>
      <c r="T999">
        <v>0</v>
      </c>
      <c r="U999">
        <v>3</v>
      </c>
      <c r="V999">
        <v>3</v>
      </c>
    </row>
    <row r="1000" spans="1:22" x14ac:dyDescent="0.3">
      <c r="A1000">
        <v>999</v>
      </c>
      <c r="B1000" s="1">
        <v>40588</v>
      </c>
      <c r="C1000">
        <v>1</v>
      </c>
      <c r="D1000">
        <v>0</v>
      </c>
      <c r="E1000" t="str">
        <f>TEXT(Append1[[#This Row],[dteday]],"MMMM")</f>
        <v>February</v>
      </c>
      <c r="F1000">
        <v>2</v>
      </c>
      <c r="G1000">
        <v>6</v>
      </c>
      <c r="H1000" t="b">
        <v>0</v>
      </c>
      <c r="I1000" t="str">
        <f>TEXT(Append1[[#This Row],[dteday]],"DDDD")</f>
        <v>Monday</v>
      </c>
      <c r="J1000" t="str" cm="1">
        <f t="array" ref="J1000">_xlfn.IFS(Append1[[#This Row],[weekday cnt]]=0,"Weekend",Append1[[#This Row],[weekday cnt]]=6,"Weekend",Append1[[#This Row],[weekday cnt]]&gt;0,"Weekday")</f>
        <v>Weekday</v>
      </c>
      <c r="K1000">
        <v>1</v>
      </c>
      <c r="L1000" t="str" cm="1">
        <f t="array" ref="L1000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00">
        <v>1</v>
      </c>
      <c r="N1000">
        <v>0.34</v>
      </c>
      <c r="O1000">
        <f t="shared" si="12"/>
        <v>998</v>
      </c>
      <c r="P1000">
        <f t="shared" si="13"/>
        <v>999</v>
      </c>
      <c r="Q1000">
        <v>0.30299999999999999</v>
      </c>
      <c r="R1000">
        <v>0.46</v>
      </c>
      <c r="S1000">
        <v>0.29849999999999999</v>
      </c>
      <c r="T1000">
        <v>1</v>
      </c>
      <c r="U1000">
        <v>25</v>
      </c>
      <c r="V1000">
        <v>26</v>
      </c>
    </row>
    <row r="1001" spans="1:22" x14ac:dyDescent="0.3">
      <c r="A1001">
        <v>1000</v>
      </c>
      <c r="B1001" s="1">
        <v>40588</v>
      </c>
      <c r="C1001">
        <v>1</v>
      </c>
      <c r="D1001">
        <v>0</v>
      </c>
      <c r="E1001" t="str">
        <f>TEXT(Append1[[#This Row],[dteday]],"MMMM")</f>
        <v>February</v>
      </c>
      <c r="F1001">
        <v>2</v>
      </c>
      <c r="G1001">
        <v>7</v>
      </c>
      <c r="H1001" t="b">
        <v>0</v>
      </c>
      <c r="I1001" t="str">
        <f>TEXT(Append1[[#This Row],[dteday]],"DDDD")</f>
        <v>Monday</v>
      </c>
      <c r="J1001" t="str" cm="1">
        <f t="array" ref="J1001">_xlfn.IFS(Append1[[#This Row],[weekday cnt]]=0,"Weekend",Append1[[#This Row],[weekday cnt]]=6,"Weekend",Append1[[#This Row],[weekday cnt]]&gt;0,"Weekday")</f>
        <v>Weekday</v>
      </c>
      <c r="K1001">
        <v>1</v>
      </c>
      <c r="L1001" t="str" cm="1">
        <f t="array" ref="L1001">_xlfn.IFS(Append1[[#This Row],[weathersit]]=0,"Clear &amp; Sunny",Append1[[#This Row],[weathersit]]=1,"Misty or cloudy",Append1[[#This Row],[weathersit]]=2,"Light Rain or Snow",Append1[[#This Row],[weathersit]]=3,"Heavy Rain or Snow",Append1[[#This Row],[weathersit]]=4,"Extremely Heavy Rain or Snow")</f>
        <v>Misty or cloudy</v>
      </c>
      <c r="M1001">
        <v>1</v>
      </c>
      <c r="N1001">
        <v>0.34</v>
      </c>
      <c r="O1001">
        <f t="shared" si="12"/>
        <v>999</v>
      </c>
      <c r="P1001">
        <f t="shared" si="13"/>
        <v>1000</v>
      </c>
      <c r="Q1001">
        <v>0.30299999999999999</v>
      </c>
      <c r="R1001">
        <v>0.46</v>
      </c>
      <c r="S1001">
        <v>0.29849999999999999</v>
      </c>
      <c r="T1001">
        <v>2</v>
      </c>
      <c r="U1001">
        <v>96</v>
      </c>
      <c r="V1001">
        <v>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EF38-060C-4F41-A7B9-33459B5BD88C}">
  <dimension ref="A1:E25"/>
  <sheetViews>
    <sheetView workbookViewId="0">
      <selection activeCell="G14" sqref="G14"/>
    </sheetView>
  </sheetViews>
  <sheetFormatPr defaultRowHeight="14.4" x14ac:dyDescent="0.3"/>
  <cols>
    <col min="1" max="1" width="38.44140625" bestFit="1" customWidth="1"/>
    <col min="2" max="2" width="70.77734375" bestFit="1" customWidth="1"/>
    <col min="3" max="3" width="56.44140625" bestFit="1" customWidth="1"/>
    <col min="5" max="5" width="11" bestFit="1" customWidth="1"/>
  </cols>
  <sheetData>
    <row r="1" spans="1:5" ht="15.6" x14ac:dyDescent="0.3">
      <c r="A1" s="28" t="s">
        <v>23</v>
      </c>
      <c r="B1" s="29" t="s">
        <v>24</v>
      </c>
      <c r="C1" s="30" t="s">
        <v>41</v>
      </c>
    </row>
    <row r="2" spans="1:5" ht="15.6" x14ac:dyDescent="0.3">
      <c r="A2" s="31">
        <f>_xlfn.STDEV.S(Append1[hum])</f>
        <v>0.18797708632964827</v>
      </c>
      <c r="B2" s="32">
        <f>AVERAGE(Append1[hum])</f>
        <v>0.58248000000000033</v>
      </c>
      <c r="C2" s="33" t="s">
        <v>25</v>
      </c>
    </row>
    <row r="3" spans="1:5" ht="15.6" x14ac:dyDescent="0.3">
      <c r="A3" s="31"/>
      <c r="B3" s="32"/>
      <c r="C3" s="33"/>
    </row>
    <row r="4" spans="1:5" ht="15.6" x14ac:dyDescent="0.3">
      <c r="A4" s="34" t="s">
        <v>42</v>
      </c>
      <c r="B4" s="35" t="s">
        <v>43</v>
      </c>
      <c r="C4" s="36" t="s">
        <v>41</v>
      </c>
    </row>
    <row r="5" spans="1:5" ht="15.6" x14ac:dyDescent="0.3">
      <c r="A5" s="37">
        <f>_xlfn.STDEV.S(Append1[[#All],[temp]])</f>
        <v>7.8977385544392681E-2</v>
      </c>
      <c r="B5" s="38">
        <f>AVERAGE(Append1[temp])</f>
        <v>0.20589999999999961</v>
      </c>
      <c r="C5" s="39" t="s">
        <v>44</v>
      </c>
    </row>
    <row r="6" spans="1:5" ht="15.6" x14ac:dyDescent="0.3">
      <c r="A6" s="40"/>
      <c r="B6" s="41"/>
      <c r="C6" s="42"/>
    </row>
    <row r="7" spans="1:5" ht="15.6" x14ac:dyDescent="0.3">
      <c r="A7" s="43" t="s">
        <v>45</v>
      </c>
      <c r="B7" s="44" t="s">
        <v>46</v>
      </c>
      <c r="C7" s="45" t="s">
        <v>41</v>
      </c>
    </row>
    <row r="8" spans="1:5" ht="15.6" x14ac:dyDescent="0.3">
      <c r="A8" s="31">
        <f>_xlfn.STDEV.S(Append1[atemp])</f>
        <v>7.6289763744365746E-2</v>
      </c>
      <c r="B8" s="32">
        <f>AVERAGE(Append1[atemp])</f>
        <v>0.21182553000000046</v>
      </c>
      <c r="C8" s="33" t="s">
        <v>47</v>
      </c>
    </row>
    <row r="9" spans="1:5" ht="15.6" x14ac:dyDescent="0.3">
      <c r="A9" s="31"/>
      <c r="B9" s="32"/>
      <c r="C9" s="33"/>
    </row>
    <row r="10" spans="1:5" ht="15.6" x14ac:dyDescent="0.3">
      <c r="A10" s="43" t="s">
        <v>49</v>
      </c>
      <c r="B10" s="44" t="s">
        <v>48</v>
      </c>
      <c r="C10" s="45" t="s">
        <v>41</v>
      </c>
    </row>
    <row r="11" spans="1:5" ht="15.6" x14ac:dyDescent="0.3">
      <c r="A11" s="46">
        <f>_xlfn.STDEV.S(Append1[windspeed])</f>
        <v>0.12912606627362996</v>
      </c>
      <c r="B11" s="47">
        <f>AVERAGE(Append1[windspeed])</f>
        <v>0.19493129999999903</v>
      </c>
      <c r="C11" s="48" t="s">
        <v>50</v>
      </c>
    </row>
    <row r="13" spans="1:5" ht="15.6" x14ac:dyDescent="0.3">
      <c r="A13" s="50" t="s">
        <v>43</v>
      </c>
      <c r="B13" s="44" t="s">
        <v>46</v>
      </c>
      <c r="C13" s="44" t="s">
        <v>41</v>
      </c>
      <c r="E13" s="51" t="s">
        <v>51</v>
      </c>
    </row>
    <row r="14" spans="1:5" ht="15.6" x14ac:dyDescent="0.3">
      <c r="A14" s="38">
        <f>AVERAGE(Append1[temp])</f>
        <v>0.20589999999999961</v>
      </c>
      <c r="B14" s="49">
        <f>AVERAGE(Append1[atemp])</f>
        <v>0.21182553000000046</v>
      </c>
      <c r="C14" s="38" t="s">
        <v>52</v>
      </c>
      <c r="E14">
        <f>B14-A14</f>
        <v>5.9255300000008448E-3</v>
      </c>
    </row>
    <row r="17" spans="1:3" ht="15.6" x14ac:dyDescent="0.3">
      <c r="A17" s="28" t="s">
        <v>64</v>
      </c>
      <c r="B17" s="29" t="s">
        <v>65</v>
      </c>
      <c r="C17" s="30" t="s">
        <v>41</v>
      </c>
    </row>
    <row r="18" spans="1:3" ht="15.6" x14ac:dyDescent="0.3">
      <c r="A18" s="31">
        <f>_xlfn.STDEV.S(Append1[cnt])</f>
        <v>50.985557867999354</v>
      </c>
      <c r="B18" s="32">
        <f>AVERAGE(Append1[cnt])</f>
        <v>58.304000000000002</v>
      </c>
      <c r="C18" s="33" t="s">
        <v>71</v>
      </c>
    </row>
    <row r="19" spans="1:3" ht="15.6" x14ac:dyDescent="0.3">
      <c r="A19" s="31"/>
      <c r="B19" s="32"/>
      <c r="C19" s="33"/>
    </row>
    <row r="20" spans="1:3" ht="15.6" x14ac:dyDescent="0.3">
      <c r="A20" s="34" t="s">
        <v>66</v>
      </c>
      <c r="B20" s="35" t="s">
        <v>67</v>
      </c>
      <c r="C20" s="36" t="s">
        <v>41</v>
      </c>
    </row>
    <row r="21" spans="1:3" ht="15.6" x14ac:dyDescent="0.3">
      <c r="A21" s="37">
        <f>_xlfn.STDEV.S(Append1[registered])</f>
        <v>47.893967711426278</v>
      </c>
      <c r="B21" s="38">
        <f>AVERAGE(Append1[registered])</f>
        <v>53.383000000000003</v>
      </c>
      <c r="C21" s="39" t="s">
        <v>70</v>
      </c>
    </row>
    <row r="22" spans="1:3" ht="15.6" x14ac:dyDescent="0.3">
      <c r="A22" s="40"/>
      <c r="B22" s="41"/>
      <c r="C22" s="42"/>
    </row>
    <row r="23" spans="1:3" ht="15.6" x14ac:dyDescent="0.3">
      <c r="A23" s="43" t="s">
        <v>68</v>
      </c>
      <c r="B23" s="44" t="s">
        <v>69</v>
      </c>
      <c r="C23" s="45" t="s">
        <v>41</v>
      </c>
    </row>
    <row r="24" spans="1:3" ht="15.6" x14ac:dyDescent="0.3">
      <c r="A24" s="31">
        <f>_xlfn.STDEV.S(Append1[casual])</f>
        <v>7.6438987557520797</v>
      </c>
      <c r="B24" s="32">
        <f>AVERAGE(Append1[casual])</f>
        <v>4.9210000000000003</v>
      </c>
      <c r="C24" s="33" t="s">
        <v>72</v>
      </c>
    </row>
    <row r="25" spans="1:3" ht="15.6" x14ac:dyDescent="0.3">
      <c r="A25" s="31"/>
      <c r="B25" s="32"/>
      <c r="C25" s="33"/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6942-CF67-4F4F-9833-2300A3A49AC4}">
  <dimension ref="A1:J1001"/>
  <sheetViews>
    <sheetView workbookViewId="0">
      <selection activeCell="R19" sqref="R19"/>
    </sheetView>
  </sheetViews>
  <sheetFormatPr defaultRowHeight="14.4" x14ac:dyDescent="0.3"/>
  <cols>
    <col min="6" max="6" width="10.88671875" bestFit="1" customWidth="1"/>
    <col min="7" max="7" width="13.33203125" bestFit="1" customWidth="1"/>
    <col min="8" max="8" width="14.109375" bestFit="1" customWidth="1"/>
    <col min="9" max="9" width="13.33203125" bestFit="1" customWidth="1"/>
    <col min="10" max="10" width="11.21875" bestFit="1" customWidth="1"/>
  </cols>
  <sheetData>
    <row r="1" spans="1:10" ht="15.6" x14ac:dyDescent="0.3">
      <c r="A1" s="3" t="s">
        <v>9</v>
      </c>
      <c r="B1" s="3" t="s">
        <v>13</v>
      </c>
      <c r="C1" s="3" t="s">
        <v>14</v>
      </c>
      <c r="D1" s="3" t="s">
        <v>15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</row>
    <row r="2" spans="1:10" ht="15.6" x14ac:dyDescent="0.3">
      <c r="A2" s="4">
        <v>0.24</v>
      </c>
      <c r="B2" s="4">
        <v>0.81</v>
      </c>
      <c r="C2" s="4">
        <v>0</v>
      </c>
      <c r="D2" s="4">
        <v>3</v>
      </c>
      <c r="F2" s="13" t="s">
        <v>28</v>
      </c>
      <c r="G2" s="14">
        <v>1</v>
      </c>
      <c r="H2" s="14"/>
      <c r="I2" s="14"/>
      <c r="J2" s="15"/>
    </row>
    <row r="3" spans="1:10" ht="15.6" x14ac:dyDescent="0.3">
      <c r="A3" s="5">
        <v>0.22</v>
      </c>
      <c r="B3" s="5">
        <v>0.8</v>
      </c>
      <c r="C3" s="5">
        <v>0</v>
      </c>
      <c r="D3" s="5">
        <v>8</v>
      </c>
      <c r="F3" s="7" t="s">
        <v>29</v>
      </c>
      <c r="G3" s="6">
        <v>8.0720147162812214E-2</v>
      </c>
      <c r="H3" s="6">
        <v>1</v>
      </c>
      <c r="I3" s="6"/>
      <c r="J3" s="8"/>
    </row>
    <row r="4" spans="1:10" ht="15.6" x14ac:dyDescent="0.3">
      <c r="A4" s="4">
        <v>0.22</v>
      </c>
      <c r="B4" s="4">
        <v>0.8</v>
      </c>
      <c r="C4" s="4">
        <v>0</v>
      </c>
      <c r="D4" s="4">
        <v>5</v>
      </c>
      <c r="F4" s="7" t="s">
        <v>30</v>
      </c>
      <c r="G4" s="6">
        <v>0.12262532562998485</v>
      </c>
      <c r="H4" s="6">
        <v>-0.38555034700358864</v>
      </c>
      <c r="I4" s="6">
        <v>1</v>
      </c>
      <c r="J4" s="8"/>
    </row>
    <row r="5" spans="1:10" ht="15.6" x14ac:dyDescent="0.3">
      <c r="A5" s="5">
        <v>0.24</v>
      </c>
      <c r="B5" s="5">
        <v>0.75</v>
      </c>
      <c r="C5" s="5">
        <v>0</v>
      </c>
      <c r="D5" s="5">
        <v>3</v>
      </c>
      <c r="F5" s="9" t="s">
        <v>31</v>
      </c>
      <c r="G5" s="10">
        <v>0.22929155386993369</v>
      </c>
      <c r="H5" s="10">
        <v>-0.25435329828790432</v>
      </c>
      <c r="I5" s="10">
        <v>0.10399668008577614</v>
      </c>
      <c r="J5" s="11">
        <v>1</v>
      </c>
    </row>
    <row r="6" spans="1:10" x14ac:dyDescent="0.3">
      <c r="A6" s="4">
        <v>0.24</v>
      </c>
      <c r="B6" s="4">
        <v>0.75</v>
      </c>
      <c r="C6" s="4">
        <v>0</v>
      </c>
      <c r="D6" s="4">
        <v>0</v>
      </c>
    </row>
    <row r="7" spans="1:10" x14ac:dyDescent="0.3">
      <c r="A7" s="5">
        <v>0.24</v>
      </c>
      <c r="B7" s="5">
        <v>0.75</v>
      </c>
      <c r="C7" s="5">
        <v>8.9599999999999999E-2</v>
      </c>
      <c r="D7" s="5">
        <v>0</v>
      </c>
    </row>
    <row r="8" spans="1:10" ht="15.6" x14ac:dyDescent="0.3">
      <c r="A8" s="4">
        <v>0.22</v>
      </c>
      <c r="B8" s="4">
        <v>0.8</v>
      </c>
      <c r="C8" s="4">
        <v>0</v>
      </c>
      <c r="D8" s="4">
        <v>2</v>
      </c>
      <c r="F8" s="16" t="s">
        <v>27</v>
      </c>
      <c r="G8" s="16" t="s">
        <v>28</v>
      </c>
      <c r="H8" s="16" t="s">
        <v>29</v>
      </c>
      <c r="I8" s="16" t="s">
        <v>30</v>
      </c>
      <c r="J8" s="16" t="s">
        <v>32</v>
      </c>
    </row>
    <row r="9" spans="1:10" ht="15.6" x14ac:dyDescent="0.3">
      <c r="A9" s="5">
        <v>0.2</v>
      </c>
      <c r="B9" s="5">
        <v>0.86</v>
      </c>
      <c r="C9" s="5">
        <v>0</v>
      </c>
      <c r="D9" s="5">
        <v>1</v>
      </c>
      <c r="F9" s="17" t="s">
        <v>28</v>
      </c>
      <c r="G9" s="17">
        <v>1</v>
      </c>
      <c r="H9" s="17"/>
      <c r="I9" s="17"/>
      <c r="J9" s="17"/>
    </row>
    <row r="10" spans="1:10" ht="15.6" x14ac:dyDescent="0.3">
      <c r="A10" s="4">
        <v>0.24</v>
      </c>
      <c r="B10" s="4">
        <v>0.75</v>
      </c>
      <c r="C10" s="4">
        <v>0</v>
      </c>
      <c r="D10" s="4">
        <v>1</v>
      </c>
      <c r="F10" s="6" t="s">
        <v>29</v>
      </c>
      <c r="G10" s="6">
        <v>8.0720147162812214E-2</v>
      </c>
      <c r="H10" s="6">
        <v>1</v>
      </c>
      <c r="I10" s="6"/>
      <c r="J10" s="6"/>
    </row>
    <row r="11" spans="1:10" ht="15.6" x14ac:dyDescent="0.3">
      <c r="A11" s="5">
        <v>0.32</v>
      </c>
      <c r="B11" s="5">
        <v>0.76</v>
      </c>
      <c r="C11" s="5">
        <v>0</v>
      </c>
      <c r="D11" s="5">
        <v>8</v>
      </c>
      <c r="F11" s="18" t="s">
        <v>30</v>
      </c>
      <c r="G11" s="18">
        <v>0.12262532562998485</v>
      </c>
      <c r="H11" s="18">
        <v>-0.38555034700358864</v>
      </c>
      <c r="I11" s="18">
        <v>1</v>
      </c>
      <c r="J11" s="18"/>
    </row>
    <row r="12" spans="1:10" ht="15.6" x14ac:dyDescent="0.3">
      <c r="A12" s="4">
        <v>0.38</v>
      </c>
      <c r="B12" s="4">
        <v>0.76</v>
      </c>
      <c r="C12" s="4">
        <v>0.25369999999999998</v>
      </c>
      <c r="D12" s="4">
        <v>12</v>
      </c>
      <c r="F12" s="6" t="s">
        <v>32</v>
      </c>
      <c r="G12" s="6">
        <v>0.16904504909761614</v>
      </c>
      <c r="H12" s="6">
        <v>-0.22937044088624536</v>
      </c>
      <c r="I12" s="6">
        <v>9.0058728679306796E-2</v>
      </c>
      <c r="J12" s="6">
        <v>1</v>
      </c>
    </row>
    <row r="13" spans="1:10" x14ac:dyDescent="0.3">
      <c r="A13" s="5">
        <v>0.36</v>
      </c>
      <c r="B13" s="5">
        <v>0.81</v>
      </c>
      <c r="C13" s="5">
        <v>0.28360000000000002</v>
      </c>
      <c r="D13" s="5">
        <v>26</v>
      </c>
    </row>
    <row r="14" spans="1:10" x14ac:dyDescent="0.3">
      <c r="A14" s="4">
        <v>0.42</v>
      </c>
      <c r="B14" s="4">
        <v>0.77</v>
      </c>
      <c r="C14" s="4">
        <v>0.28360000000000002</v>
      </c>
      <c r="D14" s="4">
        <v>29</v>
      </c>
    </row>
    <row r="15" spans="1:10" ht="15.6" x14ac:dyDescent="0.3">
      <c r="A15" s="5">
        <v>0.46</v>
      </c>
      <c r="B15" s="5">
        <v>0.72</v>
      </c>
      <c r="C15" s="5">
        <v>0.29849999999999999</v>
      </c>
      <c r="D15" s="5">
        <v>47</v>
      </c>
      <c r="F15" s="16" t="s">
        <v>27</v>
      </c>
      <c r="G15" s="16" t="s">
        <v>28</v>
      </c>
      <c r="H15" s="16" t="s">
        <v>29</v>
      </c>
      <c r="I15" s="16" t="s">
        <v>30</v>
      </c>
      <c r="J15" s="16" t="s">
        <v>33</v>
      </c>
    </row>
    <row r="16" spans="1:10" ht="15.6" x14ac:dyDescent="0.3">
      <c r="A16" s="4">
        <v>0.46</v>
      </c>
      <c r="B16" s="4">
        <v>0.72</v>
      </c>
      <c r="C16" s="4">
        <v>0.28360000000000002</v>
      </c>
      <c r="D16" s="4">
        <v>35</v>
      </c>
      <c r="F16" s="17" t="s">
        <v>28</v>
      </c>
      <c r="G16" s="17">
        <v>1</v>
      </c>
      <c r="H16" s="17"/>
      <c r="I16" s="17"/>
      <c r="J16" s="17"/>
    </row>
    <row r="17" spans="1:10" ht="15.6" x14ac:dyDescent="0.3">
      <c r="A17" s="5">
        <v>0.44</v>
      </c>
      <c r="B17" s="5">
        <v>0.77</v>
      </c>
      <c r="C17" s="5">
        <v>0.29849999999999999</v>
      </c>
      <c r="D17" s="5">
        <v>40</v>
      </c>
      <c r="F17" s="6" t="s">
        <v>29</v>
      </c>
      <c r="G17" s="6">
        <v>8.0720147162812214E-2</v>
      </c>
      <c r="H17" s="6">
        <v>1</v>
      </c>
      <c r="I17" s="6"/>
      <c r="J17" s="6"/>
    </row>
    <row r="18" spans="1:10" ht="15.6" x14ac:dyDescent="0.3">
      <c r="A18" s="4">
        <v>0.42</v>
      </c>
      <c r="B18" s="4">
        <v>0.82</v>
      </c>
      <c r="C18" s="4">
        <v>0.29849999999999999</v>
      </c>
      <c r="D18" s="4">
        <v>41</v>
      </c>
      <c r="F18" s="18" t="s">
        <v>30</v>
      </c>
      <c r="G18" s="18">
        <v>0.12262532562998485</v>
      </c>
      <c r="H18" s="18">
        <v>-0.38555034700358864</v>
      </c>
      <c r="I18" s="18">
        <v>1</v>
      </c>
      <c r="J18" s="18"/>
    </row>
    <row r="19" spans="1:10" ht="15.6" x14ac:dyDescent="0.3">
      <c r="A19" s="5">
        <v>0.44</v>
      </c>
      <c r="B19" s="5">
        <v>0.82</v>
      </c>
      <c r="C19" s="5">
        <v>0.28360000000000002</v>
      </c>
      <c r="D19" s="5">
        <v>15</v>
      </c>
      <c r="F19" s="6" t="s">
        <v>33</v>
      </c>
      <c r="G19" s="6">
        <v>0.47022073160199324</v>
      </c>
      <c r="H19" s="6">
        <v>-0.2594074545428624</v>
      </c>
      <c r="I19" s="6">
        <v>0.12939194234487605</v>
      </c>
      <c r="J19" s="6">
        <v>1</v>
      </c>
    </row>
    <row r="20" spans="1:10" x14ac:dyDescent="0.3">
      <c r="A20" s="4">
        <v>0.42</v>
      </c>
      <c r="B20" s="4">
        <v>0.88</v>
      </c>
      <c r="C20" s="4">
        <v>0.25369999999999998</v>
      </c>
      <c r="D20" s="4">
        <v>9</v>
      </c>
    </row>
    <row r="21" spans="1:10" x14ac:dyDescent="0.3">
      <c r="A21" s="5">
        <v>0.42</v>
      </c>
      <c r="B21" s="5">
        <v>0.88</v>
      </c>
      <c r="C21" s="5">
        <v>0.25369999999999998</v>
      </c>
      <c r="D21" s="5">
        <v>6</v>
      </c>
    </row>
    <row r="22" spans="1:10" x14ac:dyDescent="0.3">
      <c r="A22" s="4">
        <v>0.4</v>
      </c>
      <c r="B22" s="4">
        <v>0.87</v>
      </c>
      <c r="C22" s="4">
        <v>0.25369999999999998</v>
      </c>
      <c r="D22" s="4">
        <v>11</v>
      </c>
      <c r="F22" s="24" t="s">
        <v>36</v>
      </c>
      <c r="G22" s="24" t="s">
        <v>37</v>
      </c>
    </row>
    <row r="23" spans="1:10" x14ac:dyDescent="0.3">
      <c r="A23" s="5">
        <v>0.4</v>
      </c>
      <c r="B23" s="5">
        <v>0.87</v>
      </c>
      <c r="C23" s="5">
        <v>0.19400000000000001</v>
      </c>
      <c r="D23" s="5">
        <v>3</v>
      </c>
      <c r="F23" s="25" t="s">
        <v>34</v>
      </c>
      <c r="G23" s="25">
        <v>0.23</v>
      </c>
    </row>
    <row r="24" spans="1:10" x14ac:dyDescent="0.3">
      <c r="A24" s="4">
        <v>0.4</v>
      </c>
      <c r="B24" s="4">
        <v>0.94</v>
      </c>
      <c r="C24" s="4">
        <v>0.22389999999999999</v>
      </c>
      <c r="D24" s="4">
        <v>11</v>
      </c>
      <c r="F24" s="25" t="s">
        <v>35</v>
      </c>
      <c r="G24" s="25">
        <v>-0.25</v>
      </c>
    </row>
    <row r="25" spans="1:10" x14ac:dyDescent="0.3">
      <c r="A25" s="5">
        <v>0.46</v>
      </c>
      <c r="B25" s="5">
        <v>0.88</v>
      </c>
      <c r="C25" s="5">
        <v>0.29849999999999999</v>
      </c>
      <c r="D25" s="5">
        <v>15</v>
      </c>
      <c r="F25" s="25" t="s">
        <v>30</v>
      </c>
      <c r="G25" s="25">
        <v>0.1</v>
      </c>
    </row>
    <row r="26" spans="1:10" x14ac:dyDescent="0.3">
      <c r="A26" s="4">
        <v>0.46</v>
      </c>
      <c r="B26" s="4">
        <v>0.88</v>
      </c>
      <c r="C26" s="4">
        <v>0.29849999999999999</v>
      </c>
      <c r="D26" s="4">
        <v>4</v>
      </c>
    </row>
    <row r="27" spans="1:10" x14ac:dyDescent="0.3">
      <c r="A27" s="5">
        <v>0.44</v>
      </c>
      <c r="B27" s="5">
        <v>0.94</v>
      </c>
      <c r="C27" s="5">
        <v>0.25369999999999998</v>
      </c>
      <c r="D27" s="5">
        <v>1</v>
      </c>
    </row>
    <row r="28" spans="1:10" x14ac:dyDescent="0.3">
      <c r="A28" s="4">
        <v>0.42</v>
      </c>
      <c r="B28" s="4">
        <v>1</v>
      </c>
      <c r="C28" s="4">
        <v>0.28360000000000002</v>
      </c>
      <c r="D28" s="4">
        <v>1</v>
      </c>
    </row>
    <row r="29" spans="1:10" x14ac:dyDescent="0.3">
      <c r="A29" s="5">
        <v>0.46</v>
      </c>
      <c r="B29" s="5">
        <v>0.94</v>
      </c>
      <c r="C29" s="5">
        <v>0.19400000000000001</v>
      </c>
      <c r="D29" s="5">
        <v>2</v>
      </c>
    </row>
    <row r="30" spans="1:10" x14ac:dyDescent="0.3">
      <c r="A30" s="4">
        <v>0.46</v>
      </c>
      <c r="B30" s="4">
        <v>0.94</v>
      </c>
      <c r="C30" s="4">
        <v>0.19400000000000001</v>
      </c>
      <c r="D30" s="4">
        <v>2</v>
      </c>
    </row>
    <row r="31" spans="1:10" x14ac:dyDescent="0.3">
      <c r="A31" s="5">
        <v>0.42</v>
      </c>
      <c r="B31" s="5">
        <v>0.77</v>
      </c>
      <c r="C31" s="5">
        <v>0.29849999999999999</v>
      </c>
      <c r="D31" s="5">
        <v>0</v>
      </c>
    </row>
    <row r="32" spans="1:10" x14ac:dyDescent="0.3">
      <c r="A32" s="4">
        <v>0.4</v>
      </c>
      <c r="B32" s="4">
        <v>0.76</v>
      </c>
      <c r="C32" s="4">
        <v>0.19400000000000001</v>
      </c>
      <c r="D32" s="4">
        <v>0</v>
      </c>
    </row>
    <row r="33" spans="1:4" x14ac:dyDescent="0.3">
      <c r="A33" s="5">
        <v>0.4</v>
      </c>
      <c r="B33" s="5">
        <v>0.71</v>
      </c>
      <c r="C33" s="5">
        <v>0.22389999999999999</v>
      </c>
      <c r="D33" s="5">
        <v>0</v>
      </c>
    </row>
    <row r="34" spans="1:4" x14ac:dyDescent="0.3">
      <c r="A34" s="4">
        <v>0.38</v>
      </c>
      <c r="B34" s="4">
        <v>0.76</v>
      </c>
      <c r="C34" s="4">
        <v>0.22389999999999999</v>
      </c>
      <c r="D34" s="4">
        <v>1</v>
      </c>
    </row>
    <row r="35" spans="1:4" x14ac:dyDescent="0.3">
      <c r="A35" s="5">
        <v>0.36</v>
      </c>
      <c r="B35" s="5">
        <v>0.81</v>
      </c>
      <c r="C35" s="5">
        <v>0.22389999999999999</v>
      </c>
      <c r="D35" s="5">
        <v>7</v>
      </c>
    </row>
    <row r="36" spans="1:4" x14ac:dyDescent="0.3">
      <c r="A36" s="4">
        <v>0.36</v>
      </c>
      <c r="B36" s="4">
        <v>0.71</v>
      </c>
      <c r="C36" s="4">
        <v>0.25369999999999998</v>
      </c>
      <c r="D36" s="4">
        <v>16</v>
      </c>
    </row>
    <row r="37" spans="1:4" x14ac:dyDescent="0.3">
      <c r="A37" s="5">
        <v>0.36</v>
      </c>
      <c r="B37" s="5">
        <v>0.66</v>
      </c>
      <c r="C37" s="5">
        <v>0.29849999999999999</v>
      </c>
      <c r="D37" s="5">
        <v>20</v>
      </c>
    </row>
    <row r="38" spans="1:4" x14ac:dyDescent="0.3">
      <c r="A38" s="4">
        <v>0.36</v>
      </c>
      <c r="B38" s="4">
        <v>0.66</v>
      </c>
      <c r="C38" s="4">
        <v>0.1343</v>
      </c>
      <c r="D38" s="4">
        <v>11</v>
      </c>
    </row>
    <row r="39" spans="1:4" x14ac:dyDescent="0.3">
      <c r="A39" s="5">
        <v>0.36</v>
      </c>
      <c r="B39" s="5">
        <v>0.76</v>
      </c>
      <c r="C39" s="5">
        <v>0.19400000000000001</v>
      </c>
      <c r="D39" s="5">
        <v>4</v>
      </c>
    </row>
    <row r="40" spans="1:4" x14ac:dyDescent="0.3">
      <c r="A40" s="4">
        <v>0.34</v>
      </c>
      <c r="B40" s="4">
        <v>0.81</v>
      </c>
      <c r="C40" s="4">
        <v>0.16420000000000001</v>
      </c>
      <c r="D40" s="4">
        <v>19</v>
      </c>
    </row>
    <row r="41" spans="1:4" x14ac:dyDescent="0.3">
      <c r="A41" s="5">
        <v>0.34</v>
      </c>
      <c r="B41" s="5">
        <v>0.71</v>
      </c>
      <c r="C41" s="5">
        <v>0.16420000000000001</v>
      </c>
      <c r="D41" s="5">
        <v>9</v>
      </c>
    </row>
    <row r="42" spans="1:4" x14ac:dyDescent="0.3">
      <c r="A42" s="4">
        <v>0.34</v>
      </c>
      <c r="B42" s="4">
        <v>0.56999999999999995</v>
      </c>
      <c r="C42" s="4">
        <v>0.19400000000000001</v>
      </c>
      <c r="D42" s="4">
        <v>7</v>
      </c>
    </row>
    <row r="43" spans="1:4" x14ac:dyDescent="0.3">
      <c r="A43" s="5">
        <v>0.36</v>
      </c>
      <c r="B43" s="5">
        <v>0.46</v>
      </c>
      <c r="C43" s="5">
        <v>0.32840000000000003</v>
      </c>
      <c r="D43" s="5">
        <v>10</v>
      </c>
    </row>
    <row r="44" spans="1:4" x14ac:dyDescent="0.3">
      <c r="A44" s="4">
        <v>0.32</v>
      </c>
      <c r="B44" s="4">
        <v>0.42</v>
      </c>
      <c r="C44" s="4">
        <v>0.44779999999999998</v>
      </c>
      <c r="D44" s="4">
        <v>1</v>
      </c>
    </row>
    <row r="45" spans="1:4" x14ac:dyDescent="0.3">
      <c r="A45" s="5">
        <v>0.3</v>
      </c>
      <c r="B45" s="5">
        <v>0.39</v>
      </c>
      <c r="C45" s="5">
        <v>0.35820000000000002</v>
      </c>
      <c r="D45" s="5">
        <v>5</v>
      </c>
    </row>
    <row r="46" spans="1:4" x14ac:dyDescent="0.3">
      <c r="A46" s="4">
        <v>0.26</v>
      </c>
      <c r="B46" s="4">
        <v>0.44</v>
      </c>
      <c r="C46" s="4">
        <v>0.32840000000000003</v>
      </c>
      <c r="D46" s="4">
        <v>11</v>
      </c>
    </row>
    <row r="47" spans="1:4" x14ac:dyDescent="0.3">
      <c r="A47" s="5">
        <v>0.24</v>
      </c>
      <c r="B47" s="5">
        <v>0.44</v>
      </c>
      <c r="C47" s="5">
        <v>0.29849999999999999</v>
      </c>
      <c r="D47" s="5">
        <v>0</v>
      </c>
    </row>
    <row r="48" spans="1:4" x14ac:dyDescent="0.3">
      <c r="A48" s="4">
        <v>0.22</v>
      </c>
      <c r="B48" s="4">
        <v>0.47</v>
      </c>
      <c r="C48" s="4">
        <v>0.16420000000000001</v>
      </c>
      <c r="D48" s="4">
        <v>0</v>
      </c>
    </row>
    <row r="49" spans="1:4" x14ac:dyDescent="0.3">
      <c r="A49" s="5">
        <v>0.22</v>
      </c>
      <c r="B49" s="5">
        <v>0.44</v>
      </c>
      <c r="C49" s="5">
        <v>0.35820000000000002</v>
      </c>
      <c r="D49" s="5">
        <v>0</v>
      </c>
    </row>
    <row r="50" spans="1:4" x14ac:dyDescent="0.3">
      <c r="A50" s="4">
        <v>0.2</v>
      </c>
      <c r="B50" s="4">
        <v>0.44</v>
      </c>
      <c r="C50" s="4">
        <v>0.41789999999999999</v>
      </c>
      <c r="D50" s="4">
        <v>0</v>
      </c>
    </row>
    <row r="51" spans="1:4" x14ac:dyDescent="0.3">
      <c r="A51" s="5">
        <v>0.16</v>
      </c>
      <c r="B51" s="5">
        <v>0.47</v>
      </c>
      <c r="C51" s="5">
        <v>0.3881</v>
      </c>
      <c r="D51" s="5">
        <v>0</v>
      </c>
    </row>
    <row r="52" spans="1:4" x14ac:dyDescent="0.3">
      <c r="A52" s="4">
        <v>0.16</v>
      </c>
      <c r="B52" s="4">
        <v>0.47</v>
      </c>
      <c r="C52" s="4">
        <v>0.28360000000000002</v>
      </c>
      <c r="D52" s="4">
        <v>0</v>
      </c>
    </row>
    <row r="53" spans="1:4" x14ac:dyDescent="0.3">
      <c r="A53" s="5">
        <v>0.14000000000000001</v>
      </c>
      <c r="B53" s="5">
        <v>0.5</v>
      </c>
      <c r="C53" s="5">
        <v>0.3881</v>
      </c>
      <c r="D53" s="5">
        <v>0</v>
      </c>
    </row>
    <row r="54" spans="1:4" x14ac:dyDescent="0.3">
      <c r="A54" s="4">
        <v>0.14000000000000001</v>
      </c>
      <c r="B54" s="4">
        <v>0.5</v>
      </c>
      <c r="C54" s="4">
        <v>0.19400000000000001</v>
      </c>
      <c r="D54" s="4">
        <v>1</v>
      </c>
    </row>
    <row r="55" spans="1:4" x14ac:dyDescent="0.3">
      <c r="A55" s="5">
        <v>0.14000000000000001</v>
      </c>
      <c r="B55" s="5">
        <v>0.5</v>
      </c>
      <c r="C55" s="5">
        <v>0.28360000000000002</v>
      </c>
      <c r="D55" s="5">
        <v>1</v>
      </c>
    </row>
    <row r="56" spans="1:4" x14ac:dyDescent="0.3">
      <c r="A56" s="4">
        <v>0.16</v>
      </c>
      <c r="B56" s="4">
        <v>0.43</v>
      </c>
      <c r="C56" s="4">
        <v>0.3881</v>
      </c>
      <c r="D56" s="4">
        <v>7</v>
      </c>
    </row>
    <row r="57" spans="1:4" x14ac:dyDescent="0.3">
      <c r="A57" s="5">
        <v>0.18</v>
      </c>
      <c r="B57" s="5">
        <v>0.43</v>
      </c>
      <c r="C57" s="5">
        <v>0.25369999999999998</v>
      </c>
      <c r="D57" s="5">
        <v>11</v>
      </c>
    </row>
    <row r="58" spans="1:4" x14ac:dyDescent="0.3">
      <c r="A58" s="4">
        <v>0.2</v>
      </c>
      <c r="B58" s="4">
        <v>0.4</v>
      </c>
      <c r="C58" s="4">
        <v>0.32840000000000003</v>
      </c>
      <c r="D58" s="4">
        <v>10</v>
      </c>
    </row>
    <row r="59" spans="1:4" x14ac:dyDescent="0.3">
      <c r="A59" s="5">
        <v>0.22</v>
      </c>
      <c r="B59" s="5">
        <v>0.35</v>
      </c>
      <c r="C59" s="5">
        <v>0.29849999999999999</v>
      </c>
      <c r="D59" s="5">
        <v>13</v>
      </c>
    </row>
    <row r="60" spans="1:4" x14ac:dyDescent="0.3">
      <c r="A60" s="4">
        <v>0.24</v>
      </c>
      <c r="B60" s="4">
        <v>0.35</v>
      </c>
      <c r="C60" s="4">
        <v>0.28360000000000002</v>
      </c>
      <c r="D60" s="4">
        <v>8</v>
      </c>
    </row>
    <row r="61" spans="1:4" x14ac:dyDescent="0.3">
      <c r="A61" s="5">
        <v>0.26</v>
      </c>
      <c r="B61" s="5">
        <v>0.3</v>
      </c>
      <c r="C61" s="5">
        <v>0.28360000000000002</v>
      </c>
      <c r="D61" s="5">
        <v>11</v>
      </c>
    </row>
    <row r="62" spans="1:4" x14ac:dyDescent="0.3">
      <c r="A62" s="4">
        <v>0.26</v>
      </c>
      <c r="B62" s="4">
        <v>0.3</v>
      </c>
      <c r="C62" s="4">
        <v>0.25369999999999998</v>
      </c>
      <c r="D62" s="4">
        <v>14</v>
      </c>
    </row>
    <row r="63" spans="1:4" x14ac:dyDescent="0.3">
      <c r="A63" s="5">
        <v>0.26</v>
      </c>
      <c r="B63" s="5">
        <v>0.3</v>
      </c>
      <c r="C63" s="5">
        <v>0.25369999999999998</v>
      </c>
      <c r="D63" s="5">
        <v>9</v>
      </c>
    </row>
    <row r="64" spans="1:4" x14ac:dyDescent="0.3">
      <c r="A64" s="4">
        <v>0.24</v>
      </c>
      <c r="B64" s="4">
        <v>0.3</v>
      </c>
      <c r="C64" s="4">
        <v>0.22389999999999999</v>
      </c>
      <c r="D64" s="4">
        <v>11</v>
      </c>
    </row>
    <row r="65" spans="1:4" x14ac:dyDescent="0.3">
      <c r="A65" s="5">
        <v>0.24</v>
      </c>
      <c r="B65" s="5">
        <v>0.32</v>
      </c>
      <c r="C65" s="5">
        <v>0.1045</v>
      </c>
      <c r="D65" s="5">
        <v>9</v>
      </c>
    </row>
    <row r="66" spans="1:4" x14ac:dyDescent="0.3">
      <c r="A66" s="4">
        <v>0.2</v>
      </c>
      <c r="B66" s="4">
        <v>0.47</v>
      </c>
      <c r="C66" s="4">
        <v>0</v>
      </c>
      <c r="D66" s="4">
        <v>8</v>
      </c>
    </row>
    <row r="67" spans="1:4" x14ac:dyDescent="0.3">
      <c r="A67" s="5">
        <v>0.2</v>
      </c>
      <c r="B67" s="5">
        <v>0.47</v>
      </c>
      <c r="C67" s="5">
        <v>0.1045</v>
      </c>
      <c r="D67" s="5">
        <v>3</v>
      </c>
    </row>
    <row r="68" spans="1:4" x14ac:dyDescent="0.3">
      <c r="A68" s="4">
        <v>0.18</v>
      </c>
      <c r="B68" s="4">
        <v>0.64</v>
      </c>
      <c r="C68" s="4">
        <v>0.1343</v>
      </c>
      <c r="D68" s="4">
        <v>3</v>
      </c>
    </row>
    <row r="69" spans="1:4" x14ac:dyDescent="0.3">
      <c r="A69" s="5">
        <v>0.14000000000000001</v>
      </c>
      <c r="B69" s="5">
        <v>0.69</v>
      </c>
      <c r="C69" s="5">
        <v>0.1343</v>
      </c>
      <c r="D69" s="5">
        <v>0</v>
      </c>
    </row>
    <row r="70" spans="1:4" x14ac:dyDescent="0.3">
      <c r="A70" s="4">
        <v>0.18</v>
      </c>
      <c r="B70" s="4">
        <v>0.55000000000000004</v>
      </c>
      <c r="C70" s="4">
        <v>0.1045</v>
      </c>
      <c r="D70" s="4">
        <v>1</v>
      </c>
    </row>
    <row r="71" spans="1:4" x14ac:dyDescent="0.3">
      <c r="A71" s="5">
        <v>0.16</v>
      </c>
      <c r="B71" s="5">
        <v>0.55000000000000004</v>
      </c>
      <c r="C71" s="5">
        <v>0.1045</v>
      </c>
      <c r="D71" s="5">
        <v>0</v>
      </c>
    </row>
    <row r="72" spans="1:4" x14ac:dyDescent="0.3">
      <c r="A72" s="4">
        <v>0.16</v>
      </c>
      <c r="B72" s="4">
        <v>0.59</v>
      </c>
      <c r="C72" s="4">
        <v>0.1045</v>
      </c>
      <c r="D72" s="4">
        <v>0</v>
      </c>
    </row>
    <row r="73" spans="1:4" x14ac:dyDescent="0.3">
      <c r="A73" s="5">
        <v>0.14000000000000001</v>
      </c>
      <c r="B73" s="5">
        <v>0.63</v>
      </c>
      <c r="C73" s="5">
        <v>0.1343</v>
      </c>
      <c r="D73" s="5">
        <v>0</v>
      </c>
    </row>
    <row r="74" spans="1:4" x14ac:dyDescent="0.3">
      <c r="A74" s="4">
        <v>0.14000000000000001</v>
      </c>
      <c r="B74" s="4">
        <v>0.63</v>
      </c>
      <c r="C74" s="4">
        <v>8.9599999999999999E-2</v>
      </c>
      <c r="D74" s="4">
        <v>0</v>
      </c>
    </row>
    <row r="75" spans="1:4" x14ac:dyDescent="0.3">
      <c r="A75" s="5">
        <v>0.12</v>
      </c>
      <c r="B75" s="5">
        <v>0.68</v>
      </c>
      <c r="C75" s="5">
        <v>0.1045</v>
      </c>
      <c r="D75" s="5">
        <v>0</v>
      </c>
    </row>
    <row r="76" spans="1:4" x14ac:dyDescent="0.3">
      <c r="A76" s="4">
        <v>0.12</v>
      </c>
      <c r="B76" s="4">
        <v>0.74</v>
      </c>
      <c r="C76" s="4">
        <v>0.1045</v>
      </c>
      <c r="D76" s="4">
        <v>0</v>
      </c>
    </row>
    <row r="77" spans="1:4" x14ac:dyDescent="0.3">
      <c r="A77" s="5">
        <v>0.12</v>
      </c>
      <c r="B77" s="5">
        <v>0.74</v>
      </c>
      <c r="C77" s="5">
        <v>0.1343</v>
      </c>
      <c r="D77" s="5">
        <v>2</v>
      </c>
    </row>
    <row r="78" spans="1:4" x14ac:dyDescent="0.3">
      <c r="A78" s="4">
        <v>0.14000000000000001</v>
      </c>
      <c r="B78" s="4">
        <v>0.69</v>
      </c>
      <c r="C78" s="4">
        <v>0.16420000000000001</v>
      </c>
      <c r="D78" s="4">
        <v>2</v>
      </c>
    </row>
    <row r="79" spans="1:4" x14ac:dyDescent="0.3">
      <c r="A79" s="5">
        <v>0.16</v>
      </c>
      <c r="B79" s="5">
        <v>0.64</v>
      </c>
      <c r="C79" s="5">
        <v>0.22389999999999999</v>
      </c>
      <c r="D79" s="5">
        <v>2</v>
      </c>
    </row>
    <row r="80" spans="1:4" x14ac:dyDescent="0.3">
      <c r="A80" s="4">
        <v>0.16</v>
      </c>
      <c r="B80" s="4">
        <v>0.69</v>
      </c>
      <c r="C80" s="4">
        <v>0.32840000000000003</v>
      </c>
      <c r="D80" s="4">
        <v>5</v>
      </c>
    </row>
    <row r="81" spans="1:4" x14ac:dyDescent="0.3">
      <c r="A81" s="5">
        <v>0.22</v>
      </c>
      <c r="B81" s="5">
        <v>0.51</v>
      </c>
      <c r="C81" s="5">
        <v>0.29849999999999999</v>
      </c>
      <c r="D81" s="5">
        <v>7</v>
      </c>
    </row>
    <row r="82" spans="1:4" x14ac:dyDescent="0.3">
      <c r="A82" s="4">
        <v>0.22</v>
      </c>
      <c r="B82" s="4">
        <v>0.51</v>
      </c>
      <c r="C82" s="4">
        <v>0.16420000000000001</v>
      </c>
      <c r="D82" s="4">
        <v>12</v>
      </c>
    </row>
    <row r="83" spans="1:4" x14ac:dyDescent="0.3">
      <c r="A83" s="5">
        <v>0.24</v>
      </c>
      <c r="B83" s="5">
        <v>0.56000000000000005</v>
      </c>
      <c r="C83" s="5">
        <v>0.19400000000000001</v>
      </c>
      <c r="D83" s="5">
        <v>18</v>
      </c>
    </row>
    <row r="84" spans="1:4" x14ac:dyDescent="0.3">
      <c r="A84" s="4">
        <v>0.26</v>
      </c>
      <c r="B84" s="4">
        <v>0.52</v>
      </c>
      <c r="C84" s="4">
        <v>0.22389999999999999</v>
      </c>
      <c r="D84" s="4">
        <v>9</v>
      </c>
    </row>
    <row r="85" spans="1:4" x14ac:dyDescent="0.3">
      <c r="A85" s="5">
        <v>0.28000000000000003</v>
      </c>
      <c r="B85" s="5">
        <v>0.52</v>
      </c>
      <c r="C85" s="5">
        <v>0.25369999999999998</v>
      </c>
      <c r="D85" s="5">
        <v>17</v>
      </c>
    </row>
    <row r="86" spans="1:4" x14ac:dyDescent="0.3">
      <c r="A86" s="4">
        <v>0.3</v>
      </c>
      <c r="B86" s="4">
        <v>0.49</v>
      </c>
      <c r="C86" s="4">
        <v>0.25369999999999998</v>
      </c>
      <c r="D86" s="4">
        <v>15</v>
      </c>
    </row>
    <row r="87" spans="1:4" x14ac:dyDescent="0.3">
      <c r="A87" s="5">
        <v>0.28000000000000003</v>
      </c>
      <c r="B87" s="5">
        <v>0.48</v>
      </c>
      <c r="C87" s="5">
        <v>0.22389999999999999</v>
      </c>
      <c r="D87" s="5">
        <v>10</v>
      </c>
    </row>
    <row r="88" spans="1:4" x14ac:dyDescent="0.3">
      <c r="A88" s="4">
        <v>0.26</v>
      </c>
      <c r="B88" s="4">
        <v>0.48</v>
      </c>
      <c r="C88" s="4">
        <v>0.19400000000000001</v>
      </c>
      <c r="D88" s="4">
        <v>3</v>
      </c>
    </row>
    <row r="89" spans="1:4" x14ac:dyDescent="0.3">
      <c r="A89" s="5">
        <v>0.24</v>
      </c>
      <c r="B89" s="5">
        <v>0.48</v>
      </c>
      <c r="C89" s="5">
        <v>0.1045</v>
      </c>
      <c r="D89" s="5">
        <v>2</v>
      </c>
    </row>
    <row r="90" spans="1:4" x14ac:dyDescent="0.3">
      <c r="A90" s="4">
        <v>0.24</v>
      </c>
      <c r="B90" s="4">
        <v>0.48</v>
      </c>
      <c r="C90" s="4">
        <v>0.1045</v>
      </c>
      <c r="D90" s="4">
        <v>1</v>
      </c>
    </row>
    <row r="91" spans="1:4" x14ac:dyDescent="0.3">
      <c r="A91" s="5">
        <v>0.22</v>
      </c>
      <c r="B91" s="5">
        <v>0.64</v>
      </c>
      <c r="C91" s="5">
        <v>0</v>
      </c>
      <c r="D91" s="5">
        <v>0</v>
      </c>
    </row>
    <row r="92" spans="1:4" x14ac:dyDescent="0.3">
      <c r="A92" s="4">
        <v>0.22</v>
      </c>
      <c r="B92" s="4">
        <v>0.64</v>
      </c>
      <c r="C92" s="4">
        <v>8.9599999999999999E-2</v>
      </c>
      <c r="D92" s="4">
        <v>1</v>
      </c>
    </row>
    <row r="93" spans="1:4" x14ac:dyDescent="0.3">
      <c r="A93" s="5">
        <v>0.2</v>
      </c>
      <c r="B93" s="5">
        <v>0.69</v>
      </c>
      <c r="C93" s="5">
        <v>8.9599999999999999E-2</v>
      </c>
      <c r="D93" s="5">
        <v>2</v>
      </c>
    </row>
    <row r="94" spans="1:4" x14ac:dyDescent="0.3">
      <c r="A94" s="4">
        <v>0.2</v>
      </c>
      <c r="B94" s="4">
        <v>0.64</v>
      </c>
      <c r="C94" s="4">
        <v>0</v>
      </c>
      <c r="D94" s="4">
        <v>0</v>
      </c>
    </row>
    <row r="95" spans="1:4" x14ac:dyDescent="0.3">
      <c r="A95" s="5">
        <v>0.16</v>
      </c>
      <c r="B95" s="5">
        <v>0.74</v>
      </c>
      <c r="C95" s="5">
        <v>8.9599999999999999E-2</v>
      </c>
      <c r="D95" s="5">
        <v>0</v>
      </c>
    </row>
    <row r="96" spans="1:4" x14ac:dyDescent="0.3">
      <c r="A96" s="4">
        <v>0.16</v>
      </c>
      <c r="B96" s="4">
        <v>0.74</v>
      </c>
      <c r="C96" s="4">
        <v>8.9599999999999999E-2</v>
      </c>
      <c r="D96" s="4">
        <v>0</v>
      </c>
    </row>
    <row r="97" spans="1:4" x14ac:dyDescent="0.3">
      <c r="A97" s="5">
        <v>0.24</v>
      </c>
      <c r="B97" s="5">
        <v>0.48</v>
      </c>
      <c r="C97" s="5">
        <v>0.22389999999999999</v>
      </c>
      <c r="D97" s="5">
        <v>0</v>
      </c>
    </row>
    <row r="98" spans="1:4" x14ac:dyDescent="0.3">
      <c r="A98" s="4">
        <v>0.22</v>
      </c>
      <c r="B98" s="4">
        <v>0.47</v>
      </c>
      <c r="C98" s="4">
        <v>0.16420000000000001</v>
      </c>
      <c r="D98" s="4">
        <v>0</v>
      </c>
    </row>
    <row r="99" spans="1:4" x14ac:dyDescent="0.3">
      <c r="A99" s="5">
        <v>0.2</v>
      </c>
      <c r="B99" s="5">
        <v>0.47</v>
      </c>
      <c r="C99" s="5">
        <v>0.22389999999999999</v>
      </c>
      <c r="D99" s="5">
        <v>0</v>
      </c>
    </row>
    <row r="100" spans="1:4" x14ac:dyDescent="0.3">
      <c r="A100" s="4">
        <v>0.18</v>
      </c>
      <c r="B100" s="4">
        <v>0.43</v>
      </c>
      <c r="C100" s="4">
        <v>0.19400000000000001</v>
      </c>
      <c r="D100" s="4">
        <v>1</v>
      </c>
    </row>
    <row r="101" spans="1:4" x14ac:dyDescent="0.3">
      <c r="A101" s="5">
        <v>0.2</v>
      </c>
      <c r="B101" s="5">
        <v>0.4</v>
      </c>
      <c r="C101" s="5">
        <v>0.29849999999999999</v>
      </c>
      <c r="D101" s="5">
        <v>3</v>
      </c>
    </row>
    <row r="102" spans="1:4" x14ac:dyDescent="0.3">
      <c r="A102" s="4">
        <v>0.22</v>
      </c>
      <c r="B102" s="4">
        <v>0.37</v>
      </c>
      <c r="C102" s="4">
        <v>0.32840000000000003</v>
      </c>
      <c r="D102" s="4">
        <v>6</v>
      </c>
    </row>
    <row r="103" spans="1:4" x14ac:dyDescent="0.3">
      <c r="A103" s="5">
        <v>0.22</v>
      </c>
      <c r="B103" s="5">
        <v>0.37</v>
      </c>
      <c r="C103" s="5">
        <v>0.32840000000000003</v>
      </c>
      <c r="D103" s="5">
        <v>4</v>
      </c>
    </row>
    <row r="104" spans="1:4" x14ac:dyDescent="0.3">
      <c r="A104" s="4">
        <v>0.26</v>
      </c>
      <c r="B104" s="4">
        <v>0.33</v>
      </c>
      <c r="C104" s="4">
        <v>0.32840000000000003</v>
      </c>
      <c r="D104" s="4">
        <v>12</v>
      </c>
    </row>
    <row r="105" spans="1:4" x14ac:dyDescent="0.3">
      <c r="A105" s="5">
        <v>0.26</v>
      </c>
      <c r="B105" s="5">
        <v>0.33</v>
      </c>
      <c r="C105" s="5">
        <v>0.32840000000000003</v>
      </c>
      <c r="D105" s="5">
        <v>5</v>
      </c>
    </row>
    <row r="106" spans="1:4" x14ac:dyDescent="0.3">
      <c r="A106" s="4">
        <v>0.28000000000000003</v>
      </c>
      <c r="B106" s="4">
        <v>0.3</v>
      </c>
      <c r="C106" s="4">
        <v>0.29849999999999999</v>
      </c>
      <c r="D106" s="4">
        <v>6</v>
      </c>
    </row>
    <row r="107" spans="1:4" x14ac:dyDescent="0.3">
      <c r="A107" s="5">
        <v>0.3</v>
      </c>
      <c r="B107" s="5">
        <v>0.28000000000000003</v>
      </c>
      <c r="C107" s="5">
        <v>0.19400000000000001</v>
      </c>
      <c r="D107" s="5">
        <v>10</v>
      </c>
    </row>
    <row r="108" spans="1:4" x14ac:dyDescent="0.3">
      <c r="A108" s="4">
        <v>0.3</v>
      </c>
      <c r="B108" s="4">
        <v>0.28000000000000003</v>
      </c>
      <c r="C108" s="4">
        <v>0.19400000000000001</v>
      </c>
      <c r="D108" s="4">
        <v>7</v>
      </c>
    </row>
    <row r="109" spans="1:4" x14ac:dyDescent="0.3">
      <c r="A109" s="5">
        <v>0.3</v>
      </c>
      <c r="B109" s="5">
        <v>0.28000000000000003</v>
      </c>
      <c r="C109" s="5">
        <v>8.9599999999999999E-2</v>
      </c>
      <c r="D109" s="5">
        <v>4</v>
      </c>
    </row>
    <row r="110" spans="1:4" x14ac:dyDescent="0.3">
      <c r="A110" s="4">
        <v>0.24</v>
      </c>
      <c r="B110" s="4">
        <v>0.38</v>
      </c>
      <c r="C110" s="4">
        <v>0.19400000000000001</v>
      </c>
      <c r="D110" s="4">
        <v>4</v>
      </c>
    </row>
    <row r="111" spans="1:4" x14ac:dyDescent="0.3">
      <c r="A111" s="5">
        <v>0.24</v>
      </c>
      <c r="B111" s="5">
        <v>0.38</v>
      </c>
      <c r="C111" s="5">
        <v>0.1343</v>
      </c>
      <c r="D111" s="5">
        <v>3</v>
      </c>
    </row>
    <row r="112" spans="1:4" x14ac:dyDescent="0.3">
      <c r="A112" s="4">
        <v>0.24</v>
      </c>
      <c r="B112" s="4">
        <v>0.38</v>
      </c>
      <c r="C112" s="4">
        <v>0.1045</v>
      </c>
      <c r="D112" s="4">
        <v>5</v>
      </c>
    </row>
    <row r="113" spans="1:4" x14ac:dyDescent="0.3">
      <c r="A113" s="5">
        <v>0.22</v>
      </c>
      <c r="B113" s="5">
        <v>0.47</v>
      </c>
      <c r="C113" s="5">
        <v>0.16420000000000001</v>
      </c>
      <c r="D113" s="5">
        <v>7</v>
      </c>
    </row>
    <row r="114" spans="1:4" x14ac:dyDescent="0.3">
      <c r="A114" s="4">
        <v>0.2</v>
      </c>
      <c r="B114" s="4">
        <v>0.51</v>
      </c>
      <c r="C114" s="4">
        <v>0.19400000000000001</v>
      </c>
      <c r="D114" s="4">
        <v>3</v>
      </c>
    </row>
    <row r="115" spans="1:4" x14ac:dyDescent="0.3">
      <c r="A115" s="5">
        <v>0.18</v>
      </c>
      <c r="B115" s="5">
        <v>0.55000000000000004</v>
      </c>
      <c r="C115" s="5">
        <v>0.1343</v>
      </c>
      <c r="D115" s="5">
        <v>1</v>
      </c>
    </row>
    <row r="116" spans="1:4" x14ac:dyDescent="0.3">
      <c r="A116" s="4">
        <v>0.2</v>
      </c>
      <c r="B116" s="4">
        <v>0.47</v>
      </c>
      <c r="C116" s="4">
        <v>0</v>
      </c>
      <c r="D116" s="4">
        <v>1</v>
      </c>
    </row>
    <row r="117" spans="1:4" x14ac:dyDescent="0.3">
      <c r="A117" s="5">
        <v>0.18</v>
      </c>
      <c r="B117" s="5">
        <v>0.55000000000000004</v>
      </c>
      <c r="C117" s="5">
        <v>0</v>
      </c>
      <c r="D117" s="5">
        <v>0</v>
      </c>
    </row>
    <row r="118" spans="1:4" x14ac:dyDescent="0.3">
      <c r="A118" s="4">
        <v>0.16</v>
      </c>
      <c r="B118" s="4">
        <v>0.64</v>
      </c>
      <c r="C118" s="4">
        <v>0</v>
      </c>
      <c r="D118" s="4">
        <v>0</v>
      </c>
    </row>
    <row r="119" spans="1:4" x14ac:dyDescent="0.3">
      <c r="A119" s="5">
        <v>0.16</v>
      </c>
      <c r="B119" s="5">
        <v>0.64</v>
      </c>
      <c r="C119" s="5">
        <v>0</v>
      </c>
      <c r="D119" s="5">
        <v>0</v>
      </c>
    </row>
    <row r="120" spans="1:4" x14ac:dyDescent="0.3">
      <c r="A120" s="4">
        <v>0.16</v>
      </c>
      <c r="B120" s="4">
        <v>0.64</v>
      </c>
      <c r="C120" s="4">
        <v>8.9599999999999999E-2</v>
      </c>
      <c r="D120" s="4">
        <v>0</v>
      </c>
    </row>
    <row r="121" spans="1:4" x14ac:dyDescent="0.3">
      <c r="A121" s="5">
        <v>0.14000000000000001</v>
      </c>
      <c r="B121" s="5">
        <v>0.69</v>
      </c>
      <c r="C121" s="5">
        <v>8.9599999999999999E-2</v>
      </c>
      <c r="D121" s="5">
        <v>0</v>
      </c>
    </row>
    <row r="122" spans="1:4" x14ac:dyDescent="0.3">
      <c r="A122" s="4">
        <v>0.14000000000000001</v>
      </c>
      <c r="B122" s="4">
        <v>0.63</v>
      </c>
      <c r="C122" s="4">
        <v>0.1045</v>
      </c>
      <c r="D122" s="4">
        <v>0</v>
      </c>
    </row>
    <row r="123" spans="1:4" x14ac:dyDescent="0.3">
      <c r="A123" s="5">
        <v>0.16</v>
      </c>
      <c r="B123" s="5">
        <v>0.59</v>
      </c>
      <c r="C123" s="5">
        <v>0</v>
      </c>
      <c r="D123" s="5">
        <v>0</v>
      </c>
    </row>
    <row r="124" spans="1:4" x14ac:dyDescent="0.3">
      <c r="A124" s="4">
        <v>0.16</v>
      </c>
      <c r="B124" s="4">
        <v>0.59</v>
      </c>
      <c r="C124" s="4">
        <v>0</v>
      </c>
      <c r="D124" s="4">
        <v>3</v>
      </c>
    </row>
    <row r="125" spans="1:4" x14ac:dyDescent="0.3">
      <c r="A125" s="5">
        <v>0.18</v>
      </c>
      <c r="B125" s="5">
        <v>0.51</v>
      </c>
      <c r="C125" s="5">
        <v>0</v>
      </c>
      <c r="D125" s="5">
        <v>6</v>
      </c>
    </row>
    <row r="126" spans="1:4" x14ac:dyDescent="0.3">
      <c r="A126" s="4">
        <v>0.2</v>
      </c>
      <c r="B126" s="4">
        <v>0.47</v>
      </c>
      <c r="C126" s="4">
        <v>0</v>
      </c>
      <c r="D126" s="4">
        <v>3</v>
      </c>
    </row>
    <row r="127" spans="1:4" x14ac:dyDescent="0.3">
      <c r="A127" s="5">
        <v>0.22</v>
      </c>
      <c r="B127" s="5">
        <v>0.44</v>
      </c>
      <c r="C127" s="5">
        <v>8.9599999999999999E-2</v>
      </c>
      <c r="D127" s="5">
        <v>2</v>
      </c>
    </row>
    <row r="128" spans="1:4" x14ac:dyDescent="0.3">
      <c r="A128" s="4">
        <v>0.26</v>
      </c>
      <c r="B128" s="4">
        <v>0.35</v>
      </c>
      <c r="C128" s="4">
        <v>0</v>
      </c>
      <c r="D128" s="4">
        <v>6</v>
      </c>
    </row>
    <row r="129" spans="1:4" x14ac:dyDescent="0.3">
      <c r="A129" s="5">
        <v>0.26</v>
      </c>
      <c r="B129" s="5">
        <v>0.35</v>
      </c>
      <c r="C129" s="5">
        <v>0.1045</v>
      </c>
      <c r="D129" s="5">
        <v>12</v>
      </c>
    </row>
    <row r="130" spans="1:4" x14ac:dyDescent="0.3">
      <c r="A130" s="4">
        <v>0.28000000000000003</v>
      </c>
      <c r="B130" s="4">
        <v>0.36</v>
      </c>
      <c r="C130" s="4">
        <v>0.16420000000000001</v>
      </c>
      <c r="D130" s="4">
        <v>11</v>
      </c>
    </row>
    <row r="131" spans="1:4" x14ac:dyDescent="0.3">
      <c r="A131" s="5">
        <v>0.28000000000000003</v>
      </c>
      <c r="B131" s="5">
        <v>0.36</v>
      </c>
      <c r="C131" s="5">
        <v>0</v>
      </c>
      <c r="D131" s="5">
        <v>8</v>
      </c>
    </row>
    <row r="132" spans="1:4" x14ac:dyDescent="0.3">
      <c r="A132" s="4">
        <v>0.26</v>
      </c>
      <c r="B132" s="4">
        <v>0.38</v>
      </c>
      <c r="C132" s="4">
        <v>0.16420000000000001</v>
      </c>
      <c r="D132" s="4">
        <v>12</v>
      </c>
    </row>
    <row r="133" spans="1:4" x14ac:dyDescent="0.3">
      <c r="A133" s="5">
        <v>0.22</v>
      </c>
      <c r="B133" s="5">
        <v>0.51</v>
      </c>
      <c r="C133" s="5">
        <v>0.16420000000000001</v>
      </c>
      <c r="D133" s="5">
        <v>9</v>
      </c>
    </row>
    <row r="134" spans="1:4" x14ac:dyDescent="0.3">
      <c r="A134" s="4">
        <v>0.22</v>
      </c>
      <c r="B134" s="4">
        <v>0.51</v>
      </c>
      <c r="C134" s="4">
        <v>0.1343</v>
      </c>
      <c r="D134" s="4">
        <v>5</v>
      </c>
    </row>
    <row r="135" spans="1:4" x14ac:dyDescent="0.3">
      <c r="A135" s="5">
        <v>0.22</v>
      </c>
      <c r="B135" s="5">
        <v>0.55000000000000004</v>
      </c>
      <c r="C135" s="5">
        <v>8.9599999999999999E-2</v>
      </c>
      <c r="D135" s="5">
        <v>3</v>
      </c>
    </row>
    <row r="136" spans="1:4" x14ac:dyDescent="0.3">
      <c r="A136" s="4">
        <v>0.2</v>
      </c>
      <c r="B136" s="4">
        <v>0.51</v>
      </c>
      <c r="C136" s="4">
        <v>0.16420000000000001</v>
      </c>
      <c r="D136" s="4">
        <v>3</v>
      </c>
    </row>
    <row r="137" spans="1:4" x14ac:dyDescent="0.3">
      <c r="A137" s="5">
        <v>0.22</v>
      </c>
      <c r="B137" s="5">
        <v>0.55000000000000004</v>
      </c>
      <c r="C137" s="5">
        <v>0.22389999999999999</v>
      </c>
      <c r="D137" s="5">
        <v>0</v>
      </c>
    </row>
    <row r="138" spans="1:4" x14ac:dyDescent="0.3">
      <c r="A138" s="4">
        <v>0.22</v>
      </c>
      <c r="B138" s="4">
        <v>0.51</v>
      </c>
      <c r="C138" s="4">
        <v>0.28360000000000002</v>
      </c>
      <c r="D138" s="4">
        <v>1</v>
      </c>
    </row>
    <row r="139" spans="1:4" x14ac:dyDescent="0.3">
      <c r="A139" s="5">
        <v>0.2</v>
      </c>
      <c r="B139" s="5">
        <v>0.59</v>
      </c>
      <c r="C139" s="5">
        <v>0.19400000000000001</v>
      </c>
      <c r="D139" s="5">
        <v>4</v>
      </c>
    </row>
    <row r="140" spans="1:4" x14ac:dyDescent="0.3">
      <c r="A140" s="4">
        <v>0.2</v>
      </c>
      <c r="B140" s="4">
        <v>0.64</v>
      </c>
      <c r="C140" s="4">
        <v>0.19400000000000001</v>
      </c>
      <c r="D140" s="4">
        <v>4</v>
      </c>
    </row>
    <row r="141" spans="1:4" x14ac:dyDescent="0.3">
      <c r="A141" s="5">
        <v>0.2</v>
      </c>
      <c r="B141" s="5">
        <v>0.69</v>
      </c>
      <c r="C141" s="5">
        <v>0.22389999999999999</v>
      </c>
      <c r="D141" s="5">
        <v>2</v>
      </c>
    </row>
    <row r="142" spans="1:4" x14ac:dyDescent="0.3">
      <c r="A142" s="4">
        <v>0.2</v>
      </c>
      <c r="B142" s="4">
        <v>0.69</v>
      </c>
      <c r="C142" s="4">
        <v>0.22389999999999999</v>
      </c>
      <c r="D142" s="4">
        <v>0</v>
      </c>
    </row>
    <row r="143" spans="1:4" x14ac:dyDescent="0.3">
      <c r="A143" s="5">
        <v>0.2</v>
      </c>
      <c r="B143" s="5">
        <v>0.69</v>
      </c>
      <c r="C143" s="5">
        <v>0.1343</v>
      </c>
      <c r="D143" s="5">
        <v>0</v>
      </c>
    </row>
    <row r="144" spans="1:4" x14ac:dyDescent="0.3">
      <c r="A144" s="4">
        <v>0.22</v>
      </c>
      <c r="B144" s="4">
        <v>0.55000000000000004</v>
      </c>
      <c r="C144" s="4">
        <v>0</v>
      </c>
      <c r="D144" s="4">
        <v>0</v>
      </c>
    </row>
    <row r="145" spans="1:4" x14ac:dyDescent="0.3">
      <c r="A145" s="5">
        <v>0.2</v>
      </c>
      <c r="B145" s="5">
        <v>0.69</v>
      </c>
      <c r="C145" s="5">
        <v>0</v>
      </c>
      <c r="D145" s="5">
        <v>8</v>
      </c>
    </row>
    <row r="146" spans="1:4" x14ac:dyDescent="0.3">
      <c r="A146" s="4">
        <v>0.2</v>
      </c>
      <c r="B146" s="4">
        <v>0.69</v>
      </c>
      <c r="C146" s="4">
        <v>0.1343</v>
      </c>
      <c r="D146" s="4">
        <v>8</v>
      </c>
    </row>
    <row r="147" spans="1:4" x14ac:dyDescent="0.3">
      <c r="A147" s="5">
        <v>0.2</v>
      </c>
      <c r="B147" s="5">
        <v>0.51</v>
      </c>
      <c r="C147" s="5">
        <v>0.25369999999999998</v>
      </c>
      <c r="D147" s="5">
        <v>20</v>
      </c>
    </row>
    <row r="148" spans="1:4" x14ac:dyDescent="0.3">
      <c r="A148" s="4">
        <v>0.2</v>
      </c>
      <c r="B148" s="4">
        <v>0.47</v>
      </c>
      <c r="C148" s="4">
        <v>0.29849999999999999</v>
      </c>
      <c r="D148" s="4">
        <v>9</v>
      </c>
    </row>
    <row r="149" spans="1:4" x14ac:dyDescent="0.3">
      <c r="A149" s="5">
        <v>0.22</v>
      </c>
      <c r="B149" s="5">
        <v>0.37</v>
      </c>
      <c r="C149" s="5">
        <v>0.32840000000000003</v>
      </c>
      <c r="D149" s="5">
        <v>16</v>
      </c>
    </row>
    <row r="150" spans="1:4" x14ac:dyDescent="0.3">
      <c r="A150" s="4">
        <v>0.2</v>
      </c>
      <c r="B150" s="4">
        <v>0.4</v>
      </c>
      <c r="C150" s="4">
        <v>0.22389999999999999</v>
      </c>
      <c r="D150" s="4">
        <v>19</v>
      </c>
    </row>
    <row r="151" spans="1:4" x14ac:dyDescent="0.3">
      <c r="A151" s="5">
        <v>0.2</v>
      </c>
      <c r="B151" s="5">
        <v>0.37</v>
      </c>
      <c r="C151" s="5">
        <v>0.25369999999999998</v>
      </c>
      <c r="D151" s="5">
        <v>9</v>
      </c>
    </row>
    <row r="152" spans="1:4" x14ac:dyDescent="0.3">
      <c r="A152" s="4">
        <v>0.2</v>
      </c>
      <c r="B152" s="4">
        <v>0.37</v>
      </c>
      <c r="C152" s="4">
        <v>0.28360000000000002</v>
      </c>
      <c r="D152" s="4">
        <v>9</v>
      </c>
    </row>
    <row r="153" spans="1:4" x14ac:dyDescent="0.3">
      <c r="A153" s="5">
        <v>0.2</v>
      </c>
      <c r="B153" s="5">
        <v>0.4</v>
      </c>
      <c r="C153" s="5">
        <v>0.25369999999999998</v>
      </c>
      <c r="D153" s="5">
        <v>7</v>
      </c>
    </row>
    <row r="154" spans="1:4" x14ac:dyDescent="0.3">
      <c r="A154" s="4">
        <v>0.2</v>
      </c>
      <c r="B154" s="4">
        <v>0.37</v>
      </c>
      <c r="C154" s="4">
        <v>0.16420000000000001</v>
      </c>
      <c r="D154" s="4">
        <v>9</v>
      </c>
    </row>
    <row r="155" spans="1:4" x14ac:dyDescent="0.3">
      <c r="A155" s="5">
        <v>0.2</v>
      </c>
      <c r="B155" s="5">
        <v>0.37</v>
      </c>
      <c r="C155" s="5">
        <v>0.16420000000000001</v>
      </c>
      <c r="D155" s="5">
        <v>5</v>
      </c>
    </row>
    <row r="156" spans="1:4" x14ac:dyDescent="0.3">
      <c r="A156" s="4">
        <v>0.2</v>
      </c>
      <c r="B156" s="4">
        <v>0.37</v>
      </c>
      <c r="C156" s="4">
        <v>0</v>
      </c>
      <c r="D156" s="4">
        <v>9</v>
      </c>
    </row>
    <row r="157" spans="1:4" x14ac:dyDescent="0.3">
      <c r="A157" s="5">
        <v>0.2</v>
      </c>
      <c r="B157" s="5">
        <v>0.4</v>
      </c>
      <c r="C157" s="5">
        <v>8.9599999999999999E-2</v>
      </c>
      <c r="D157" s="5">
        <v>7</v>
      </c>
    </row>
    <row r="158" spans="1:4" x14ac:dyDescent="0.3">
      <c r="A158" s="4">
        <v>0.16</v>
      </c>
      <c r="B158" s="4">
        <v>0.55000000000000004</v>
      </c>
      <c r="C158" s="4">
        <v>8.9599999999999999E-2</v>
      </c>
      <c r="D158" s="4">
        <v>3</v>
      </c>
    </row>
    <row r="159" spans="1:4" x14ac:dyDescent="0.3">
      <c r="A159" s="5">
        <v>0.18</v>
      </c>
      <c r="B159" s="5">
        <v>0.47</v>
      </c>
      <c r="C159" s="5">
        <v>0.1045</v>
      </c>
      <c r="D159" s="5">
        <v>1</v>
      </c>
    </row>
    <row r="160" spans="1:4" x14ac:dyDescent="0.3">
      <c r="A160" s="4">
        <v>0.18</v>
      </c>
      <c r="B160" s="4">
        <v>0.47</v>
      </c>
      <c r="C160" s="4">
        <v>0.1343</v>
      </c>
      <c r="D160" s="4">
        <v>0</v>
      </c>
    </row>
    <row r="161" spans="1:4" x14ac:dyDescent="0.3">
      <c r="A161" s="5">
        <v>0.18</v>
      </c>
      <c r="B161" s="5">
        <v>0.43</v>
      </c>
      <c r="C161" s="5">
        <v>0.16420000000000001</v>
      </c>
      <c r="D161" s="5">
        <v>2</v>
      </c>
    </row>
    <row r="162" spans="1:4" x14ac:dyDescent="0.3">
      <c r="A162" s="4">
        <v>0.18</v>
      </c>
      <c r="B162" s="4">
        <v>0.51</v>
      </c>
      <c r="C162" s="4">
        <v>0.16420000000000001</v>
      </c>
      <c r="D162" s="4">
        <v>1</v>
      </c>
    </row>
    <row r="163" spans="1:4" x14ac:dyDescent="0.3">
      <c r="A163" s="5">
        <v>0.18</v>
      </c>
      <c r="B163" s="5">
        <v>0.51</v>
      </c>
      <c r="C163" s="5">
        <v>0.16420000000000001</v>
      </c>
      <c r="D163" s="5">
        <v>1</v>
      </c>
    </row>
    <row r="164" spans="1:4" x14ac:dyDescent="0.3">
      <c r="A164" s="4">
        <v>0.18</v>
      </c>
      <c r="B164" s="4">
        <v>0.55000000000000004</v>
      </c>
      <c r="C164" s="4">
        <v>8.9599999999999999E-2</v>
      </c>
      <c r="D164" s="4">
        <v>1</v>
      </c>
    </row>
    <row r="165" spans="1:4" x14ac:dyDescent="0.3">
      <c r="A165" s="5">
        <v>0.18</v>
      </c>
      <c r="B165" s="5">
        <v>0.55000000000000004</v>
      </c>
      <c r="C165" s="5">
        <v>0</v>
      </c>
      <c r="D165" s="5">
        <v>3</v>
      </c>
    </row>
    <row r="166" spans="1:4" x14ac:dyDescent="0.3">
      <c r="A166" s="4">
        <v>0.18</v>
      </c>
      <c r="B166" s="4">
        <v>0.55000000000000004</v>
      </c>
      <c r="C166" s="4">
        <v>0.16420000000000001</v>
      </c>
      <c r="D166" s="4">
        <v>0</v>
      </c>
    </row>
    <row r="167" spans="1:4" x14ac:dyDescent="0.3">
      <c r="A167" s="5">
        <v>0.18</v>
      </c>
      <c r="B167" s="5">
        <v>0.55000000000000004</v>
      </c>
      <c r="C167" s="5">
        <v>0.16420000000000001</v>
      </c>
      <c r="D167" s="5">
        <v>0</v>
      </c>
    </row>
    <row r="168" spans="1:4" x14ac:dyDescent="0.3">
      <c r="A168" s="4">
        <v>0.16</v>
      </c>
      <c r="B168" s="4">
        <v>0.74</v>
      </c>
      <c r="C168" s="4">
        <v>0.16420000000000001</v>
      </c>
      <c r="D168" s="4">
        <v>0</v>
      </c>
    </row>
    <row r="169" spans="1:4" x14ac:dyDescent="0.3">
      <c r="A169" s="5">
        <v>0.16</v>
      </c>
      <c r="B169" s="5">
        <v>0.74</v>
      </c>
      <c r="C169" s="5">
        <v>0.16420000000000001</v>
      </c>
      <c r="D169" s="5">
        <v>0</v>
      </c>
    </row>
    <row r="170" spans="1:4" x14ac:dyDescent="0.3">
      <c r="A170" s="4">
        <v>0.16</v>
      </c>
      <c r="B170" s="4">
        <v>0.74</v>
      </c>
      <c r="C170" s="4">
        <v>0.1045</v>
      </c>
      <c r="D170" s="4">
        <v>1</v>
      </c>
    </row>
    <row r="171" spans="1:4" x14ac:dyDescent="0.3">
      <c r="A171" s="5">
        <v>0.16</v>
      </c>
      <c r="B171" s="5">
        <v>0.93</v>
      </c>
      <c r="C171" s="5">
        <v>0.1045</v>
      </c>
      <c r="D171" s="5">
        <v>0</v>
      </c>
    </row>
    <row r="172" spans="1:4" x14ac:dyDescent="0.3">
      <c r="A172" s="4">
        <v>0.16</v>
      </c>
      <c r="B172" s="4">
        <v>0.93</v>
      </c>
      <c r="C172" s="4">
        <v>0.1045</v>
      </c>
      <c r="D172" s="4">
        <v>0</v>
      </c>
    </row>
    <row r="173" spans="1:4" x14ac:dyDescent="0.3">
      <c r="A173" s="5">
        <v>0.18</v>
      </c>
      <c r="B173" s="5">
        <v>0.8</v>
      </c>
      <c r="C173" s="5">
        <v>0.16420000000000001</v>
      </c>
      <c r="D173" s="5">
        <v>5</v>
      </c>
    </row>
    <row r="174" spans="1:4" x14ac:dyDescent="0.3">
      <c r="A174" s="4">
        <v>0.2</v>
      </c>
      <c r="B174" s="4">
        <v>0.69</v>
      </c>
      <c r="C174" s="4">
        <v>0.3881</v>
      </c>
      <c r="D174" s="4">
        <v>2</v>
      </c>
    </row>
    <row r="175" spans="1:4" x14ac:dyDescent="0.3">
      <c r="A175" s="5">
        <v>0.2</v>
      </c>
      <c r="B175" s="5">
        <v>0.59</v>
      </c>
      <c r="C175" s="5">
        <v>0.35820000000000002</v>
      </c>
      <c r="D175" s="5">
        <v>8</v>
      </c>
    </row>
    <row r="176" spans="1:4" x14ac:dyDescent="0.3">
      <c r="A176" s="4">
        <v>0.2</v>
      </c>
      <c r="B176" s="4">
        <v>0.44</v>
      </c>
      <c r="C176" s="4">
        <v>0.32840000000000003</v>
      </c>
      <c r="D176" s="4">
        <v>7</v>
      </c>
    </row>
    <row r="177" spans="1:4" x14ac:dyDescent="0.3">
      <c r="A177" s="5">
        <v>0.2</v>
      </c>
      <c r="B177" s="5">
        <v>0.32</v>
      </c>
      <c r="C177" s="5">
        <v>0.49249999999999999</v>
      </c>
      <c r="D177" s="5">
        <v>12</v>
      </c>
    </row>
    <row r="178" spans="1:4" x14ac:dyDescent="0.3">
      <c r="A178" s="4">
        <v>0.2</v>
      </c>
      <c r="B178" s="4">
        <v>0.32</v>
      </c>
      <c r="C178" s="4">
        <v>0.44779999999999998</v>
      </c>
      <c r="D178" s="4">
        <v>5</v>
      </c>
    </row>
    <row r="179" spans="1:4" x14ac:dyDescent="0.3">
      <c r="A179" s="5">
        <v>0.18</v>
      </c>
      <c r="B179" s="5">
        <v>0.28999999999999998</v>
      </c>
      <c r="C179" s="5">
        <v>0.44779999999999998</v>
      </c>
      <c r="D179" s="5">
        <v>8</v>
      </c>
    </row>
    <row r="180" spans="1:4" x14ac:dyDescent="0.3">
      <c r="A180" s="4">
        <v>0.16</v>
      </c>
      <c r="B180" s="4">
        <v>0.37</v>
      </c>
      <c r="C180" s="4">
        <v>0.55220000000000002</v>
      </c>
      <c r="D180" s="4">
        <v>5</v>
      </c>
    </row>
    <row r="181" spans="1:4" x14ac:dyDescent="0.3">
      <c r="A181" s="5">
        <v>0.14000000000000001</v>
      </c>
      <c r="B181" s="5">
        <v>0.39</v>
      </c>
      <c r="C181" s="5">
        <v>0.29849999999999999</v>
      </c>
      <c r="D181" s="5">
        <v>3</v>
      </c>
    </row>
    <row r="182" spans="1:4" x14ac:dyDescent="0.3">
      <c r="A182" s="4">
        <v>0.14000000000000001</v>
      </c>
      <c r="B182" s="4">
        <v>0.36</v>
      </c>
      <c r="C182" s="4">
        <v>0.25369999999999998</v>
      </c>
      <c r="D182" s="4">
        <v>4</v>
      </c>
    </row>
    <row r="183" spans="1:4" x14ac:dyDescent="0.3">
      <c r="A183" s="5">
        <v>0.12</v>
      </c>
      <c r="B183" s="5">
        <v>0.36</v>
      </c>
      <c r="C183" s="5">
        <v>0.25369999999999998</v>
      </c>
      <c r="D183" s="5">
        <v>0</v>
      </c>
    </row>
    <row r="184" spans="1:4" x14ac:dyDescent="0.3">
      <c r="A184" s="4">
        <v>0.12</v>
      </c>
      <c r="B184" s="4">
        <v>0.39</v>
      </c>
      <c r="C184" s="4">
        <v>0.35820000000000002</v>
      </c>
      <c r="D184" s="4">
        <v>2</v>
      </c>
    </row>
    <row r="185" spans="1:4" x14ac:dyDescent="0.3">
      <c r="A185" s="5">
        <v>0.12</v>
      </c>
      <c r="B185" s="5">
        <v>0.36</v>
      </c>
      <c r="C185" s="5">
        <v>0.3881</v>
      </c>
      <c r="D185" s="5">
        <v>1</v>
      </c>
    </row>
    <row r="186" spans="1:4" x14ac:dyDescent="0.3">
      <c r="A186" s="4">
        <v>0.1</v>
      </c>
      <c r="B186" s="4">
        <v>0.39</v>
      </c>
      <c r="C186" s="4">
        <v>0.44779999999999998</v>
      </c>
      <c r="D186" s="4">
        <v>0</v>
      </c>
    </row>
    <row r="187" spans="1:4" x14ac:dyDescent="0.3">
      <c r="A187" s="5">
        <v>0.1</v>
      </c>
      <c r="B187" s="5">
        <v>0.42</v>
      </c>
      <c r="C187" s="5">
        <v>0.3881</v>
      </c>
      <c r="D187" s="5">
        <v>1</v>
      </c>
    </row>
    <row r="188" spans="1:4" x14ac:dyDescent="0.3">
      <c r="A188" s="4">
        <v>0.1</v>
      </c>
      <c r="B188" s="4">
        <v>0.42</v>
      </c>
      <c r="C188" s="4">
        <v>0.4627</v>
      </c>
      <c r="D188" s="4">
        <v>0</v>
      </c>
    </row>
    <row r="189" spans="1:4" x14ac:dyDescent="0.3">
      <c r="A189" s="5">
        <v>0.1</v>
      </c>
      <c r="B189" s="5">
        <v>0.46</v>
      </c>
      <c r="C189" s="5">
        <v>0.4627</v>
      </c>
      <c r="D189" s="5">
        <v>0</v>
      </c>
    </row>
    <row r="190" spans="1:4" x14ac:dyDescent="0.3">
      <c r="A190" s="4">
        <v>0.1</v>
      </c>
      <c r="B190" s="4">
        <v>0.46</v>
      </c>
      <c r="C190" s="4">
        <v>0.41789999999999999</v>
      </c>
      <c r="D190" s="4">
        <v>0</v>
      </c>
    </row>
    <row r="191" spans="1:4" x14ac:dyDescent="0.3">
      <c r="A191" s="5">
        <v>0.08</v>
      </c>
      <c r="B191" s="5">
        <v>0.53</v>
      </c>
      <c r="C191" s="5">
        <v>0.19400000000000001</v>
      </c>
      <c r="D191" s="5">
        <v>0</v>
      </c>
    </row>
    <row r="192" spans="1:4" x14ac:dyDescent="0.3">
      <c r="A192" s="4">
        <v>0.08</v>
      </c>
      <c r="B192" s="4">
        <v>0.53</v>
      </c>
      <c r="C192" s="4">
        <v>0.19400000000000001</v>
      </c>
      <c r="D192" s="4">
        <v>0</v>
      </c>
    </row>
    <row r="193" spans="1:4" x14ac:dyDescent="0.3">
      <c r="A193" s="5">
        <v>0.1</v>
      </c>
      <c r="B193" s="5">
        <v>0.49</v>
      </c>
      <c r="C193" s="5">
        <v>0.28360000000000002</v>
      </c>
      <c r="D193" s="5">
        <v>0</v>
      </c>
    </row>
    <row r="194" spans="1:4" x14ac:dyDescent="0.3">
      <c r="A194" s="4">
        <v>0.08</v>
      </c>
      <c r="B194" s="4">
        <v>0.53</v>
      </c>
      <c r="C194" s="4">
        <v>0.19400000000000001</v>
      </c>
      <c r="D194" s="4">
        <v>1</v>
      </c>
    </row>
    <row r="195" spans="1:4" x14ac:dyDescent="0.3">
      <c r="A195" s="5">
        <v>0.1</v>
      </c>
      <c r="B195" s="5">
        <v>0.49</v>
      </c>
      <c r="C195" s="5">
        <v>0.28360000000000002</v>
      </c>
      <c r="D195" s="5">
        <v>0</v>
      </c>
    </row>
    <row r="196" spans="1:4" x14ac:dyDescent="0.3">
      <c r="A196" s="4">
        <v>0.12</v>
      </c>
      <c r="B196" s="4">
        <v>0.46</v>
      </c>
      <c r="C196" s="4">
        <v>0.52239999999999998</v>
      </c>
      <c r="D196" s="4">
        <v>0</v>
      </c>
    </row>
    <row r="197" spans="1:4" x14ac:dyDescent="0.3">
      <c r="A197" s="5">
        <v>0.14000000000000001</v>
      </c>
      <c r="B197" s="5">
        <v>0.43</v>
      </c>
      <c r="C197" s="5">
        <v>0.3881</v>
      </c>
      <c r="D197" s="5">
        <v>0</v>
      </c>
    </row>
    <row r="198" spans="1:4" x14ac:dyDescent="0.3">
      <c r="A198" s="4">
        <v>0.16</v>
      </c>
      <c r="B198" s="4">
        <v>0.4</v>
      </c>
      <c r="C198" s="4">
        <v>0.52239999999999998</v>
      </c>
      <c r="D198" s="4">
        <v>2</v>
      </c>
    </row>
    <row r="199" spans="1:4" x14ac:dyDescent="0.3">
      <c r="A199" s="5">
        <v>0.18</v>
      </c>
      <c r="B199" s="5">
        <v>0.37</v>
      </c>
      <c r="C199" s="5">
        <v>0.44779999999999998</v>
      </c>
      <c r="D199" s="5">
        <v>4</v>
      </c>
    </row>
    <row r="200" spans="1:4" x14ac:dyDescent="0.3">
      <c r="A200" s="4">
        <v>0.2</v>
      </c>
      <c r="B200" s="4">
        <v>0.34</v>
      </c>
      <c r="C200" s="4">
        <v>0.44779999999999998</v>
      </c>
      <c r="D200" s="4">
        <v>6</v>
      </c>
    </row>
    <row r="201" spans="1:4" x14ac:dyDescent="0.3">
      <c r="A201" s="5">
        <v>0.22</v>
      </c>
      <c r="B201" s="5">
        <v>0.32</v>
      </c>
      <c r="C201" s="5">
        <v>0.4627</v>
      </c>
      <c r="D201" s="5">
        <v>8</v>
      </c>
    </row>
    <row r="202" spans="1:4" x14ac:dyDescent="0.3">
      <c r="A202" s="4">
        <v>0.22</v>
      </c>
      <c r="B202" s="4">
        <v>0.35</v>
      </c>
      <c r="C202" s="4">
        <v>0.35820000000000002</v>
      </c>
      <c r="D202" s="4">
        <v>5</v>
      </c>
    </row>
    <row r="203" spans="1:4" x14ac:dyDescent="0.3">
      <c r="A203" s="5">
        <v>0.2</v>
      </c>
      <c r="B203" s="5">
        <v>0.34</v>
      </c>
      <c r="C203" s="5">
        <v>0.44779999999999998</v>
      </c>
      <c r="D203" s="5">
        <v>13</v>
      </c>
    </row>
    <row r="204" spans="1:4" x14ac:dyDescent="0.3">
      <c r="A204" s="4">
        <v>0.18</v>
      </c>
      <c r="B204" s="4">
        <v>0.37</v>
      </c>
      <c r="C204" s="4">
        <v>0.3881</v>
      </c>
      <c r="D204" s="4">
        <v>3</v>
      </c>
    </row>
    <row r="205" spans="1:4" x14ac:dyDescent="0.3">
      <c r="A205" s="5">
        <v>0.16</v>
      </c>
      <c r="B205" s="5">
        <v>0.4</v>
      </c>
      <c r="C205" s="5">
        <v>0.32840000000000003</v>
      </c>
      <c r="D205" s="5">
        <v>4</v>
      </c>
    </row>
    <row r="206" spans="1:4" x14ac:dyDescent="0.3">
      <c r="A206" s="4">
        <v>0.16</v>
      </c>
      <c r="B206" s="4">
        <v>0.43</v>
      </c>
      <c r="C206" s="4">
        <v>0.32840000000000003</v>
      </c>
      <c r="D206" s="4">
        <v>1</v>
      </c>
    </row>
    <row r="207" spans="1:4" x14ac:dyDescent="0.3">
      <c r="A207" s="5">
        <v>0.14000000000000001</v>
      </c>
      <c r="B207" s="5">
        <v>0.46</v>
      </c>
      <c r="C207" s="5">
        <v>0.25369999999999998</v>
      </c>
      <c r="D207" s="5">
        <v>0</v>
      </c>
    </row>
    <row r="208" spans="1:4" x14ac:dyDescent="0.3">
      <c r="A208" s="4">
        <v>0.14000000000000001</v>
      </c>
      <c r="B208" s="4">
        <v>0.46</v>
      </c>
      <c r="C208" s="4">
        <v>0.41789999999999999</v>
      </c>
      <c r="D208" s="4">
        <v>1</v>
      </c>
    </row>
    <row r="209" spans="1:4" x14ac:dyDescent="0.3">
      <c r="A209" s="5">
        <v>0.14000000000000001</v>
      </c>
      <c r="B209" s="5">
        <v>0.46</v>
      </c>
      <c r="C209" s="5">
        <v>0.29849999999999999</v>
      </c>
      <c r="D209" s="5">
        <v>5</v>
      </c>
    </row>
    <row r="210" spans="1:4" x14ac:dyDescent="0.3">
      <c r="A210" s="4">
        <v>0.12</v>
      </c>
      <c r="B210" s="4">
        <v>0.5</v>
      </c>
      <c r="C210" s="4">
        <v>0.19400000000000001</v>
      </c>
      <c r="D210" s="4">
        <v>0</v>
      </c>
    </row>
    <row r="211" spans="1:4" x14ac:dyDescent="0.3">
      <c r="A211" s="5">
        <v>0.12</v>
      </c>
      <c r="B211" s="5">
        <v>0.5</v>
      </c>
      <c r="C211" s="5">
        <v>0.28360000000000002</v>
      </c>
      <c r="D211" s="5">
        <v>2</v>
      </c>
    </row>
    <row r="212" spans="1:4" x14ac:dyDescent="0.3">
      <c r="A212" s="4">
        <v>0.12</v>
      </c>
      <c r="B212" s="4">
        <v>0.5</v>
      </c>
      <c r="C212" s="4">
        <v>0.28360000000000002</v>
      </c>
      <c r="D212" s="4">
        <v>1</v>
      </c>
    </row>
    <row r="213" spans="1:4" x14ac:dyDescent="0.3">
      <c r="A213" s="5">
        <v>0.12</v>
      </c>
      <c r="B213" s="5">
        <v>0.5</v>
      </c>
      <c r="C213" s="5">
        <v>0.22389999999999999</v>
      </c>
      <c r="D213" s="5">
        <v>0</v>
      </c>
    </row>
    <row r="214" spans="1:4" x14ac:dyDescent="0.3">
      <c r="A214" s="4">
        <v>0.12</v>
      </c>
      <c r="B214" s="4">
        <v>0.5</v>
      </c>
      <c r="C214" s="4">
        <v>0.22389999999999999</v>
      </c>
      <c r="D214" s="4">
        <v>0</v>
      </c>
    </row>
    <row r="215" spans="1:4" x14ac:dyDescent="0.3">
      <c r="A215" s="5">
        <v>0.1</v>
      </c>
      <c r="B215" s="5">
        <v>0.54</v>
      </c>
      <c r="C215" s="5">
        <v>0.1343</v>
      </c>
      <c r="D215" s="5">
        <v>1</v>
      </c>
    </row>
    <row r="216" spans="1:4" x14ac:dyDescent="0.3">
      <c r="A216" s="4">
        <v>0.1</v>
      </c>
      <c r="B216" s="4">
        <v>0.54</v>
      </c>
      <c r="C216" s="4">
        <v>0.25369999999999998</v>
      </c>
      <c r="D216" s="4">
        <v>0</v>
      </c>
    </row>
    <row r="217" spans="1:4" x14ac:dyDescent="0.3">
      <c r="A217" s="5">
        <v>0.12</v>
      </c>
      <c r="B217" s="5">
        <v>0.5</v>
      </c>
      <c r="C217" s="5">
        <v>0.28360000000000002</v>
      </c>
      <c r="D217" s="5">
        <v>0</v>
      </c>
    </row>
    <row r="218" spans="1:4" x14ac:dyDescent="0.3">
      <c r="A218" s="4">
        <v>0.12</v>
      </c>
      <c r="B218" s="4">
        <v>0.5</v>
      </c>
      <c r="C218" s="4">
        <v>0.22389999999999999</v>
      </c>
      <c r="D218" s="4">
        <v>2</v>
      </c>
    </row>
    <row r="219" spans="1:4" x14ac:dyDescent="0.3">
      <c r="A219" s="5">
        <v>0.12</v>
      </c>
      <c r="B219" s="5">
        <v>0.5</v>
      </c>
      <c r="C219" s="5">
        <v>0.28360000000000002</v>
      </c>
      <c r="D219" s="5">
        <v>4</v>
      </c>
    </row>
    <row r="220" spans="1:4" x14ac:dyDescent="0.3">
      <c r="A220" s="4">
        <v>0.14000000000000001</v>
      </c>
      <c r="B220" s="4">
        <v>0.5</v>
      </c>
      <c r="C220" s="4">
        <v>0.25369999999999998</v>
      </c>
      <c r="D220" s="4">
        <v>2</v>
      </c>
    </row>
    <row r="221" spans="1:4" x14ac:dyDescent="0.3">
      <c r="A221" s="5">
        <v>0.14000000000000001</v>
      </c>
      <c r="B221" s="5">
        <v>0.5</v>
      </c>
      <c r="C221" s="5">
        <v>0.29849999999999999</v>
      </c>
      <c r="D221" s="5">
        <v>0</v>
      </c>
    </row>
    <row r="222" spans="1:4" x14ac:dyDescent="0.3">
      <c r="A222" s="4">
        <v>0.16</v>
      </c>
      <c r="B222" s="4">
        <v>0.47</v>
      </c>
      <c r="C222" s="4">
        <v>0.28360000000000002</v>
      </c>
      <c r="D222" s="4">
        <v>2</v>
      </c>
    </row>
    <row r="223" spans="1:4" x14ac:dyDescent="0.3">
      <c r="A223" s="5">
        <v>0.2</v>
      </c>
      <c r="B223" s="5">
        <v>0.4</v>
      </c>
      <c r="C223" s="5">
        <v>0.28360000000000002</v>
      </c>
      <c r="D223" s="5">
        <v>5</v>
      </c>
    </row>
    <row r="224" spans="1:4" x14ac:dyDescent="0.3">
      <c r="A224" s="4">
        <v>0.2</v>
      </c>
      <c r="B224" s="4">
        <v>0.4</v>
      </c>
      <c r="C224" s="4">
        <v>0.28360000000000002</v>
      </c>
      <c r="D224" s="4">
        <v>4</v>
      </c>
    </row>
    <row r="225" spans="1:4" x14ac:dyDescent="0.3">
      <c r="A225" s="5">
        <v>0.2</v>
      </c>
      <c r="B225" s="5">
        <v>0.4</v>
      </c>
      <c r="C225" s="5">
        <v>0.22389999999999999</v>
      </c>
      <c r="D225" s="5">
        <v>0</v>
      </c>
    </row>
    <row r="226" spans="1:4" x14ac:dyDescent="0.3">
      <c r="A226" s="4">
        <v>0.2</v>
      </c>
      <c r="B226" s="4">
        <v>0.4</v>
      </c>
      <c r="C226" s="4">
        <v>0.22389999999999999</v>
      </c>
      <c r="D226" s="4">
        <v>2</v>
      </c>
    </row>
    <row r="227" spans="1:4" x14ac:dyDescent="0.3">
      <c r="A227" s="5">
        <v>0.2</v>
      </c>
      <c r="B227" s="5">
        <v>0.4</v>
      </c>
      <c r="C227" s="5">
        <v>0.1343</v>
      </c>
      <c r="D227" s="5">
        <v>4</v>
      </c>
    </row>
    <row r="228" spans="1:4" x14ac:dyDescent="0.3">
      <c r="A228" s="4">
        <v>0.2</v>
      </c>
      <c r="B228" s="4">
        <v>0.4</v>
      </c>
      <c r="C228" s="4">
        <v>0.1045</v>
      </c>
      <c r="D228" s="4">
        <v>4</v>
      </c>
    </row>
    <row r="229" spans="1:4" x14ac:dyDescent="0.3">
      <c r="A229" s="5">
        <v>0.2</v>
      </c>
      <c r="B229" s="5">
        <v>0.4</v>
      </c>
      <c r="C229" s="5">
        <v>0.22389999999999999</v>
      </c>
      <c r="D229" s="5">
        <v>1</v>
      </c>
    </row>
    <row r="230" spans="1:4" x14ac:dyDescent="0.3">
      <c r="A230" s="4">
        <v>0.16</v>
      </c>
      <c r="B230" s="4">
        <v>0.47</v>
      </c>
      <c r="C230" s="4">
        <v>0.16420000000000001</v>
      </c>
      <c r="D230" s="4">
        <v>3</v>
      </c>
    </row>
    <row r="231" spans="1:4" x14ac:dyDescent="0.3">
      <c r="A231" s="5">
        <v>0.16</v>
      </c>
      <c r="B231" s="5">
        <v>0.5</v>
      </c>
      <c r="C231" s="5">
        <v>0.16420000000000001</v>
      </c>
      <c r="D231" s="5">
        <v>1</v>
      </c>
    </row>
    <row r="232" spans="1:4" x14ac:dyDescent="0.3">
      <c r="A232" s="4">
        <v>0.14000000000000001</v>
      </c>
      <c r="B232" s="4">
        <v>0.59</v>
      </c>
      <c r="C232" s="4">
        <v>0.19400000000000001</v>
      </c>
      <c r="D232" s="4">
        <v>1</v>
      </c>
    </row>
    <row r="233" spans="1:4" x14ac:dyDescent="0.3">
      <c r="A233" s="5">
        <v>0.14000000000000001</v>
      </c>
      <c r="B233" s="5">
        <v>0.59</v>
      </c>
      <c r="C233" s="5">
        <v>0.16420000000000001</v>
      </c>
      <c r="D233" s="5">
        <v>2</v>
      </c>
    </row>
    <row r="234" spans="1:4" x14ac:dyDescent="0.3">
      <c r="A234" s="4">
        <v>0.14000000000000001</v>
      </c>
      <c r="B234" s="4">
        <v>0.59</v>
      </c>
      <c r="C234" s="4">
        <v>0.16420000000000001</v>
      </c>
      <c r="D234" s="4">
        <v>0</v>
      </c>
    </row>
    <row r="235" spans="1:4" x14ac:dyDescent="0.3">
      <c r="A235" s="5">
        <v>0.14000000000000001</v>
      </c>
      <c r="B235" s="5">
        <v>0.59</v>
      </c>
      <c r="C235" s="5">
        <v>0.1045</v>
      </c>
      <c r="D235" s="5">
        <v>2</v>
      </c>
    </row>
    <row r="236" spans="1:4" x14ac:dyDescent="0.3">
      <c r="A236" s="4">
        <v>0.14000000000000001</v>
      </c>
      <c r="B236" s="4">
        <v>0.59</v>
      </c>
      <c r="C236" s="4">
        <v>0.16420000000000001</v>
      </c>
      <c r="D236" s="4">
        <v>0</v>
      </c>
    </row>
    <row r="237" spans="1:4" x14ac:dyDescent="0.3">
      <c r="A237" s="5">
        <v>0.16</v>
      </c>
      <c r="B237" s="5">
        <v>0.55000000000000004</v>
      </c>
      <c r="C237" s="5">
        <v>0.19400000000000001</v>
      </c>
      <c r="D237" s="5">
        <v>0</v>
      </c>
    </row>
    <row r="238" spans="1:4" x14ac:dyDescent="0.3">
      <c r="A238" s="4">
        <v>0.16</v>
      </c>
      <c r="B238" s="4">
        <v>0.55000000000000004</v>
      </c>
      <c r="C238" s="4">
        <v>0.1343</v>
      </c>
      <c r="D238" s="4">
        <v>0</v>
      </c>
    </row>
    <row r="239" spans="1:4" x14ac:dyDescent="0.3">
      <c r="A239" s="5">
        <v>0.16</v>
      </c>
      <c r="B239" s="5">
        <v>0.55000000000000004</v>
      </c>
      <c r="C239" s="5">
        <v>0.1343</v>
      </c>
      <c r="D239" s="5">
        <v>0</v>
      </c>
    </row>
    <row r="240" spans="1:4" x14ac:dyDescent="0.3">
      <c r="A240" s="4">
        <v>0.16</v>
      </c>
      <c r="B240" s="4">
        <v>0.55000000000000004</v>
      </c>
      <c r="C240" s="4">
        <v>0</v>
      </c>
      <c r="D240" s="4">
        <v>2</v>
      </c>
    </row>
    <row r="241" spans="1:4" x14ac:dyDescent="0.3">
      <c r="A241" s="5">
        <v>0.18</v>
      </c>
      <c r="B241" s="5">
        <v>0.51</v>
      </c>
      <c r="C241" s="5">
        <v>8.9599999999999999E-2</v>
      </c>
      <c r="D241" s="5">
        <v>3</v>
      </c>
    </row>
    <row r="242" spans="1:4" x14ac:dyDescent="0.3">
      <c r="A242" s="4">
        <v>0.18</v>
      </c>
      <c r="B242" s="4">
        <v>0.51</v>
      </c>
      <c r="C242" s="4">
        <v>0.16420000000000001</v>
      </c>
      <c r="D242" s="4">
        <v>3</v>
      </c>
    </row>
    <row r="243" spans="1:4" x14ac:dyDescent="0.3">
      <c r="A243" s="5">
        <v>0.2</v>
      </c>
      <c r="B243" s="5">
        <v>0.51</v>
      </c>
      <c r="C243" s="5">
        <v>0.16420000000000001</v>
      </c>
      <c r="D243" s="5">
        <v>3</v>
      </c>
    </row>
    <row r="244" spans="1:4" x14ac:dyDescent="0.3">
      <c r="A244" s="4">
        <v>0.2</v>
      </c>
      <c r="B244" s="4">
        <v>0.47</v>
      </c>
      <c r="C244" s="4">
        <v>0.1343</v>
      </c>
      <c r="D244" s="4">
        <v>4</v>
      </c>
    </row>
    <row r="245" spans="1:4" x14ac:dyDescent="0.3">
      <c r="A245" s="5">
        <v>0.2</v>
      </c>
      <c r="B245" s="5">
        <v>0.51</v>
      </c>
      <c r="C245" s="5">
        <v>0.1045</v>
      </c>
      <c r="D245" s="5">
        <v>2</v>
      </c>
    </row>
    <row r="246" spans="1:4" x14ac:dyDescent="0.3">
      <c r="A246" s="4">
        <v>0.2</v>
      </c>
      <c r="B246" s="4">
        <v>0.59</v>
      </c>
      <c r="C246" s="4">
        <v>8.9599999999999999E-2</v>
      </c>
      <c r="D246" s="4">
        <v>6</v>
      </c>
    </row>
    <row r="247" spans="1:4" x14ac:dyDescent="0.3">
      <c r="A247" s="5">
        <v>0.2</v>
      </c>
      <c r="B247" s="5">
        <v>0.59</v>
      </c>
      <c r="C247" s="5">
        <v>8.9599999999999999E-2</v>
      </c>
      <c r="D247" s="5">
        <v>3</v>
      </c>
    </row>
    <row r="248" spans="1:4" x14ac:dyDescent="0.3">
      <c r="A248" s="4">
        <v>0.16</v>
      </c>
      <c r="B248" s="4">
        <v>0.8</v>
      </c>
      <c r="C248" s="4">
        <v>8.9599999999999999E-2</v>
      </c>
      <c r="D248" s="4">
        <v>2</v>
      </c>
    </row>
    <row r="249" spans="1:4" x14ac:dyDescent="0.3">
      <c r="A249" s="5">
        <v>0.16</v>
      </c>
      <c r="B249" s="5">
        <v>0.86</v>
      </c>
      <c r="C249" s="5">
        <v>0.22389999999999999</v>
      </c>
      <c r="D249" s="5">
        <v>4</v>
      </c>
    </row>
    <row r="250" spans="1:4" x14ac:dyDescent="0.3">
      <c r="A250" s="4">
        <v>0.16</v>
      </c>
      <c r="B250" s="4">
        <v>0.86</v>
      </c>
      <c r="C250" s="4">
        <v>0.22389999999999999</v>
      </c>
      <c r="D250" s="4">
        <v>6</v>
      </c>
    </row>
    <row r="251" spans="1:4" x14ac:dyDescent="0.3">
      <c r="A251" s="5">
        <v>0.16</v>
      </c>
      <c r="B251" s="5">
        <v>0.93</v>
      </c>
      <c r="C251" s="5">
        <v>0.1045</v>
      </c>
      <c r="D251" s="5">
        <v>1</v>
      </c>
    </row>
    <row r="252" spans="1:4" x14ac:dyDescent="0.3">
      <c r="A252" s="4">
        <v>0.16</v>
      </c>
      <c r="B252" s="4">
        <v>0.93</v>
      </c>
      <c r="C252" s="4">
        <v>0</v>
      </c>
      <c r="D252" s="4">
        <v>0</v>
      </c>
    </row>
    <row r="253" spans="1:4" x14ac:dyDescent="0.3">
      <c r="A253" s="5">
        <v>0.16</v>
      </c>
      <c r="B253" s="5">
        <v>0.93</v>
      </c>
      <c r="C253" s="5">
        <v>0.19400000000000001</v>
      </c>
      <c r="D253" s="5">
        <v>0</v>
      </c>
    </row>
    <row r="254" spans="1:4" x14ac:dyDescent="0.3">
      <c r="A254" s="4">
        <v>0.16</v>
      </c>
      <c r="B254" s="4">
        <v>0.86</v>
      </c>
      <c r="C254" s="4">
        <v>8.9599999999999999E-2</v>
      </c>
      <c r="D254" s="4">
        <v>0</v>
      </c>
    </row>
    <row r="255" spans="1:4" x14ac:dyDescent="0.3">
      <c r="A255" s="5">
        <v>0.16</v>
      </c>
      <c r="B255" s="5">
        <v>0.93</v>
      </c>
      <c r="C255" s="5">
        <v>0.1045</v>
      </c>
      <c r="D255" s="5">
        <v>1</v>
      </c>
    </row>
    <row r="256" spans="1:4" x14ac:dyDescent="0.3">
      <c r="A256" s="4">
        <v>0.16</v>
      </c>
      <c r="B256" s="4">
        <v>0.93</v>
      </c>
      <c r="C256" s="4">
        <v>8.9599999999999999E-2</v>
      </c>
      <c r="D256" s="4">
        <v>1</v>
      </c>
    </row>
    <row r="257" spans="1:4" x14ac:dyDescent="0.3">
      <c r="A257" s="5">
        <v>0.16</v>
      </c>
      <c r="B257" s="5">
        <v>0.86</v>
      </c>
      <c r="C257" s="5">
        <v>8.9599999999999999E-2</v>
      </c>
      <c r="D257" s="5">
        <v>0</v>
      </c>
    </row>
    <row r="258" spans="1:4" x14ac:dyDescent="0.3">
      <c r="A258" s="4">
        <v>0.16</v>
      </c>
      <c r="B258" s="4">
        <v>0.86</v>
      </c>
      <c r="C258" s="4">
        <v>0.1045</v>
      </c>
      <c r="D258" s="4">
        <v>0</v>
      </c>
    </row>
    <row r="259" spans="1:4" x14ac:dyDescent="0.3">
      <c r="A259" s="5">
        <v>0.14000000000000001</v>
      </c>
      <c r="B259" s="5">
        <v>0.86</v>
      </c>
      <c r="C259" s="5">
        <v>0.1343</v>
      </c>
      <c r="D259" s="5">
        <v>0</v>
      </c>
    </row>
    <row r="260" spans="1:4" x14ac:dyDescent="0.3">
      <c r="A260" s="4">
        <v>0.14000000000000001</v>
      </c>
      <c r="B260" s="4">
        <v>0.86</v>
      </c>
      <c r="C260" s="4">
        <v>0.16420000000000001</v>
      </c>
      <c r="D260" s="4">
        <v>0</v>
      </c>
    </row>
    <row r="261" spans="1:4" x14ac:dyDescent="0.3">
      <c r="A261" s="5">
        <v>0.12</v>
      </c>
      <c r="B261" s="5">
        <v>0.93</v>
      </c>
      <c r="C261" s="5">
        <v>0.1343</v>
      </c>
      <c r="D261" s="5">
        <v>0</v>
      </c>
    </row>
    <row r="262" spans="1:4" x14ac:dyDescent="0.3">
      <c r="A262" s="4">
        <v>0.14000000000000001</v>
      </c>
      <c r="B262" s="4">
        <v>0.69</v>
      </c>
      <c r="C262" s="4">
        <v>0.1343</v>
      </c>
      <c r="D262" s="4">
        <v>0</v>
      </c>
    </row>
    <row r="263" spans="1:4" x14ac:dyDescent="0.3">
      <c r="A263" s="5">
        <v>0.16</v>
      </c>
      <c r="B263" s="5">
        <v>0.59</v>
      </c>
      <c r="C263" s="5">
        <v>0.16420000000000001</v>
      </c>
      <c r="D263" s="5">
        <v>3</v>
      </c>
    </row>
    <row r="264" spans="1:4" x14ac:dyDescent="0.3">
      <c r="A264" s="4">
        <v>0.16</v>
      </c>
      <c r="B264" s="4">
        <v>0.59</v>
      </c>
      <c r="C264" s="4">
        <v>0.32840000000000003</v>
      </c>
      <c r="D264" s="4">
        <v>3</v>
      </c>
    </row>
    <row r="265" spans="1:4" x14ac:dyDescent="0.3">
      <c r="A265" s="5">
        <v>0.18</v>
      </c>
      <c r="B265" s="5">
        <v>0.55000000000000004</v>
      </c>
      <c r="C265" s="5">
        <v>0.22389999999999999</v>
      </c>
      <c r="D265" s="5">
        <v>0</v>
      </c>
    </row>
    <row r="266" spans="1:4" x14ac:dyDescent="0.3">
      <c r="A266" s="4">
        <v>0.2</v>
      </c>
      <c r="B266" s="4">
        <v>0.51</v>
      </c>
      <c r="C266" s="4">
        <v>0.3881</v>
      </c>
      <c r="D266" s="4">
        <v>3</v>
      </c>
    </row>
    <row r="267" spans="1:4" x14ac:dyDescent="0.3">
      <c r="A267" s="5">
        <v>0.2</v>
      </c>
      <c r="B267" s="5">
        <v>0.47</v>
      </c>
      <c r="C267" s="5">
        <v>0.58209999999999995</v>
      </c>
      <c r="D267" s="5">
        <v>3</v>
      </c>
    </row>
    <row r="268" spans="1:4" x14ac:dyDescent="0.3">
      <c r="A268" s="4">
        <v>0.22</v>
      </c>
      <c r="B268" s="4">
        <v>0.44</v>
      </c>
      <c r="C268" s="4">
        <v>0.35820000000000002</v>
      </c>
      <c r="D268" s="4">
        <v>0</v>
      </c>
    </row>
    <row r="269" spans="1:4" x14ac:dyDescent="0.3">
      <c r="A269" s="5">
        <v>0.2</v>
      </c>
      <c r="B269" s="5">
        <v>0.47</v>
      </c>
      <c r="C269" s="5">
        <v>0.32840000000000003</v>
      </c>
      <c r="D269" s="5">
        <v>0</v>
      </c>
    </row>
    <row r="270" spans="1:4" x14ac:dyDescent="0.3">
      <c r="A270" s="4">
        <v>0.2</v>
      </c>
      <c r="B270" s="4">
        <v>0.47</v>
      </c>
      <c r="C270" s="4">
        <v>0.41789999999999999</v>
      </c>
      <c r="D270" s="4">
        <v>1</v>
      </c>
    </row>
    <row r="271" spans="1:4" x14ac:dyDescent="0.3">
      <c r="A271" s="5">
        <v>0.22</v>
      </c>
      <c r="B271" s="5">
        <v>0.44</v>
      </c>
      <c r="C271" s="5">
        <v>0.32840000000000003</v>
      </c>
      <c r="D271" s="5">
        <v>5</v>
      </c>
    </row>
    <row r="272" spans="1:4" x14ac:dyDescent="0.3">
      <c r="A272" s="4">
        <v>0.2</v>
      </c>
      <c r="B272" s="4">
        <v>0.47</v>
      </c>
      <c r="C272" s="4">
        <v>0.35820000000000002</v>
      </c>
      <c r="D272" s="4">
        <v>0</v>
      </c>
    </row>
    <row r="273" spans="1:4" x14ac:dyDescent="0.3">
      <c r="A273" s="5">
        <v>0.2</v>
      </c>
      <c r="B273" s="5">
        <v>0.47</v>
      </c>
      <c r="C273" s="5">
        <v>0.52239999999999998</v>
      </c>
      <c r="D273" s="5">
        <v>2</v>
      </c>
    </row>
    <row r="274" spans="1:4" x14ac:dyDescent="0.3">
      <c r="A274" s="4">
        <v>0.18</v>
      </c>
      <c r="B274" s="4">
        <v>0.47</v>
      </c>
      <c r="C274" s="4">
        <v>0.41789999999999999</v>
      </c>
      <c r="D274" s="4">
        <v>1</v>
      </c>
    </row>
    <row r="275" spans="1:4" x14ac:dyDescent="0.3">
      <c r="A275" s="5">
        <v>0.16</v>
      </c>
      <c r="B275" s="5">
        <v>0.5</v>
      </c>
      <c r="C275" s="5">
        <v>0.32840000000000003</v>
      </c>
      <c r="D275" s="5">
        <v>2</v>
      </c>
    </row>
    <row r="276" spans="1:4" x14ac:dyDescent="0.3">
      <c r="A276" s="4">
        <v>0.16</v>
      </c>
      <c r="B276" s="4">
        <v>0.55000000000000004</v>
      </c>
      <c r="C276" s="4">
        <v>0.32840000000000003</v>
      </c>
      <c r="D276" s="4">
        <v>0</v>
      </c>
    </row>
    <row r="277" spans="1:4" x14ac:dyDescent="0.3">
      <c r="A277" s="5">
        <v>0.16</v>
      </c>
      <c r="B277" s="5">
        <v>0.55000000000000004</v>
      </c>
      <c r="C277" s="5">
        <v>0.44779999999999998</v>
      </c>
      <c r="D277" s="5">
        <v>1</v>
      </c>
    </row>
    <row r="278" spans="1:4" x14ac:dyDescent="0.3">
      <c r="A278" s="4">
        <v>0.14000000000000001</v>
      </c>
      <c r="B278" s="4">
        <v>0.59</v>
      </c>
      <c r="C278" s="4">
        <v>0.41789999999999999</v>
      </c>
      <c r="D278" s="4">
        <v>1</v>
      </c>
    </row>
    <row r="279" spans="1:4" x14ac:dyDescent="0.3">
      <c r="A279" s="5">
        <v>0.14000000000000001</v>
      </c>
      <c r="B279" s="5">
        <v>0.59</v>
      </c>
      <c r="C279" s="5">
        <v>0.28360000000000002</v>
      </c>
      <c r="D279" s="5">
        <v>1</v>
      </c>
    </row>
    <row r="280" spans="1:4" x14ac:dyDescent="0.3">
      <c r="A280" s="4">
        <v>0.14000000000000001</v>
      </c>
      <c r="B280" s="4">
        <v>0.5</v>
      </c>
      <c r="C280" s="4">
        <v>0.28360000000000002</v>
      </c>
      <c r="D280" s="4">
        <v>0</v>
      </c>
    </row>
    <row r="281" spans="1:4" x14ac:dyDescent="0.3">
      <c r="A281" s="5">
        <v>0.14000000000000001</v>
      </c>
      <c r="B281" s="5">
        <v>0.5</v>
      </c>
      <c r="C281" s="5">
        <v>0.35820000000000002</v>
      </c>
      <c r="D281" s="5">
        <v>0</v>
      </c>
    </row>
    <row r="282" spans="1:4" x14ac:dyDescent="0.3">
      <c r="A282" s="4">
        <v>0.14000000000000001</v>
      </c>
      <c r="B282" s="4">
        <v>0.5</v>
      </c>
      <c r="C282" s="4">
        <v>0.32840000000000003</v>
      </c>
      <c r="D282" s="4">
        <v>0</v>
      </c>
    </row>
    <row r="283" spans="1:4" x14ac:dyDescent="0.3">
      <c r="A283" s="5">
        <v>0.14000000000000001</v>
      </c>
      <c r="B283" s="5">
        <v>0.5</v>
      </c>
      <c r="C283" s="5">
        <v>0.25369999999999998</v>
      </c>
      <c r="D283" s="5">
        <v>0</v>
      </c>
    </row>
    <row r="284" spans="1:4" x14ac:dyDescent="0.3">
      <c r="A284" s="4">
        <v>0.14000000000000001</v>
      </c>
      <c r="B284" s="4">
        <v>0.5</v>
      </c>
      <c r="C284" s="4">
        <v>0.29849999999999999</v>
      </c>
      <c r="D284" s="4">
        <v>0</v>
      </c>
    </row>
    <row r="285" spans="1:4" x14ac:dyDescent="0.3">
      <c r="A285" s="5">
        <v>0.12</v>
      </c>
      <c r="B285" s="5">
        <v>0.54</v>
      </c>
      <c r="C285" s="5">
        <v>0.1343</v>
      </c>
      <c r="D285" s="5">
        <v>0</v>
      </c>
    </row>
    <row r="286" spans="1:4" x14ac:dyDescent="0.3">
      <c r="A286" s="4">
        <v>0.12</v>
      </c>
      <c r="B286" s="4">
        <v>0.54</v>
      </c>
      <c r="C286" s="4">
        <v>0.1343</v>
      </c>
      <c r="D286" s="4">
        <v>0</v>
      </c>
    </row>
    <row r="287" spans="1:4" x14ac:dyDescent="0.3">
      <c r="A287" s="5">
        <v>0.14000000000000001</v>
      </c>
      <c r="B287" s="5">
        <v>0.5</v>
      </c>
      <c r="C287" s="5">
        <v>0.19400000000000001</v>
      </c>
      <c r="D287" s="5">
        <v>5</v>
      </c>
    </row>
    <row r="288" spans="1:4" x14ac:dyDescent="0.3">
      <c r="A288" s="4">
        <v>0.14000000000000001</v>
      </c>
      <c r="B288" s="4">
        <v>0.5</v>
      </c>
      <c r="C288" s="4">
        <v>0.32840000000000003</v>
      </c>
      <c r="D288" s="4">
        <v>2</v>
      </c>
    </row>
    <row r="289" spans="1:4" x14ac:dyDescent="0.3">
      <c r="A289" s="5">
        <v>0.16</v>
      </c>
      <c r="B289" s="5">
        <v>0.5</v>
      </c>
      <c r="C289" s="5">
        <v>0.35820000000000002</v>
      </c>
      <c r="D289" s="5">
        <v>2</v>
      </c>
    </row>
    <row r="290" spans="1:4" x14ac:dyDescent="0.3">
      <c r="A290" s="4">
        <v>0.2</v>
      </c>
      <c r="B290" s="4">
        <v>0.44</v>
      </c>
      <c r="C290" s="4">
        <v>0.44779999999999998</v>
      </c>
      <c r="D290" s="4">
        <v>4</v>
      </c>
    </row>
    <row r="291" spans="1:4" x14ac:dyDescent="0.3">
      <c r="A291" s="5">
        <v>0.2</v>
      </c>
      <c r="B291" s="5">
        <v>0.44</v>
      </c>
      <c r="C291" s="5">
        <v>0.41789999999999999</v>
      </c>
      <c r="D291" s="5">
        <v>3</v>
      </c>
    </row>
    <row r="292" spans="1:4" x14ac:dyDescent="0.3">
      <c r="A292" s="4">
        <v>0.22</v>
      </c>
      <c r="B292" s="4">
        <v>0.41</v>
      </c>
      <c r="C292" s="4">
        <v>0.44779999999999998</v>
      </c>
      <c r="D292" s="4">
        <v>2</v>
      </c>
    </row>
    <row r="293" spans="1:4" x14ac:dyDescent="0.3">
      <c r="A293" s="5">
        <v>0.22</v>
      </c>
      <c r="B293" s="5">
        <v>0.41</v>
      </c>
      <c r="C293" s="5">
        <v>0.3881</v>
      </c>
      <c r="D293" s="5">
        <v>3</v>
      </c>
    </row>
    <row r="294" spans="1:4" x14ac:dyDescent="0.3">
      <c r="A294" s="4">
        <v>0.24</v>
      </c>
      <c r="B294" s="4">
        <v>0.38</v>
      </c>
      <c r="C294" s="4">
        <v>0.29849999999999999</v>
      </c>
      <c r="D294" s="4">
        <v>5</v>
      </c>
    </row>
    <row r="295" spans="1:4" x14ac:dyDescent="0.3">
      <c r="A295" s="5">
        <v>0.24</v>
      </c>
      <c r="B295" s="5">
        <v>0.38</v>
      </c>
      <c r="C295" s="5">
        <v>0.35820000000000002</v>
      </c>
      <c r="D295" s="5">
        <v>2</v>
      </c>
    </row>
    <row r="296" spans="1:4" x14ac:dyDescent="0.3">
      <c r="A296" s="4">
        <v>0.2</v>
      </c>
      <c r="B296" s="4">
        <v>0.4</v>
      </c>
      <c r="C296" s="4">
        <v>0.28360000000000002</v>
      </c>
      <c r="D296" s="4">
        <v>4</v>
      </c>
    </row>
    <row r="297" spans="1:4" x14ac:dyDescent="0.3">
      <c r="A297" s="5">
        <v>0.2</v>
      </c>
      <c r="B297" s="5">
        <v>0.4</v>
      </c>
      <c r="C297" s="5">
        <v>0.32840000000000003</v>
      </c>
      <c r="D297" s="5">
        <v>3</v>
      </c>
    </row>
    <row r="298" spans="1:4" x14ac:dyDescent="0.3">
      <c r="A298" s="4">
        <v>0.16</v>
      </c>
      <c r="B298" s="4">
        <v>0.47</v>
      </c>
      <c r="C298" s="4">
        <v>0.25369999999999998</v>
      </c>
      <c r="D298" s="4">
        <v>1</v>
      </c>
    </row>
    <row r="299" spans="1:4" x14ac:dyDescent="0.3">
      <c r="A299" s="5">
        <v>0.16</v>
      </c>
      <c r="B299" s="5">
        <v>0.47</v>
      </c>
      <c r="C299" s="5">
        <v>0.22389999999999999</v>
      </c>
      <c r="D299" s="5">
        <v>0</v>
      </c>
    </row>
    <row r="300" spans="1:4" x14ac:dyDescent="0.3">
      <c r="A300" s="4">
        <v>0.14000000000000001</v>
      </c>
      <c r="B300" s="4">
        <v>0.46</v>
      </c>
      <c r="C300" s="4">
        <v>0.29849999999999999</v>
      </c>
      <c r="D300" s="4">
        <v>0</v>
      </c>
    </row>
    <row r="301" spans="1:4" x14ac:dyDescent="0.3">
      <c r="A301" s="5">
        <v>0.14000000000000001</v>
      </c>
      <c r="B301" s="5">
        <v>0.46</v>
      </c>
      <c r="C301" s="5">
        <v>0.32840000000000003</v>
      </c>
      <c r="D301" s="5">
        <v>0</v>
      </c>
    </row>
    <row r="302" spans="1:4" x14ac:dyDescent="0.3">
      <c r="A302" s="4">
        <v>0.12</v>
      </c>
      <c r="B302" s="4">
        <v>0.5</v>
      </c>
      <c r="C302" s="4">
        <v>0.19400000000000001</v>
      </c>
      <c r="D302" s="4">
        <v>1</v>
      </c>
    </row>
    <row r="303" spans="1:4" x14ac:dyDescent="0.3">
      <c r="A303" s="5">
        <v>0.12</v>
      </c>
      <c r="B303" s="5">
        <v>0.5</v>
      </c>
      <c r="C303" s="5">
        <v>0.19400000000000001</v>
      </c>
      <c r="D303" s="5">
        <v>0</v>
      </c>
    </row>
    <row r="304" spans="1:4" x14ac:dyDescent="0.3">
      <c r="A304" s="4">
        <v>0.1</v>
      </c>
      <c r="B304" s="4">
        <v>0.54</v>
      </c>
      <c r="C304" s="4">
        <v>0.16420000000000001</v>
      </c>
      <c r="D304" s="4">
        <v>0</v>
      </c>
    </row>
    <row r="305" spans="1:4" x14ac:dyDescent="0.3">
      <c r="A305" s="5">
        <v>0.1</v>
      </c>
      <c r="B305" s="5">
        <v>0.54</v>
      </c>
      <c r="C305" s="5">
        <v>0.1343</v>
      </c>
      <c r="D305" s="5">
        <v>0</v>
      </c>
    </row>
    <row r="306" spans="1:4" x14ac:dyDescent="0.3">
      <c r="A306" s="4">
        <v>0.1</v>
      </c>
      <c r="B306" s="4">
        <v>0.54</v>
      </c>
      <c r="C306" s="4">
        <v>0.1045</v>
      </c>
      <c r="D306" s="4">
        <v>0</v>
      </c>
    </row>
    <row r="307" spans="1:4" x14ac:dyDescent="0.3">
      <c r="A307" s="5">
        <v>0.1</v>
      </c>
      <c r="B307" s="5">
        <v>0.54</v>
      </c>
      <c r="C307" s="5">
        <v>8.9599999999999999E-2</v>
      </c>
      <c r="D307" s="5">
        <v>0</v>
      </c>
    </row>
    <row r="308" spans="1:4" x14ac:dyDescent="0.3">
      <c r="A308" s="4">
        <v>0.1</v>
      </c>
      <c r="B308" s="4">
        <v>0.54</v>
      </c>
      <c r="C308" s="4">
        <v>0</v>
      </c>
      <c r="D308" s="4">
        <v>0</v>
      </c>
    </row>
    <row r="309" spans="1:4" x14ac:dyDescent="0.3">
      <c r="A309" s="5">
        <v>0.1</v>
      </c>
      <c r="B309" s="5">
        <v>0.74</v>
      </c>
      <c r="C309" s="5">
        <v>0.16420000000000001</v>
      </c>
      <c r="D309" s="5">
        <v>0</v>
      </c>
    </row>
    <row r="310" spans="1:4" x14ac:dyDescent="0.3">
      <c r="A310" s="4">
        <v>0.12</v>
      </c>
      <c r="B310" s="4">
        <v>0.68</v>
      </c>
      <c r="C310" s="4">
        <v>0</v>
      </c>
      <c r="D310" s="4">
        <v>2</v>
      </c>
    </row>
    <row r="311" spans="1:4" x14ac:dyDescent="0.3">
      <c r="A311" s="5">
        <v>0.14000000000000001</v>
      </c>
      <c r="B311" s="5">
        <v>0.69</v>
      </c>
      <c r="C311" s="5">
        <v>0.1343</v>
      </c>
      <c r="D311" s="5">
        <v>0</v>
      </c>
    </row>
    <row r="312" spans="1:4" x14ac:dyDescent="0.3">
      <c r="A312" s="4">
        <v>0.18</v>
      </c>
      <c r="B312" s="4">
        <v>0.55000000000000004</v>
      </c>
      <c r="C312" s="4">
        <v>0.19400000000000001</v>
      </c>
      <c r="D312" s="4">
        <v>4</v>
      </c>
    </row>
    <row r="313" spans="1:4" x14ac:dyDescent="0.3">
      <c r="A313" s="5">
        <v>0.18</v>
      </c>
      <c r="B313" s="5">
        <v>0.51</v>
      </c>
      <c r="C313" s="5">
        <v>0.28360000000000002</v>
      </c>
      <c r="D313" s="5">
        <v>6</v>
      </c>
    </row>
    <row r="314" spans="1:4" x14ac:dyDescent="0.3">
      <c r="A314" s="4">
        <v>0.2</v>
      </c>
      <c r="B314" s="4">
        <v>0.44</v>
      </c>
      <c r="C314" s="4">
        <v>0.25369999999999998</v>
      </c>
      <c r="D314" s="4">
        <v>2</v>
      </c>
    </row>
    <row r="315" spans="1:4" x14ac:dyDescent="0.3">
      <c r="A315" s="5">
        <v>0.22</v>
      </c>
      <c r="B315" s="5">
        <v>0.37</v>
      </c>
      <c r="C315" s="5">
        <v>0.3881</v>
      </c>
      <c r="D315" s="5">
        <v>4</v>
      </c>
    </row>
    <row r="316" spans="1:4" x14ac:dyDescent="0.3">
      <c r="A316" s="4">
        <v>0.22</v>
      </c>
      <c r="B316" s="4">
        <v>0.41</v>
      </c>
      <c r="C316" s="4">
        <v>0.28360000000000002</v>
      </c>
      <c r="D316" s="4">
        <v>5</v>
      </c>
    </row>
    <row r="317" spans="1:4" x14ac:dyDescent="0.3">
      <c r="A317" s="5">
        <v>0.24</v>
      </c>
      <c r="B317" s="5">
        <v>0.38</v>
      </c>
      <c r="C317" s="5">
        <v>0.16420000000000001</v>
      </c>
      <c r="D317" s="5">
        <v>9</v>
      </c>
    </row>
    <row r="318" spans="1:4" x14ac:dyDescent="0.3">
      <c r="A318" s="4">
        <v>0.22</v>
      </c>
      <c r="B318" s="4">
        <v>0.41</v>
      </c>
      <c r="C318" s="4">
        <v>0.1045</v>
      </c>
      <c r="D318" s="4">
        <v>3</v>
      </c>
    </row>
    <row r="319" spans="1:4" x14ac:dyDescent="0.3">
      <c r="A319" s="5">
        <v>0.22</v>
      </c>
      <c r="B319" s="5">
        <v>0.41</v>
      </c>
      <c r="C319" s="5">
        <v>0.16420000000000001</v>
      </c>
      <c r="D319" s="5">
        <v>4</v>
      </c>
    </row>
    <row r="320" spans="1:4" x14ac:dyDescent="0.3">
      <c r="A320" s="4">
        <v>0.2</v>
      </c>
      <c r="B320" s="4">
        <v>0.47</v>
      </c>
      <c r="C320" s="4">
        <v>0</v>
      </c>
      <c r="D320" s="4">
        <v>5</v>
      </c>
    </row>
    <row r="321" spans="1:4" x14ac:dyDescent="0.3">
      <c r="A321" s="5">
        <v>0.16</v>
      </c>
      <c r="B321" s="5">
        <v>0.59</v>
      </c>
      <c r="C321" s="5">
        <v>8.9599999999999999E-2</v>
      </c>
      <c r="D321" s="5">
        <v>3</v>
      </c>
    </row>
    <row r="322" spans="1:4" x14ac:dyDescent="0.3">
      <c r="A322" s="4">
        <v>0.18</v>
      </c>
      <c r="B322" s="4">
        <v>0.59</v>
      </c>
      <c r="C322" s="4">
        <v>0</v>
      </c>
      <c r="D322" s="4">
        <v>0</v>
      </c>
    </row>
    <row r="323" spans="1:4" x14ac:dyDescent="0.3">
      <c r="A323" s="5">
        <v>0.16</v>
      </c>
      <c r="B323" s="5">
        <v>0.69</v>
      </c>
      <c r="C323" s="5">
        <v>0</v>
      </c>
      <c r="D323" s="5">
        <v>4</v>
      </c>
    </row>
    <row r="324" spans="1:4" x14ac:dyDescent="0.3">
      <c r="A324" s="4">
        <v>0.16</v>
      </c>
      <c r="B324" s="4">
        <v>0.69</v>
      </c>
      <c r="C324" s="4">
        <v>0</v>
      </c>
      <c r="D324" s="4">
        <v>2</v>
      </c>
    </row>
    <row r="325" spans="1:4" x14ac:dyDescent="0.3">
      <c r="A325" s="5">
        <v>0.18</v>
      </c>
      <c r="B325" s="5">
        <v>0.55000000000000004</v>
      </c>
      <c r="C325" s="5">
        <v>0</v>
      </c>
      <c r="D325" s="5">
        <v>1</v>
      </c>
    </row>
    <row r="326" spans="1:4" x14ac:dyDescent="0.3">
      <c r="A326" s="4">
        <v>0.18</v>
      </c>
      <c r="B326" s="4">
        <v>0.55000000000000004</v>
      </c>
      <c r="C326" s="4">
        <v>0</v>
      </c>
      <c r="D326" s="4">
        <v>3</v>
      </c>
    </row>
    <row r="327" spans="1:4" x14ac:dyDescent="0.3">
      <c r="A327" s="5">
        <v>0.16</v>
      </c>
      <c r="B327" s="5">
        <v>0.59</v>
      </c>
      <c r="C327" s="5">
        <v>8.9599999999999999E-2</v>
      </c>
      <c r="D327" s="5">
        <v>2</v>
      </c>
    </row>
    <row r="328" spans="1:4" x14ac:dyDescent="0.3">
      <c r="A328" s="4">
        <v>0.16</v>
      </c>
      <c r="B328" s="4">
        <v>0.59</v>
      </c>
      <c r="C328" s="4">
        <v>8.9599999999999999E-2</v>
      </c>
      <c r="D328" s="4">
        <v>0</v>
      </c>
    </row>
    <row r="329" spans="1:4" x14ac:dyDescent="0.3">
      <c r="A329" s="5">
        <v>0.16</v>
      </c>
      <c r="B329" s="5">
        <v>0.59</v>
      </c>
      <c r="C329" s="5">
        <v>0</v>
      </c>
      <c r="D329" s="5">
        <v>1</v>
      </c>
    </row>
    <row r="330" spans="1:4" x14ac:dyDescent="0.3">
      <c r="A330" s="4">
        <v>0.16</v>
      </c>
      <c r="B330" s="4">
        <v>0.59</v>
      </c>
      <c r="C330" s="4">
        <v>0</v>
      </c>
      <c r="D330" s="4">
        <v>0</v>
      </c>
    </row>
    <row r="331" spans="1:4" x14ac:dyDescent="0.3">
      <c r="A331" s="5">
        <v>0.16</v>
      </c>
      <c r="B331" s="5">
        <v>0.59</v>
      </c>
      <c r="C331" s="5">
        <v>0</v>
      </c>
      <c r="D331" s="5">
        <v>0</v>
      </c>
    </row>
    <row r="332" spans="1:4" x14ac:dyDescent="0.3">
      <c r="A332" s="4">
        <v>0.14000000000000001</v>
      </c>
      <c r="B332" s="4">
        <v>0.63</v>
      </c>
      <c r="C332" s="4">
        <v>0.1045</v>
      </c>
      <c r="D332" s="4">
        <v>1</v>
      </c>
    </row>
    <row r="333" spans="1:4" x14ac:dyDescent="0.3">
      <c r="A333" s="5">
        <v>0.14000000000000001</v>
      </c>
      <c r="B333" s="5">
        <v>0.63</v>
      </c>
      <c r="C333" s="5">
        <v>0</v>
      </c>
      <c r="D333" s="5">
        <v>1</v>
      </c>
    </row>
    <row r="334" spans="1:4" x14ac:dyDescent="0.3">
      <c r="A334" s="4">
        <v>0.14000000000000001</v>
      </c>
      <c r="B334" s="4">
        <v>0.63</v>
      </c>
      <c r="C334" s="4">
        <v>0.1343</v>
      </c>
      <c r="D334" s="4">
        <v>1</v>
      </c>
    </row>
    <row r="335" spans="1:4" x14ac:dyDescent="0.3">
      <c r="A335" s="5">
        <v>0.16</v>
      </c>
      <c r="B335" s="5">
        <v>0.64</v>
      </c>
      <c r="C335" s="5">
        <v>0.1343</v>
      </c>
      <c r="D335" s="5">
        <v>2</v>
      </c>
    </row>
    <row r="336" spans="1:4" x14ac:dyDescent="0.3">
      <c r="A336" s="4">
        <v>0.18</v>
      </c>
      <c r="B336" s="4">
        <v>0.59</v>
      </c>
      <c r="C336" s="4">
        <v>0.16420000000000001</v>
      </c>
      <c r="D336" s="4">
        <v>2</v>
      </c>
    </row>
    <row r="337" spans="1:4" x14ac:dyDescent="0.3">
      <c r="A337" s="5">
        <v>0.2</v>
      </c>
      <c r="B337" s="5">
        <v>0.55000000000000004</v>
      </c>
      <c r="C337" s="5">
        <v>0.22389999999999999</v>
      </c>
      <c r="D337" s="5">
        <v>18</v>
      </c>
    </row>
    <row r="338" spans="1:4" x14ac:dyDescent="0.3">
      <c r="A338" s="4">
        <v>0.24</v>
      </c>
      <c r="B338" s="4">
        <v>0.48</v>
      </c>
      <c r="C338" s="4">
        <v>0.22389999999999999</v>
      </c>
      <c r="D338" s="4">
        <v>15</v>
      </c>
    </row>
    <row r="339" spans="1:4" x14ac:dyDescent="0.3">
      <c r="A339" s="5">
        <v>0.28000000000000003</v>
      </c>
      <c r="B339" s="5">
        <v>0.38</v>
      </c>
      <c r="C339" s="5">
        <v>0.29849999999999999</v>
      </c>
      <c r="D339" s="5">
        <v>21</v>
      </c>
    </row>
    <row r="340" spans="1:4" x14ac:dyDescent="0.3">
      <c r="A340" s="4">
        <v>0.3</v>
      </c>
      <c r="B340" s="4">
        <v>0.39</v>
      </c>
      <c r="C340" s="4">
        <v>0.28360000000000002</v>
      </c>
      <c r="D340" s="4">
        <v>26</v>
      </c>
    </row>
    <row r="341" spans="1:4" x14ac:dyDescent="0.3">
      <c r="A341" s="5">
        <v>0.32</v>
      </c>
      <c r="B341" s="5">
        <v>0.36</v>
      </c>
      <c r="C341" s="5">
        <v>0.19400000000000001</v>
      </c>
      <c r="D341" s="5">
        <v>21</v>
      </c>
    </row>
    <row r="342" spans="1:4" x14ac:dyDescent="0.3">
      <c r="A342" s="4">
        <v>0.34</v>
      </c>
      <c r="B342" s="4">
        <v>0.34</v>
      </c>
      <c r="C342" s="4">
        <v>0.19400000000000001</v>
      </c>
      <c r="D342" s="4">
        <v>33</v>
      </c>
    </row>
    <row r="343" spans="1:4" x14ac:dyDescent="0.3">
      <c r="A343" s="5">
        <v>0.32</v>
      </c>
      <c r="B343" s="5">
        <v>0.36</v>
      </c>
      <c r="C343" s="5">
        <v>0.28360000000000002</v>
      </c>
      <c r="D343" s="5">
        <v>29</v>
      </c>
    </row>
    <row r="344" spans="1:4" x14ac:dyDescent="0.3">
      <c r="A344" s="4">
        <v>0.3</v>
      </c>
      <c r="B344" s="4">
        <v>0.45</v>
      </c>
      <c r="C344" s="4">
        <v>0.25369999999999998</v>
      </c>
      <c r="D344" s="4">
        <v>15</v>
      </c>
    </row>
    <row r="345" spans="1:4" x14ac:dyDescent="0.3">
      <c r="A345" s="5">
        <v>0.32</v>
      </c>
      <c r="B345" s="5">
        <v>0.39</v>
      </c>
      <c r="C345" s="5">
        <v>0.25369999999999998</v>
      </c>
      <c r="D345" s="5">
        <v>14</v>
      </c>
    </row>
    <row r="346" spans="1:4" x14ac:dyDescent="0.3">
      <c r="A346" s="4">
        <v>0.32</v>
      </c>
      <c r="B346" s="4">
        <v>0.39</v>
      </c>
      <c r="C346" s="4">
        <v>0.25369999999999998</v>
      </c>
      <c r="D346" s="4">
        <v>6</v>
      </c>
    </row>
    <row r="347" spans="1:4" x14ac:dyDescent="0.3">
      <c r="A347" s="5">
        <v>0.32</v>
      </c>
      <c r="B347" s="5">
        <v>0.39</v>
      </c>
      <c r="C347" s="5">
        <v>0.22389999999999999</v>
      </c>
      <c r="D347" s="5">
        <v>6</v>
      </c>
    </row>
    <row r="348" spans="1:4" x14ac:dyDescent="0.3">
      <c r="A348" s="4">
        <v>0.3</v>
      </c>
      <c r="B348" s="4">
        <v>0.42</v>
      </c>
      <c r="C348" s="4">
        <v>0.1045</v>
      </c>
      <c r="D348" s="4">
        <v>0</v>
      </c>
    </row>
    <row r="349" spans="1:4" x14ac:dyDescent="0.3">
      <c r="A349" s="5">
        <v>0.3</v>
      </c>
      <c r="B349" s="5">
        <v>0.45</v>
      </c>
      <c r="C349" s="5">
        <v>0.28360000000000002</v>
      </c>
      <c r="D349" s="5">
        <v>5</v>
      </c>
    </row>
    <row r="350" spans="1:4" x14ac:dyDescent="0.3">
      <c r="A350" s="4">
        <v>0.26</v>
      </c>
      <c r="B350" s="4">
        <v>0.56000000000000005</v>
      </c>
      <c r="C350" s="4">
        <v>0</v>
      </c>
      <c r="D350" s="4">
        <v>6</v>
      </c>
    </row>
    <row r="351" spans="1:4" x14ac:dyDescent="0.3">
      <c r="A351" s="5">
        <v>0.26</v>
      </c>
      <c r="B351" s="5">
        <v>0.56000000000000005</v>
      </c>
      <c r="C351" s="5">
        <v>0.1343</v>
      </c>
      <c r="D351" s="5">
        <v>4</v>
      </c>
    </row>
    <row r="352" spans="1:4" x14ac:dyDescent="0.3">
      <c r="A352" s="4">
        <v>0.26</v>
      </c>
      <c r="B352" s="4">
        <v>0.56000000000000005</v>
      </c>
      <c r="C352" s="4">
        <v>8.9599999999999999E-2</v>
      </c>
      <c r="D352" s="4">
        <v>3</v>
      </c>
    </row>
    <row r="353" spans="1:4" x14ac:dyDescent="0.3">
      <c r="A353" s="5">
        <v>0.22</v>
      </c>
      <c r="B353" s="5">
        <v>0.69</v>
      </c>
      <c r="C353" s="5">
        <v>0</v>
      </c>
      <c r="D353" s="5">
        <v>9</v>
      </c>
    </row>
    <row r="354" spans="1:4" x14ac:dyDescent="0.3">
      <c r="A354" s="4">
        <v>0.26</v>
      </c>
      <c r="B354" s="4">
        <v>0.56000000000000005</v>
      </c>
      <c r="C354" s="4">
        <v>0.16420000000000001</v>
      </c>
      <c r="D354" s="4">
        <v>0</v>
      </c>
    </row>
    <row r="355" spans="1:4" x14ac:dyDescent="0.3">
      <c r="A355" s="5">
        <v>0.26</v>
      </c>
      <c r="B355" s="5">
        <v>0.56000000000000005</v>
      </c>
      <c r="C355" s="5">
        <v>0.16420000000000001</v>
      </c>
      <c r="D355" s="5">
        <v>1</v>
      </c>
    </row>
    <row r="356" spans="1:4" x14ac:dyDescent="0.3">
      <c r="A356" s="4">
        <v>0.26</v>
      </c>
      <c r="B356" s="4">
        <v>0.56000000000000005</v>
      </c>
      <c r="C356" s="4">
        <v>0.16420000000000001</v>
      </c>
      <c r="D356" s="4">
        <v>0</v>
      </c>
    </row>
    <row r="357" spans="1:4" x14ac:dyDescent="0.3">
      <c r="A357" s="5">
        <v>0.24</v>
      </c>
      <c r="B357" s="5">
        <v>0.56000000000000005</v>
      </c>
      <c r="C357" s="5">
        <v>0.29849999999999999</v>
      </c>
      <c r="D357" s="5">
        <v>0</v>
      </c>
    </row>
    <row r="358" spans="1:4" x14ac:dyDescent="0.3">
      <c r="A358" s="4">
        <v>0.22</v>
      </c>
      <c r="B358" s="4">
        <v>0.55000000000000004</v>
      </c>
      <c r="C358" s="4">
        <v>0.28360000000000002</v>
      </c>
      <c r="D358" s="4">
        <v>0</v>
      </c>
    </row>
    <row r="359" spans="1:4" x14ac:dyDescent="0.3">
      <c r="A359" s="5">
        <v>0.22</v>
      </c>
      <c r="B359" s="5">
        <v>0.51</v>
      </c>
      <c r="C359" s="5">
        <v>0.25369999999999998</v>
      </c>
      <c r="D359" s="5">
        <v>3</v>
      </c>
    </row>
    <row r="360" spans="1:4" x14ac:dyDescent="0.3">
      <c r="A360" s="4">
        <v>0.22</v>
      </c>
      <c r="B360" s="4">
        <v>0.51</v>
      </c>
      <c r="C360" s="4">
        <v>0.28360000000000002</v>
      </c>
      <c r="D360" s="4">
        <v>8</v>
      </c>
    </row>
    <row r="361" spans="1:4" x14ac:dyDescent="0.3">
      <c r="A361" s="5">
        <v>0.24</v>
      </c>
      <c r="B361" s="5">
        <v>0.44</v>
      </c>
      <c r="C361" s="5">
        <v>0.25369999999999998</v>
      </c>
      <c r="D361" s="5">
        <v>23</v>
      </c>
    </row>
    <row r="362" spans="1:4" x14ac:dyDescent="0.3">
      <c r="A362" s="4">
        <v>0.24</v>
      </c>
      <c r="B362" s="4">
        <v>0.41</v>
      </c>
      <c r="C362" s="4">
        <v>0.28360000000000002</v>
      </c>
      <c r="D362" s="4">
        <v>29</v>
      </c>
    </row>
    <row r="363" spans="1:4" x14ac:dyDescent="0.3">
      <c r="A363" s="5">
        <v>0.26</v>
      </c>
      <c r="B363" s="5">
        <v>0.35</v>
      </c>
      <c r="C363" s="5">
        <v>0.29849999999999999</v>
      </c>
      <c r="D363" s="5">
        <v>23</v>
      </c>
    </row>
    <row r="364" spans="1:4" x14ac:dyDescent="0.3">
      <c r="A364" s="4">
        <v>0.28000000000000003</v>
      </c>
      <c r="B364" s="4">
        <v>0.36</v>
      </c>
      <c r="C364" s="4">
        <v>0.25369999999999998</v>
      </c>
      <c r="D364" s="4">
        <v>22</v>
      </c>
    </row>
    <row r="365" spans="1:4" x14ac:dyDescent="0.3">
      <c r="A365" s="5">
        <v>0.26</v>
      </c>
      <c r="B365" s="5">
        <v>0.38</v>
      </c>
      <c r="C365" s="5">
        <v>0.25369999999999998</v>
      </c>
      <c r="D365" s="5">
        <v>35</v>
      </c>
    </row>
    <row r="366" spans="1:4" x14ac:dyDescent="0.3">
      <c r="A366" s="4">
        <v>0.24</v>
      </c>
      <c r="B366" s="4">
        <v>0.38</v>
      </c>
      <c r="C366" s="4">
        <v>0.22389999999999999</v>
      </c>
      <c r="D366" s="4">
        <v>22</v>
      </c>
    </row>
    <row r="367" spans="1:4" x14ac:dyDescent="0.3">
      <c r="A367" s="5">
        <v>0.22</v>
      </c>
      <c r="B367" s="5">
        <v>0.37</v>
      </c>
      <c r="C367" s="5">
        <v>0.25369999999999998</v>
      </c>
      <c r="D367" s="5">
        <v>23</v>
      </c>
    </row>
    <row r="368" spans="1:4" x14ac:dyDescent="0.3">
      <c r="A368" s="4">
        <v>0.2</v>
      </c>
      <c r="B368" s="4">
        <v>0.4</v>
      </c>
      <c r="C368" s="4">
        <v>0.16420000000000001</v>
      </c>
      <c r="D368" s="4">
        <v>11</v>
      </c>
    </row>
    <row r="369" spans="1:4" x14ac:dyDescent="0.3">
      <c r="A369" s="5">
        <v>0.18</v>
      </c>
      <c r="B369" s="5">
        <v>0.47</v>
      </c>
      <c r="C369" s="5">
        <v>0.1343</v>
      </c>
      <c r="D369" s="5">
        <v>14</v>
      </c>
    </row>
    <row r="370" spans="1:4" x14ac:dyDescent="0.3">
      <c r="A370" s="4">
        <v>0.18</v>
      </c>
      <c r="B370" s="4">
        <v>0.47</v>
      </c>
      <c r="C370" s="4">
        <v>0.16420000000000001</v>
      </c>
      <c r="D370" s="4">
        <v>7</v>
      </c>
    </row>
    <row r="371" spans="1:4" x14ac:dyDescent="0.3">
      <c r="A371" s="5">
        <v>0.18</v>
      </c>
      <c r="B371" s="5">
        <v>0.51</v>
      </c>
      <c r="C371" s="5">
        <v>0.16420000000000001</v>
      </c>
      <c r="D371" s="5">
        <v>6</v>
      </c>
    </row>
    <row r="372" spans="1:4" x14ac:dyDescent="0.3">
      <c r="A372" s="4">
        <v>0.2</v>
      </c>
      <c r="B372" s="4">
        <v>0.49</v>
      </c>
      <c r="C372" s="4">
        <v>0.1343</v>
      </c>
      <c r="D372" s="4">
        <v>2</v>
      </c>
    </row>
    <row r="373" spans="1:4" x14ac:dyDescent="0.3">
      <c r="A373" s="5">
        <v>0.2</v>
      </c>
      <c r="B373" s="5">
        <v>0.4</v>
      </c>
      <c r="C373" s="5">
        <v>0.1045</v>
      </c>
      <c r="D373" s="5">
        <v>0</v>
      </c>
    </row>
    <row r="374" spans="1:4" x14ac:dyDescent="0.3">
      <c r="A374" s="4">
        <v>0.2</v>
      </c>
      <c r="B374" s="4">
        <v>0.47</v>
      </c>
      <c r="C374" s="4">
        <v>0.22389999999999999</v>
      </c>
      <c r="D374" s="4">
        <v>1</v>
      </c>
    </row>
    <row r="375" spans="1:4" x14ac:dyDescent="0.3">
      <c r="A375" s="5">
        <v>0.2</v>
      </c>
      <c r="B375" s="5">
        <v>0.44</v>
      </c>
      <c r="C375" s="5">
        <v>0.19400000000000001</v>
      </c>
      <c r="D375" s="5">
        <v>1</v>
      </c>
    </row>
    <row r="376" spans="1:4" x14ac:dyDescent="0.3">
      <c r="A376" s="4">
        <v>0.18</v>
      </c>
      <c r="B376" s="4">
        <v>0.43</v>
      </c>
      <c r="C376" s="4">
        <v>0.25369999999999998</v>
      </c>
      <c r="D376" s="4">
        <v>0</v>
      </c>
    </row>
    <row r="377" spans="1:4" x14ac:dyDescent="0.3">
      <c r="A377" s="5">
        <v>0.18</v>
      </c>
      <c r="B377" s="5">
        <v>0.43</v>
      </c>
      <c r="C377" s="5">
        <v>0.19400000000000001</v>
      </c>
      <c r="D377" s="5">
        <v>0</v>
      </c>
    </row>
    <row r="378" spans="1:4" x14ac:dyDescent="0.3">
      <c r="A378" s="4">
        <v>0.18</v>
      </c>
      <c r="B378" s="4">
        <v>0.43</v>
      </c>
      <c r="C378" s="4">
        <v>0.1343</v>
      </c>
      <c r="D378" s="4">
        <v>1</v>
      </c>
    </row>
    <row r="379" spans="1:4" x14ac:dyDescent="0.3">
      <c r="A379" s="5">
        <v>0.18</v>
      </c>
      <c r="B379" s="5">
        <v>0.43</v>
      </c>
      <c r="C379" s="5">
        <v>0.16420000000000001</v>
      </c>
      <c r="D379" s="5">
        <v>0</v>
      </c>
    </row>
    <row r="380" spans="1:4" x14ac:dyDescent="0.3">
      <c r="A380" s="4">
        <v>0.18</v>
      </c>
      <c r="B380" s="4">
        <v>0.43</v>
      </c>
      <c r="C380" s="4">
        <v>0.19400000000000001</v>
      </c>
      <c r="D380" s="4">
        <v>0</v>
      </c>
    </row>
    <row r="381" spans="1:4" x14ac:dyDescent="0.3">
      <c r="A381" s="5">
        <v>0.16</v>
      </c>
      <c r="B381" s="5">
        <v>0.5</v>
      </c>
      <c r="C381" s="5">
        <v>0.1343</v>
      </c>
      <c r="D381" s="5">
        <v>4</v>
      </c>
    </row>
    <row r="382" spans="1:4" x14ac:dyDescent="0.3">
      <c r="A382" s="4">
        <v>0.16</v>
      </c>
      <c r="B382" s="4">
        <v>0.47</v>
      </c>
      <c r="C382" s="4">
        <v>0.22389999999999999</v>
      </c>
      <c r="D382" s="4">
        <v>3</v>
      </c>
    </row>
    <row r="383" spans="1:4" x14ac:dyDescent="0.3">
      <c r="A383" s="5">
        <v>0.16</v>
      </c>
      <c r="B383" s="5">
        <v>0.47</v>
      </c>
      <c r="C383" s="5">
        <v>0.22389999999999999</v>
      </c>
      <c r="D383" s="5">
        <v>8</v>
      </c>
    </row>
    <row r="384" spans="1:4" x14ac:dyDescent="0.3">
      <c r="A384" s="4">
        <v>0.16</v>
      </c>
      <c r="B384" s="4">
        <v>0.5</v>
      </c>
      <c r="C384" s="4">
        <v>0.25369999999999998</v>
      </c>
      <c r="D384" s="4">
        <v>7</v>
      </c>
    </row>
    <row r="385" spans="1:4" x14ac:dyDescent="0.3">
      <c r="A385" s="5">
        <v>0.16</v>
      </c>
      <c r="B385" s="5">
        <v>0.55000000000000004</v>
      </c>
      <c r="C385" s="5">
        <v>0.19400000000000001</v>
      </c>
      <c r="D385" s="5">
        <v>9</v>
      </c>
    </row>
    <row r="386" spans="1:4" x14ac:dyDescent="0.3">
      <c r="A386" s="4">
        <v>0.18</v>
      </c>
      <c r="B386" s="4">
        <v>0.47</v>
      </c>
      <c r="C386" s="4">
        <v>0.1343</v>
      </c>
      <c r="D386" s="4">
        <v>10</v>
      </c>
    </row>
    <row r="387" spans="1:4" x14ac:dyDescent="0.3">
      <c r="A387" s="5">
        <v>0.18</v>
      </c>
      <c r="B387" s="5">
        <v>0.47</v>
      </c>
      <c r="C387" s="5">
        <v>0.1343</v>
      </c>
      <c r="D387" s="5">
        <v>13</v>
      </c>
    </row>
    <row r="388" spans="1:4" x14ac:dyDescent="0.3">
      <c r="A388" s="4">
        <v>0.18</v>
      </c>
      <c r="B388" s="4">
        <v>0.43</v>
      </c>
      <c r="C388" s="4">
        <v>0.1045</v>
      </c>
      <c r="D388" s="4">
        <v>12</v>
      </c>
    </row>
    <row r="389" spans="1:4" x14ac:dyDescent="0.3">
      <c r="A389" s="5">
        <v>0.2</v>
      </c>
      <c r="B389" s="5">
        <v>0.47</v>
      </c>
      <c r="C389" s="5">
        <v>0.16420000000000001</v>
      </c>
      <c r="D389" s="5">
        <v>21</v>
      </c>
    </row>
    <row r="390" spans="1:4" x14ac:dyDescent="0.3">
      <c r="A390" s="4">
        <v>0.2</v>
      </c>
      <c r="B390" s="4">
        <v>0.47</v>
      </c>
      <c r="C390" s="4">
        <v>0.16420000000000001</v>
      </c>
      <c r="D390" s="4">
        <v>6</v>
      </c>
    </row>
    <row r="391" spans="1:4" x14ac:dyDescent="0.3">
      <c r="A391" s="5">
        <v>0.2</v>
      </c>
      <c r="B391" s="5">
        <v>0.51</v>
      </c>
      <c r="C391" s="5">
        <v>0.19400000000000001</v>
      </c>
      <c r="D391" s="5">
        <v>4</v>
      </c>
    </row>
    <row r="392" spans="1:4" x14ac:dyDescent="0.3">
      <c r="A392" s="4">
        <v>0.18</v>
      </c>
      <c r="B392" s="4">
        <v>0.55000000000000004</v>
      </c>
      <c r="C392" s="4">
        <v>0.25369999999999998</v>
      </c>
      <c r="D392" s="4">
        <v>7</v>
      </c>
    </row>
    <row r="393" spans="1:4" x14ac:dyDescent="0.3">
      <c r="A393" s="5">
        <v>0.18</v>
      </c>
      <c r="B393" s="5">
        <v>0.59</v>
      </c>
      <c r="C393" s="5">
        <v>0.19400000000000001</v>
      </c>
      <c r="D393" s="5">
        <v>2</v>
      </c>
    </row>
    <row r="394" spans="1:4" x14ac:dyDescent="0.3">
      <c r="A394" s="4">
        <v>0.16</v>
      </c>
      <c r="B394" s="4">
        <v>0.8</v>
      </c>
      <c r="C394" s="4">
        <v>0.19400000000000001</v>
      </c>
      <c r="D394" s="4">
        <v>4</v>
      </c>
    </row>
    <row r="395" spans="1:4" x14ac:dyDescent="0.3">
      <c r="A395" s="5">
        <v>0.16</v>
      </c>
      <c r="B395" s="5">
        <v>0.8</v>
      </c>
      <c r="C395" s="5">
        <v>0.19400000000000001</v>
      </c>
      <c r="D395" s="5">
        <v>3</v>
      </c>
    </row>
    <row r="396" spans="1:4" x14ac:dyDescent="0.3">
      <c r="A396" s="4">
        <v>0.14000000000000001</v>
      </c>
      <c r="B396" s="4">
        <v>0.93</v>
      </c>
      <c r="C396" s="4">
        <v>0.25369999999999998</v>
      </c>
      <c r="D396" s="4">
        <v>0</v>
      </c>
    </row>
    <row r="397" spans="1:4" x14ac:dyDescent="0.3">
      <c r="A397" s="5">
        <v>0.16</v>
      </c>
      <c r="B397" s="5">
        <v>0.86</v>
      </c>
      <c r="C397" s="5">
        <v>0.28360000000000002</v>
      </c>
      <c r="D397" s="5">
        <v>1</v>
      </c>
    </row>
    <row r="398" spans="1:4" x14ac:dyDescent="0.3">
      <c r="A398" s="4">
        <v>0.2</v>
      </c>
      <c r="B398" s="4">
        <v>0.86</v>
      </c>
      <c r="C398" s="4">
        <v>0.32840000000000003</v>
      </c>
      <c r="D398" s="4">
        <v>0</v>
      </c>
    </row>
    <row r="399" spans="1:4" x14ac:dyDescent="0.3">
      <c r="A399" s="5">
        <v>0.2</v>
      </c>
      <c r="B399" s="5">
        <v>0.86</v>
      </c>
      <c r="C399" s="5">
        <v>0.22389999999999999</v>
      </c>
      <c r="D399" s="5">
        <v>0</v>
      </c>
    </row>
    <row r="400" spans="1:4" x14ac:dyDescent="0.3">
      <c r="A400" s="4">
        <v>0.22</v>
      </c>
      <c r="B400" s="4">
        <v>0.8</v>
      </c>
      <c r="C400" s="4">
        <v>0.16420000000000001</v>
      </c>
      <c r="D400" s="4">
        <v>2</v>
      </c>
    </row>
    <row r="401" spans="1:4" x14ac:dyDescent="0.3">
      <c r="A401" s="5">
        <v>0.22</v>
      </c>
      <c r="B401" s="5">
        <v>0.87</v>
      </c>
      <c r="C401" s="5">
        <v>0.16420000000000001</v>
      </c>
      <c r="D401" s="5">
        <v>3</v>
      </c>
    </row>
    <row r="402" spans="1:4" x14ac:dyDescent="0.3">
      <c r="A402" s="4">
        <v>0.22</v>
      </c>
      <c r="B402" s="4">
        <v>0.87</v>
      </c>
      <c r="C402" s="4">
        <v>0.19400000000000001</v>
      </c>
      <c r="D402" s="4">
        <v>0</v>
      </c>
    </row>
    <row r="403" spans="1:4" x14ac:dyDescent="0.3">
      <c r="A403" s="5">
        <v>0.22</v>
      </c>
      <c r="B403" s="5">
        <v>0.82</v>
      </c>
      <c r="C403" s="5">
        <v>0.19400000000000001</v>
      </c>
      <c r="D403" s="5">
        <v>1</v>
      </c>
    </row>
    <row r="404" spans="1:4" x14ac:dyDescent="0.3">
      <c r="A404" s="4">
        <v>0.22</v>
      </c>
      <c r="B404" s="4">
        <v>0.8</v>
      </c>
      <c r="C404" s="4">
        <v>0.16420000000000001</v>
      </c>
      <c r="D404" s="4">
        <v>1</v>
      </c>
    </row>
    <row r="405" spans="1:4" x14ac:dyDescent="0.3">
      <c r="A405" s="5">
        <v>0.22</v>
      </c>
      <c r="B405" s="5">
        <v>0.8</v>
      </c>
      <c r="C405" s="5">
        <v>0.1343</v>
      </c>
      <c r="D405" s="5">
        <v>1</v>
      </c>
    </row>
    <row r="406" spans="1:4" x14ac:dyDescent="0.3">
      <c r="A406" s="4">
        <v>0.22</v>
      </c>
      <c r="B406" s="4">
        <v>0.87</v>
      </c>
      <c r="C406" s="4">
        <v>0</v>
      </c>
      <c r="D406" s="4">
        <v>0</v>
      </c>
    </row>
    <row r="407" spans="1:4" x14ac:dyDescent="0.3">
      <c r="A407" s="5">
        <v>0.22</v>
      </c>
      <c r="B407" s="5">
        <v>0.93</v>
      </c>
      <c r="C407" s="5">
        <v>0.1045</v>
      </c>
      <c r="D407" s="5">
        <v>0</v>
      </c>
    </row>
    <row r="408" spans="1:4" x14ac:dyDescent="0.3">
      <c r="A408" s="4">
        <v>0.22</v>
      </c>
      <c r="B408" s="4">
        <v>0.93</v>
      </c>
      <c r="C408" s="4">
        <v>8.9599999999999999E-2</v>
      </c>
      <c r="D408" s="4">
        <v>0</v>
      </c>
    </row>
    <row r="409" spans="1:4" x14ac:dyDescent="0.3">
      <c r="A409" s="5">
        <v>0.22</v>
      </c>
      <c r="B409" s="5">
        <v>0.93</v>
      </c>
      <c r="C409" s="5">
        <v>0</v>
      </c>
      <c r="D409" s="5">
        <v>1</v>
      </c>
    </row>
    <row r="410" spans="1:4" x14ac:dyDescent="0.3">
      <c r="A410" s="4">
        <v>0.22</v>
      </c>
      <c r="B410" s="4">
        <v>0.93</v>
      </c>
      <c r="C410" s="4">
        <v>0</v>
      </c>
      <c r="D410" s="4">
        <v>0</v>
      </c>
    </row>
    <row r="411" spans="1:4" x14ac:dyDescent="0.3">
      <c r="A411" s="5">
        <v>0.22</v>
      </c>
      <c r="B411" s="5">
        <v>0.93</v>
      </c>
      <c r="C411" s="5">
        <v>0.1343</v>
      </c>
      <c r="D411" s="5">
        <v>1</v>
      </c>
    </row>
    <row r="412" spans="1:4" x14ac:dyDescent="0.3">
      <c r="A412" s="4">
        <v>0.22</v>
      </c>
      <c r="B412" s="4">
        <v>0.93</v>
      </c>
      <c r="C412" s="4">
        <v>0.1343</v>
      </c>
      <c r="D412" s="4">
        <v>0</v>
      </c>
    </row>
    <row r="413" spans="1:4" x14ac:dyDescent="0.3">
      <c r="A413" s="5">
        <v>0.22</v>
      </c>
      <c r="B413" s="5">
        <v>0.93</v>
      </c>
      <c r="C413" s="5">
        <v>0.1343</v>
      </c>
      <c r="D413" s="5">
        <v>1</v>
      </c>
    </row>
    <row r="414" spans="1:4" x14ac:dyDescent="0.3">
      <c r="A414" s="4">
        <v>0.22</v>
      </c>
      <c r="B414" s="4">
        <v>0.93</v>
      </c>
      <c r="C414" s="4">
        <v>8.9599999999999999E-2</v>
      </c>
      <c r="D414" s="4">
        <v>0</v>
      </c>
    </row>
    <row r="415" spans="1:4" x14ac:dyDescent="0.3">
      <c r="A415" s="5">
        <v>0.22</v>
      </c>
      <c r="B415" s="5">
        <v>0.93</v>
      </c>
      <c r="C415" s="5">
        <v>8.9599999999999999E-2</v>
      </c>
      <c r="D415" s="5">
        <v>0</v>
      </c>
    </row>
    <row r="416" spans="1:4" x14ac:dyDescent="0.3">
      <c r="A416" s="4">
        <v>0.24</v>
      </c>
      <c r="B416" s="4">
        <v>0.92</v>
      </c>
      <c r="C416" s="4">
        <v>0.1045</v>
      </c>
      <c r="D416" s="4">
        <v>1</v>
      </c>
    </row>
    <row r="417" spans="1:4" x14ac:dyDescent="0.3">
      <c r="A417" s="5">
        <v>0.24</v>
      </c>
      <c r="B417" s="5">
        <v>0.93</v>
      </c>
      <c r="C417" s="5">
        <v>0.1045</v>
      </c>
      <c r="D417" s="5">
        <v>1</v>
      </c>
    </row>
    <row r="418" spans="1:4" x14ac:dyDescent="0.3">
      <c r="A418" s="4">
        <v>0.24</v>
      </c>
      <c r="B418" s="4">
        <v>0.93</v>
      </c>
      <c r="C418" s="4">
        <v>0.1045</v>
      </c>
      <c r="D418" s="4">
        <v>2</v>
      </c>
    </row>
    <row r="419" spans="1:4" x14ac:dyDescent="0.3">
      <c r="A419" s="5">
        <v>0.26</v>
      </c>
      <c r="B419" s="5">
        <v>0.93</v>
      </c>
      <c r="C419" s="5">
        <v>0.1343</v>
      </c>
      <c r="D419" s="5">
        <v>1</v>
      </c>
    </row>
    <row r="420" spans="1:4" x14ac:dyDescent="0.3">
      <c r="A420" s="4">
        <v>0.28000000000000003</v>
      </c>
      <c r="B420" s="4">
        <v>0.87</v>
      </c>
      <c r="C420" s="4">
        <v>8.9599999999999999E-2</v>
      </c>
      <c r="D420" s="4">
        <v>5</v>
      </c>
    </row>
    <row r="421" spans="1:4" x14ac:dyDescent="0.3">
      <c r="A421" s="5">
        <v>0.3</v>
      </c>
      <c r="B421" s="5">
        <v>0.81</v>
      </c>
      <c r="C421" s="5">
        <v>8.9599999999999999E-2</v>
      </c>
      <c r="D421" s="5">
        <v>5</v>
      </c>
    </row>
    <row r="422" spans="1:4" x14ac:dyDescent="0.3">
      <c r="A422" s="4">
        <v>0.4</v>
      </c>
      <c r="B422" s="4">
        <v>0.62</v>
      </c>
      <c r="C422" s="4">
        <v>0.28360000000000002</v>
      </c>
      <c r="D422" s="4">
        <v>11</v>
      </c>
    </row>
    <row r="423" spans="1:4" x14ac:dyDescent="0.3">
      <c r="A423" s="5">
        <v>0.4</v>
      </c>
      <c r="B423" s="5">
        <v>0.57999999999999996</v>
      </c>
      <c r="C423" s="5">
        <v>0.25369999999999998</v>
      </c>
      <c r="D423" s="5">
        <v>7</v>
      </c>
    </row>
    <row r="424" spans="1:4" x14ac:dyDescent="0.3">
      <c r="A424" s="4">
        <v>0.4</v>
      </c>
      <c r="B424" s="4">
        <v>0.54</v>
      </c>
      <c r="C424" s="4">
        <v>0.28360000000000002</v>
      </c>
      <c r="D424" s="4">
        <v>4</v>
      </c>
    </row>
    <row r="425" spans="1:4" x14ac:dyDescent="0.3">
      <c r="A425" s="5">
        <v>0.38</v>
      </c>
      <c r="B425" s="5">
        <v>0.57999999999999996</v>
      </c>
      <c r="C425" s="5">
        <v>0.3881</v>
      </c>
      <c r="D425" s="5">
        <v>10</v>
      </c>
    </row>
    <row r="426" spans="1:4" x14ac:dyDescent="0.3">
      <c r="A426" s="4">
        <v>0.36</v>
      </c>
      <c r="B426" s="4">
        <v>0.56999999999999995</v>
      </c>
      <c r="C426" s="4">
        <v>0.32840000000000003</v>
      </c>
      <c r="D426" s="4">
        <v>7</v>
      </c>
    </row>
    <row r="427" spans="1:4" x14ac:dyDescent="0.3">
      <c r="A427" s="5">
        <v>0.34</v>
      </c>
      <c r="B427" s="5">
        <v>0.61</v>
      </c>
      <c r="C427" s="5">
        <v>0.28360000000000002</v>
      </c>
      <c r="D427" s="5">
        <v>5</v>
      </c>
    </row>
    <row r="428" spans="1:4" x14ac:dyDescent="0.3">
      <c r="A428" s="4">
        <v>0.32</v>
      </c>
      <c r="B428" s="4">
        <v>0.56999999999999995</v>
      </c>
      <c r="C428" s="4">
        <v>0.41789999999999999</v>
      </c>
      <c r="D428" s="4">
        <v>4</v>
      </c>
    </row>
    <row r="429" spans="1:4" x14ac:dyDescent="0.3">
      <c r="A429" s="5">
        <v>0.32</v>
      </c>
      <c r="B429" s="5">
        <v>0.49</v>
      </c>
      <c r="C429" s="5">
        <v>0.29849999999999999</v>
      </c>
      <c r="D429" s="5">
        <v>2</v>
      </c>
    </row>
    <row r="430" spans="1:4" x14ac:dyDescent="0.3">
      <c r="A430" s="4">
        <v>0.32</v>
      </c>
      <c r="B430" s="4">
        <v>0.49</v>
      </c>
      <c r="C430" s="4">
        <v>0.41789999999999999</v>
      </c>
      <c r="D430" s="4">
        <v>4</v>
      </c>
    </row>
    <row r="431" spans="1:4" x14ac:dyDescent="0.3">
      <c r="A431" s="5">
        <v>0.3</v>
      </c>
      <c r="B431" s="5">
        <v>0.52</v>
      </c>
      <c r="C431" s="5">
        <v>0.16420000000000001</v>
      </c>
      <c r="D431" s="5">
        <v>6</v>
      </c>
    </row>
    <row r="432" spans="1:4" x14ac:dyDescent="0.3">
      <c r="A432" s="4">
        <v>0.3</v>
      </c>
      <c r="B432" s="4">
        <v>0.52</v>
      </c>
      <c r="C432" s="4">
        <v>0.4627</v>
      </c>
      <c r="D432" s="4">
        <v>1</v>
      </c>
    </row>
    <row r="433" spans="1:4" x14ac:dyDescent="0.3">
      <c r="A433" s="5">
        <v>0.26</v>
      </c>
      <c r="B433" s="5">
        <v>0.56000000000000005</v>
      </c>
      <c r="C433" s="5">
        <v>0.3881</v>
      </c>
      <c r="D433" s="5">
        <v>5</v>
      </c>
    </row>
    <row r="434" spans="1:4" x14ac:dyDescent="0.3">
      <c r="A434" s="4">
        <v>0.26</v>
      </c>
      <c r="B434" s="4">
        <v>0.56000000000000005</v>
      </c>
      <c r="C434" s="4">
        <v>0</v>
      </c>
      <c r="D434" s="4">
        <v>2</v>
      </c>
    </row>
    <row r="435" spans="1:4" x14ac:dyDescent="0.3">
      <c r="A435" s="5">
        <v>0.26</v>
      </c>
      <c r="B435" s="5">
        <v>0.56000000000000005</v>
      </c>
      <c r="C435" s="5">
        <v>0</v>
      </c>
      <c r="D435" s="5">
        <v>0</v>
      </c>
    </row>
    <row r="436" spans="1:4" x14ac:dyDescent="0.3">
      <c r="A436" s="4">
        <v>0.26</v>
      </c>
      <c r="B436" s="4">
        <v>0.56000000000000005</v>
      </c>
      <c r="C436" s="4">
        <v>0.16420000000000001</v>
      </c>
      <c r="D436" s="4">
        <v>0</v>
      </c>
    </row>
    <row r="437" spans="1:4" x14ac:dyDescent="0.3">
      <c r="A437" s="5">
        <v>0.26</v>
      </c>
      <c r="B437" s="5">
        <v>0.56000000000000005</v>
      </c>
      <c r="C437" s="5">
        <v>0.16420000000000001</v>
      </c>
      <c r="D437" s="5">
        <v>0</v>
      </c>
    </row>
    <row r="438" spans="1:4" x14ac:dyDescent="0.3">
      <c r="A438" s="4">
        <v>0.24</v>
      </c>
      <c r="B438" s="4">
        <v>0.6</v>
      </c>
      <c r="C438" s="4">
        <v>0.22389999999999999</v>
      </c>
      <c r="D438" s="4">
        <v>0</v>
      </c>
    </row>
    <row r="439" spans="1:4" x14ac:dyDescent="0.3">
      <c r="A439" s="5">
        <v>0.22</v>
      </c>
      <c r="B439" s="5">
        <v>0.6</v>
      </c>
      <c r="C439" s="5">
        <v>0.22389999999999999</v>
      </c>
      <c r="D439" s="5">
        <v>0</v>
      </c>
    </row>
    <row r="440" spans="1:4" x14ac:dyDescent="0.3">
      <c r="A440" s="4">
        <v>0.22</v>
      </c>
      <c r="B440" s="4">
        <v>0.55000000000000004</v>
      </c>
      <c r="C440" s="4">
        <v>0.22389999999999999</v>
      </c>
      <c r="D440" s="4">
        <v>1</v>
      </c>
    </row>
    <row r="441" spans="1:4" x14ac:dyDescent="0.3">
      <c r="A441" s="5">
        <v>0.22</v>
      </c>
      <c r="B441" s="5">
        <v>0.55000000000000004</v>
      </c>
      <c r="C441" s="5">
        <v>0.28360000000000002</v>
      </c>
      <c r="D441" s="5">
        <v>2</v>
      </c>
    </row>
    <row r="442" spans="1:4" x14ac:dyDescent="0.3">
      <c r="A442" s="4">
        <v>0.24</v>
      </c>
      <c r="B442" s="4">
        <v>0.52</v>
      </c>
      <c r="C442" s="4">
        <v>0.22389999999999999</v>
      </c>
      <c r="D442" s="4">
        <v>3</v>
      </c>
    </row>
    <row r="443" spans="1:4" x14ac:dyDescent="0.3">
      <c r="A443" s="5">
        <v>0.26</v>
      </c>
      <c r="B443" s="5">
        <v>0.48</v>
      </c>
      <c r="C443" s="5">
        <v>0.29849999999999999</v>
      </c>
      <c r="D443" s="5">
        <v>1</v>
      </c>
    </row>
    <row r="444" spans="1:4" x14ac:dyDescent="0.3">
      <c r="A444" s="4">
        <v>0.28000000000000003</v>
      </c>
      <c r="B444" s="4">
        <v>0.45</v>
      </c>
      <c r="C444" s="4">
        <v>0.16420000000000001</v>
      </c>
      <c r="D444" s="4">
        <v>5</v>
      </c>
    </row>
    <row r="445" spans="1:4" x14ac:dyDescent="0.3">
      <c r="A445" s="5">
        <v>0.3</v>
      </c>
      <c r="B445" s="5">
        <v>0.42</v>
      </c>
      <c r="C445" s="5">
        <v>0</v>
      </c>
      <c r="D445" s="5">
        <v>7</v>
      </c>
    </row>
    <row r="446" spans="1:4" x14ac:dyDescent="0.3">
      <c r="A446" s="4">
        <v>0.28000000000000003</v>
      </c>
      <c r="B446" s="4">
        <v>0.45</v>
      </c>
      <c r="C446" s="4">
        <v>0.1045</v>
      </c>
      <c r="D446" s="4">
        <v>12</v>
      </c>
    </row>
    <row r="447" spans="1:4" x14ac:dyDescent="0.3">
      <c r="A447" s="5">
        <v>0.3</v>
      </c>
      <c r="B447" s="5">
        <v>0.45</v>
      </c>
      <c r="C447" s="5">
        <v>0.1343</v>
      </c>
      <c r="D447" s="5">
        <v>6</v>
      </c>
    </row>
    <row r="448" spans="1:4" x14ac:dyDescent="0.3">
      <c r="A448" s="4">
        <v>0.32</v>
      </c>
      <c r="B448" s="4">
        <v>0.45</v>
      </c>
      <c r="C448" s="4">
        <v>0.19400000000000001</v>
      </c>
      <c r="D448" s="4">
        <v>8</v>
      </c>
    </row>
    <row r="449" spans="1:4" x14ac:dyDescent="0.3">
      <c r="A449" s="5">
        <v>0.3</v>
      </c>
      <c r="B449" s="5">
        <v>0.49</v>
      </c>
      <c r="C449" s="5">
        <v>0.1343</v>
      </c>
      <c r="D449" s="5">
        <v>8</v>
      </c>
    </row>
    <row r="450" spans="1:4" x14ac:dyDescent="0.3">
      <c r="A450" s="4">
        <v>0.3</v>
      </c>
      <c r="B450" s="4">
        <v>0.49</v>
      </c>
      <c r="C450" s="4">
        <v>0.1045</v>
      </c>
      <c r="D450" s="4">
        <v>8</v>
      </c>
    </row>
    <row r="451" spans="1:4" x14ac:dyDescent="0.3">
      <c r="A451" s="5">
        <v>0.26</v>
      </c>
      <c r="B451" s="5">
        <v>0.56000000000000005</v>
      </c>
      <c r="C451" s="5">
        <v>0.19400000000000001</v>
      </c>
      <c r="D451" s="5">
        <v>1</v>
      </c>
    </row>
    <row r="452" spans="1:4" x14ac:dyDescent="0.3">
      <c r="A452" s="4">
        <v>0.26</v>
      </c>
      <c r="B452" s="4">
        <v>0.56000000000000005</v>
      </c>
      <c r="C452" s="4">
        <v>0.32840000000000003</v>
      </c>
      <c r="D452" s="4">
        <v>6</v>
      </c>
    </row>
    <row r="453" spans="1:4" x14ac:dyDescent="0.3">
      <c r="A453" s="5">
        <v>0.26</v>
      </c>
      <c r="B453" s="5">
        <v>0.6</v>
      </c>
      <c r="C453" s="5">
        <v>0.28360000000000002</v>
      </c>
      <c r="D453" s="5">
        <v>2</v>
      </c>
    </row>
    <row r="454" spans="1:4" x14ac:dyDescent="0.3">
      <c r="A454" s="4">
        <v>0.24</v>
      </c>
      <c r="B454" s="4">
        <v>0.6</v>
      </c>
      <c r="C454" s="4">
        <v>0.25369999999999998</v>
      </c>
      <c r="D454" s="4">
        <v>3</v>
      </c>
    </row>
    <row r="455" spans="1:4" x14ac:dyDescent="0.3">
      <c r="A455" s="5">
        <v>0.24</v>
      </c>
      <c r="B455" s="5">
        <v>0.65</v>
      </c>
      <c r="C455" s="5">
        <v>0.28360000000000002</v>
      </c>
      <c r="D455" s="5">
        <v>0</v>
      </c>
    </row>
    <row r="456" spans="1:4" x14ac:dyDescent="0.3">
      <c r="A456" s="4">
        <v>0.24</v>
      </c>
      <c r="B456" s="4">
        <v>0.65</v>
      </c>
      <c r="C456" s="4">
        <v>0.32840000000000003</v>
      </c>
      <c r="D456" s="4">
        <v>3</v>
      </c>
    </row>
    <row r="457" spans="1:4" x14ac:dyDescent="0.3">
      <c r="A457" s="5">
        <v>0.24</v>
      </c>
      <c r="B457" s="5">
        <v>0.7</v>
      </c>
      <c r="C457" s="5">
        <v>0.25369999999999998</v>
      </c>
      <c r="D457" s="5">
        <v>1</v>
      </c>
    </row>
    <row r="458" spans="1:4" x14ac:dyDescent="0.3">
      <c r="A458" s="4">
        <v>0.24</v>
      </c>
      <c r="B458" s="4">
        <v>0.7</v>
      </c>
      <c r="C458" s="4">
        <v>0.25369999999999998</v>
      </c>
      <c r="D458" s="4">
        <v>0</v>
      </c>
    </row>
    <row r="459" spans="1:4" x14ac:dyDescent="0.3">
      <c r="A459" s="5">
        <v>0.24</v>
      </c>
      <c r="B459" s="5">
        <v>0.75</v>
      </c>
      <c r="C459" s="5">
        <v>0.16420000000000001</v>
      </c>
      <c r="D459" s="5">
        <v>0</v>
      </c>
    </row>
    <row r="460" spans="1:4" x14ac:dyDescent="0.3">
      <c r="A460" s="4">
        <v>0.22</v>
      </c>
      <c r="B460" s="4">
        <v>0.8</v>
      </c>
      <c r="C460" s="4">
        <v>0.29849999999999999</v>
      </c>
      <c r="D460" s="4">
        <v>0</v>
      </c>
    </row>
    <row r="461" spans="1:4" x14ac:dyDescent="0.3">
      <c r="A461" s="5">
        <v>0.22</v>
      </c>
      <c r="B461" s="5">
        <v>0.87</v>
      </c>
      <c r="C461" s="5">
        <v>8.9599999999999999E-2</v>
      </c>
      <c r="D461" s="5">
        <v>0</v>
      </c>
    </row>
    <row r="462" spans="1:4" x14ac:dyDescent="0.3">
      <c r="A462" s="4">
        <v>0.24</v>
      </c>
      <c r="B462" s="4">
        <v>0.6</v>
      </c>
      <c r="C462" s="4">
        <v>0.41789999999999999</v>
      </c>
      <c r="D462" s="4">
        <v>1</v>
      </c>
    </row>
    <row r="463" spans="1:4" x14ac:dyDescent="0.3">
      <c r="A463" s="5">
        <v>0.22</v>
      </c>
      <c r="B463" s="5">
        <v>0.55000000000000004</v>
      </c>
      <c r="C463" s="5">
        <v>0.25369999999999998</v>
      </c>
      <c r="D463" s="5">
        <v>0</v>
      </c>
    </row>
    <row r="464" spans="1:4" x14ac:dyDescent="0.3">
      <c r="A464" s="4">
        <v>0.2</v>
      </c>
      <c r="B464" s="4">
        <v>0.51</v>
      </c>
      <c r="C464" s="4">
        <v>0.28360000000000002</v>
      </c>
      <c r="D464" s="4">
        <v>2</v>
      </c>
    </row>
    <row r="465" spans="1:4" x14ac:dyDescent="0.3">
      <c r="A465" s="5">
        <v>0.2</v>
      </c>
      <c r="B465" s="5">
        <v>0.47</v>
      </c>
      <c r="C465" s="5">
        <v>0.32840000000000003</v>
      </c>
      <c r="D465" s="5">
        <v>7</v>
      </c>
    </row>
    <row r="466" spans="1:4" x14ac:dyDescent="0.3">
      <c r="A466" s="4">
        <v>0.2</v>
      </c>
      <c r="B466" s="4">
        <v>0.51</v>
      </c>
      <c r="C466" s="4">
        <v>0.35820000000000002</v>
      </c>
      <c r="D466" s="4">
        <v>7</v>
      </c>
    </row>
    <row r="467" spans="1:4" x14ac:dyDescent="0.3">
      <c r="A467" s="5">
        <v>0.2</v>
      </c>
      <c r="B467" s="5">
        <v>0.47</v>
      </c>
      <c r="C467" s="5">
        <v>0.4627</v>
      </c>
      <c r="D467" s="5">
        <v>6</v>
      </c>
    </row>
    <row r="468" spans="1:4" x14ac:dyDescent="0.3">
      <c r="A468" s="4">
        <v>0.22</v>
      </c>
      <c r="B468" s="4">
        <v>0.41</v>
      </c>
      <c r="C468" s="4">
        <v>0.4627</v>
      </c>
      <c r="D468" s="4">
        <v>6</v>
      </c>
    </row>
    <row r="469" spans="1:4" x14ac:dyDescent="0.3">
      <c r="A469" s="5">
        <v>0.22</v>
      </c>
      <c r="B469" s="5">
        <v>0.27</v>
      </c>
      <c r="C469" s="5">
        <v>0.58209999999999995</v>
      </c>
      <c r="D469" s="5">
        <v>11</v>
      </c>
    </row>
    <row r="470" spans="1:4" x14ac:dyDescent="0.3">
      <c r="A470" s="4">
        <v>0.2</v>
      </c>
      <c r="B470" s="4">
        <v>0.21</v>
      </c>
      <c r="C470" s="4">
        <v>0.58209999999999995</v>
      </c>
      <c r="D470" s="4">
        <v>8</v>
      </c>
    </row>
    <row r="471" spans="1:4" x14ac:dyDescent="0.3">
      <c r="A471" s="5">
        <v>0.2</v>
      </c>
      <c r="B471" s="5">
        <v>0.25</v>
      </c>
      <c r="C471" s="5">
        <v>0.52239999999999998</v>
      </c>
      <c r="D471" s="5">
        <v>6</v>
      </c>
    </row>
    <row r="472" spans="1:4" x14ac:dyDescent="0.3">
      <c r="A472" s="4">
        <v>0.16</v>
      </c>
      <c r="B472" s="4">
        <v>0.26</v>
      </c>
      <c r="C472" s="4">
        <v>0.44779999999999998</v>
      </c>
      <c r="D472" s="4">
        <v>4</v>
      </c>
    </row>
    <row r="473" spans="1:4" x14ac:dyDescent="0.3">
      <c r="A473" s="5">
        <v>0.16</v>
      </c>
      <c r="B473" s="5">
        <v>0.26</v>
      </c>
      <c r="C473" s="5">
        <v>0.35820000000000002</v>
      </c>
      <c r="D473" s="5">
        <v>0</v>
      </c>
    </row>
    <row r="474" spans="1:4" x14ac:dyDescent="0.3">
      <c r="A474" s="4">
        <v>0.14000000000000001</v>
      </c>
      <c r="B474" s="4">
        <v>0.28000000000000003</v>
      </c>
      <c r="C474" s="4">
        <v>0.35820000000000002</v>
      </c>
      <c r="D474" s="4">
        <v>10</v>
      </c>
    </row>
    <row r="475" spans="1:4" x14ac:dyDescent="0.3">
      <c r="A475" s="5">
        <v>0.12</v>
      </c>
      <c r="B475" s="5">
        <v>0.3</v>
      </c>
      <c r="C475" s="5">
        <v>0.25369999999999998</v>
      </c>
      <c r="D475" s="5">
        <v>1</v>
      </c>
    </row>
    <row r="476" spans="1:4" x14ac:dyDescent="0.3">
      <c r="A476" s="4">
        <v>0.12</v>
      </c>
      <c r="B476" s="4">
        <v>0.3</v>
      </c>
      <c r="C476" s="4">
        <v>0.32840000000000003</v>
      </c>
      <c r="D476" s="4">
        <v>3</v>
      </c>
    </row>
    <row r="477" spans="1:4" x14ac:dyDescent="0.3">
      <c r="A477" s="5">
        <v>0.1</v>
      </c>
      <c r="B477" s="5">
        <v>0.33</v>
      </c>
      <c r="C477" s="5">
        <v>0.41789999999999999</v>
      </c>
      <c r="D477" s="5">
        <v>1</v>
      </c>
    </row>
    <row r="478" spans="1:4" x14ac:dyDescent="0.3">
      <c r="A478" s="4">
        <v>0.08</v>
      </c>
      <c r="B478" s="4">
        <v>0.38</v>
      </c>
      <c r="C478" s="4">
        <v>0.28360000000000002</v>
      </c>
      <c r="D478" s="4">
        <v>0</v>
      </c>
    </row>
    <row r="479" spans="1:4" x14ac:dyDescent="0.3">
      <c r="A479" s="5">
        <v>0.06</v>
      </c>
      <c r="B479" s="5">
        <v>0.41</v>
      </c>
      <c r="C479" s="5">
        <v>0.3881</v>
      </c>
      <c r="D479" s="5">
        <v>1</v>
      </c>
    </row>
    <row r="480" spans="1:4" x14ac:dyDescent="0.3">
      <c r="A480" s="4">
        <v>0.06</v>
      </c>
      <c r="B480" s="4">
        <v>0.38</v>
      </c>
      <c r="C480" s="4">
        <v>0.32840000000000003</v>
      </c>
      <c r="D480" s="4">
        <v>0</v>
      </c>
    </row>
    <row r="481" spans="1:4" x14ac:dyDescent="0.3">
      <c r="A481" s="5">
        <v>0.04</v>
      </c>
      <c r="B481" s="5">
        <v>0.45</v>
      </c>
      <c r="C481" s="5">
        <v>0.25369999999999998</v>
      </c>
      <c r="D481" s="5">
        <v>0</v>
      </c>
    </row>
    <row r="482" spans="1:4" x14ac:dyDescent="0.3">
      <c r="A482" s="4">
        <v>0.04</v>
      </c>
      <c r="B482" s="4">
        <v>0.41</v>
      </c>
      <c r="C482" s="4">
        <v>0.3881</v>
      </c>
      <c r="D482" s="4">
        <v>3</v>
      </c>
    </row>
    <row r="483" spans="1:4" x14ac:dyDescent="0.3">
      <c r="A483" s="5">
        <v>0.04</v>
      </c>
      <c r="B483" s="5">
        <v>0.41</v>
      </c>
      <c r="C483" s="5">
        <v>0.25369999999999998</v>
      </c>
      <c r="D483" s="5">
        <v>0</v>
      </c>
    </row>
    <row r="484" spans="1:4" x14ac:dyDescent="0.3">
      <c r="A484" s="4">
        <v>0.04</v>
      </c>
      <c r="B484" s="4">
        <v>0.41</v>
      </c>
      <c r="C484" s="4">
        <v>0.28360000000000002</v>
      </c>
      <c r="D484" s="4">
        <v>1</v>
      </c>
    </row>
    <row r="485" spans="1:4" x14ac:dyDescent="0.3">
      <c r="A485" s="5">
        <v>0.02</v>
      </c>
      <c r="B485" s="5">
        <v>0.48</v>
      </c>
      <c r="C485" s="5">
        <v>0.29849999999999999</v>
      </c>
      <c r="D485" s="5">
        <v>0</v>
      </c>
    </row>
    <row r="486" spans="1:4" x14ac:dyDescent="0.3">
      <c r="A486" s="4">
        <v>0.02</v>
      </c>
      <c r="B486" s="4">
        <v>0.44</v>
      </c>
      <c r="C486" s="4">
        <v>0.22389999999999999</v>
      </c>
      <c r="D486" s="4">
        <v>0</v>
      </c>
    </row>
    <row r="487" spans="1:4" x14ac:dyDescent="0.3">
      <c r="A487" s="5">
        <v>0.02</v>
      </c>
      <c r="B487" s="5">
        <v>0.44</v>
      </c>
      <c r="C487" s="5">
        <v>0.28360000000000002</v>
      </c>
      <c r="D487" s="5">
        <v>0</v>
      </c>
    </row>
    <row r="488" spans="1:4" x14ac:dyDescent="0.3">
      <c r="A488" s="4">
        <v>0.02</v>
      </c>
      <c r="B488" s="4">
        <v>0.44</v>
      </c>
      <c r="C488" s="4">
        <v>0.32840000000000003</v>
      </c>
      <c r="D488" s="4">
        <v>1</v>
      </c>
    </row>
    <row r="489" spans="1:4" x14ac:dyDescent="0.3">
      <c r="A489" s="5">
        <v>0.04</v>
      </c>
      <c r="B489" s="5">
        <v>0.41</v>
      </c>
      <c r="C489" s="5">
        <v>0.25369999999999998</v>
      </c>
      <c r="D489" s="5">
        <v>3</v>
      </c>
    </row>
    <row r="490" spans="1:4" x14ac:dyDescent="0.3">
      <c r="A490" s="4">
        <v>0.04</v>
      </c>
      <c r="B490" s="4">
        <v>0.41</v>
      </c>
      <c r="C490" s="4">
        <v>0.16420000000000001</v>
      </c>
      <c r="D490" s="4">
        <v>3</v>
      </c>
    </row>
    <row r="491" spans="1:4" x14ac:dyDescent="0.3">
      <c r="A491" s="5">
        <v>0.06</v>
      </c>
      <c r="B491" s="5">
        <v>0.38</v>
      </c>
      <c r="C491" s="5">
        <v>0.1343</v>
      </c>
      <c r="D491" s="5">
        <v>4</v>
      </c>
    </row>
    <row r="492" spans="1:4" x14ac:dyDescent="0.3">
      <c r="A492" s="4">
        <v>0.06</v>
      </c>
      <c r="B492" s="4">
        <v>0.38</v>
      </c>
      <c r="C492" s="4">
        <v>0.1045</v>
      </c>
      <c r="D492" s="4">
        <v>10</v>
      </c>
    </row>
    <row r="493" spans="1:4" x14ac:dyDescent="0.3">
      <c r="A493" s="5">
        <v>0.08</v>
      </c>
      <c r="B493" s="5">
        <v>0.35</v>
      </c>
      <c r="C493" s="5">
        <v>0</v>
      </c>
      <c r="D493" s="5">
        <v>12</v>
      </c>
    </row>
    <row r="494" spans="1:4" x14ac:dyDescent="0.3">
      <c r="A494" s="4">
        <v>0.1</v>
      </c>
      <c r="B494" s="4">
        <v>0.33</v>
      </c>
      <c r="C494" s="4">
        <v>0.1045</v>
      </c>
      <c r="D494" s="4">
        <v>11</v>
      </c>
    </row>
    <row r="495" spans="1:4" x14ac:dyDescent="0.3">
      <c r="A495" s="5">
        <v>0.12</v>
      </c>
      <c r="B495" s="5">
        <v>0.28000000000000003</v>
      </c>
      <c r="C495" s="5">
        <v>0</v>
      </c>
      <c r="D495" s="5">
        <v>10</v>
      </c>
    </row>
    <row r="496" spans="1:4" x14ac:dyDescent="0.3">
      <c r="A496" s="4">
        <v>0.12</v>
      </c>
      <c r="B496" s="4">
        <v>0.28000000000000003</v>
      </c>
      <c r="C496" s="4">
        <v>0.19400000000000001</v>
      </c>
      <c r="D496" s="4">
        <v>11</v>
      </c>
    </row>
    <row r="497" spans="1:4" x14ac:dyDescent="0.3">
      <c r="A497" s="5">
        <v>0.12</v>
      </c>
      <c r="B497" s="5">
        <v>0.28000000000000003</v>
      </c>
      <c r="C497" s="5">
        <v>0</v>
      </c>
      <c r="D497" s="5">
        <v>8</v>
      </c>
    </row>
    <row r="498" spans="1:4" x14ac:dyDescent="0.3">
      <c r="A498" s="4">
        <v>0.08</v>
      </c>
      <c r="B498" s="4">
        <v>0.35</v>
      </c>
      <c r="C498" s="4">
        <v>0.19400000000000001</v>
      </c>
      <c r="D498" s="4">
        <v>0</v>
      </c>
    </row>
    <row r="499" spans="1:4" x14ac:dyDescent="0.3">
      <c r="A499" s="5">
        <v>0.08</v>
      </c>
      <c r="B499" s="5">
        <v>0.35</v>
      </c>
      <c r="C499" s="5">
        <v>0.1343</v>
      </c>
      <c r="D499" s="5">
        <v>6</v>
      </c>
    </row>
    <row r="500" spans="1:4" x14ac:dyDescent="0.3">
      <c r="A500" s="4">
        <v>0.06</v>
      </c>
      <c r="B500" s="4">
        <v>0.45</v>
      </c>
      <c r="C500" s="4">
        <v>0.16420000000000001</v>
      </c>
      <c r="D500" s="4">
        <v>1</v>
      </c>
    </row>
    <row r="501" spans="1:4" x14ac:dyDescent="0.3">
      <c r="A501" s="5">
        <v>0.06</v>
      </c>
      <c r="B501" s="5">
        <v>0.41</v>
      </c>
      <c r="C501" s="5">
        <v>8.9599999999999999E-2</v>
      </c>
      <c r="D501" s="5">
        <v>0</v>
      </c>
    </row>
    <row r="502" spans="1:4" x14ac:dyDescent="0.3">
      <c r="A502" s="4">
        <v>0.06</v>
      </c>
      <c r="B502" s="4">
        <v>0.49</v>
      </c>
      <c r="C502" s="4">
        <v>0</v>
      </c>
      <c r="D502" s="4">
        <v>7</v>
      </c>
    </row>
    <row r="503" spans="1:4" x14ac:dyDescent="0.3">
      <c r="A503" s="5">
        <v>0.04</v>
      </c>
      <c r="B503" s="5">
        <v>0.56999999999999995</v>
      </c>
      <c r="C503" s="5">
        <v>0.1045</v>
      </c>
      <c r="D503" s="5">
        <v>2</v>
      </c>
    </row>
    <row r="504" spans="1:4" x14ac:dyDescent="0.3">
      <c r="A504" s="4">
        <v>0.04</v>
      </c>
      <c r="B504" s="4">
        <v>0.56999999999999995</v>
      </c>
      <c r="C504" s="4">
        <v>0.1045</v>
      </c>
      <c r="D504" s="4">
        <v>2</v>
      </c>
    </row>
    <row r="505" spans="1:4" x14ac:dyDescent="0.3">
      <c r="A505" s="5">
        <v>0.04</v>
      </c>
      <c r="B505" s="5">
        <v>0.56999999999999995</v>
      </c>
      <c r="C505" s="5">
        <v>0.1045</v>
      </c>
      <c r="D505" s="5">
        <v>1</v>
      </c>
    </row>
    <row r="506" spans="1:4" x14ac:dyDescent="0.3">
      <c r="A506" s="4">
        <v>0.02</v>
      </c>
      <c r="B506" s="4">
        <v>0.62</v>
      </c>
      <c r="C506" s="4">
        <v>0.1343</v>
      </c>
      <c r="D506" s="4">
        <v>3</v>
      </c>
    </row>
    <row r="507" spans="1:4" x14ac:dyDescent="0.3">
      <c r="A507" s="5">
        <v>0.02</v>
      </c>
      <c r="B507" s="5">
        <v>0.62</v>
      </c>
      <c r="C507" s="5">
        <v>0.1343</v>
      </c>
      <c r="D507" s="5">
        <v>1</v>
      </c>
    </row>
    <row r="508" spans="1:4" x14ac:dyDescent="0.3">
      <c r="A508" s="4">
        <v>0.04</v>
      </c>
      <c r="B508" s="4">
        <v>0.56999999999999995</v>
      </c>
      <c r="C508" s="4">
        <v>0.1045</v>
      </c>
      <c r="D508" s="4">
        <v>0</v>
      </c>
    </row>
    <row r="509" spans="1:4" x14ac:dyDescent="0.3">
      <c r="A509" s="5">
        <v>0.04</v>
      </c>
      <c r="B509" s="5">
        <v>0.56999999999999995</v>
      </c>
      <c r="C509" s="5">
        <v>0.1045</v>
      </c>
      <c r="D509" s="5">
        <v>0</v>
      </c>
    </row>
    <row r="510" spans="1:4" x14ac:dyDescent="0.3">
      <c r="A510" s="4">
        <v>0.08</v>
      </c>
      <c r="B510" s="4">
        <v>0.57999999999999996</v>
      </c>
      <c r="C510" s="4">
        <v>0.16420000000000001</v>
      </c>
      <c r="D510" s="4">
        <v>1</v>
      </c>
    </row>
    <row r="511" spans="1:4" x14ac:dyDescent="0.3">
      <c r="A511" s="5">
        <v>0.06</v>
      </c>
      <c r="B511" s="5">
        <v>0.62</v>
      </c>
      <c r="C511" s="5">
        <v>0.16420000000000001</v>
      </c>
      <c r="D511" s="5">
        <v>2</v>
      </c>
    </row>
    <row r="512" spans="1:4" x14ac:dyDescent="0.3">
      <c r="A512" s="4">
        <v>0.1</v>
      </c>
      <c r="B512" s="4">
        <v>0.54</v>
      </c>
      <c r="C512" s="4">
        <v>0.35820000000000002</v>
      </c>
      <c r="D512" s="4">
        <v>3</v>
      </c>
    </row>
    <row r="513" spans="1:4" x14ac:dyDescent="0.3">
      <c r="A513" s="5">
        <v>0.14000000000000001</v>
      </c>
      <c r="B513" s="5">
        <v>0.46</v>
      </c>
      <c r="C513" s="5">
        <v>0.3881</v>
      </c>
      <c r="D513" s="5">
        <v>7</v>
      </c>
    </row>
    <row r="514" spans="1:4" x14ac:dyDescent="0.3">
      <c r="A514" s="4">
        <v>0.14000000000000001</v>
      </c>
      <c r="B514" s="4">
        <v>0.43</v>
      </c>
      <c r="C514" s="4">
        <v>0.22389999999999999</v>
      </c>
      <c r="D514" s="4">
        <v>22</v>
      </c>
    </row>
    <row r="515" spans="1:4" x14ac:dyDescent="0.3">
      <c r="A515" s="5">
        <v>0.16</v>
      </c>
      <c r="B515" s="5">
        <v>0.37</v>
      </c>
      <c r="C515" s="5">
        <v>0.4627</v>
      </c>
      <c r="D515" s="5">
        <v>24</v>
      </c>
    </row>
    <row r="516" spans="1:4" x14ac:dyDescent="0.3">
      <c r="A516" s="4">
        <v>0.14000000000000001</v>
      </c>
      <c r="B516" s="4">
        <v>0.33</v>
      </c>
      <c r="C516" s="4">
        <v>0.3881</v>
      </c>
      <c r="D516" s="4">
        <v>12</v>
      </c>
    </row>
    <row r="517" spans="1:4" x14ac:dyDescent="0.3">
      <c r="A517" s="5">
        <v>0.16</v>
      </c>
      <c r="B517" s="5">
        <v>0.28000000000000003</v>
      </c>
      <c r="C517" s="5">
        <v>0.35820000000000002</v>
      </c>
      <c r="D517" s="5">
        <v>17</v>
      </c>
    </row>
    <row r="518" spans="1:4" x14ac:dyDescent="0.3">
      <c r="A518" s="4">
        <v>0.16</v>
      </c>
      <c r="B518" s="4">
        <v>0.28000000000000003</v>
      </c>
      <c r="C518" s="4">
        <v>0.35820000000000002</v>
      </c>
      <c r="D518" s="4">
        <v>13</v>
      </c>
    </row>
    <row r="519" spans="1:4" x14ac:dyDescent="0.3">
      <c r="A519" s="5">
        <v>0.16</v>
      </c>
      <c r="B519" s="5">
        <v>0.26</v>
      </c>
      <c r="C519" s="5">
        <v>0.32840000000000003</v>
      </c>
      <c r="D519" s="5">
        <v>9</v>
      </c>
    </row>
    <row r="520" spans="1:4" x14ac:dyDescent="0.3">
      <c r="A520" s="4">
        <v>0.14000000000000001</v>
      </c>
      <c r="B520" s="4">
        <v>0.26</v>
      </c>
      <c r="C520" s="4">
        <v>0.3881</v>
      </c>
      <c r="D520" s="4">
        <v>5</v>
      </c>
    </row>
    <row r="521" spans="1:4" x14ac:dyDescent="0.3">
      <c r="A521" s="5">
        <v>0.12</v>
      </c>
      <c r="B521" s="5">
        <v>0.3</v>
      </c>
      <c r="C521" s="5">
        <v>0.25369999999999998</v>
      </c>
      <c r="D521" s="5">
        <v>5</v>
      </c>
    </row>
    <row r="522" spans="1:4" x14ac:dyDescent="0.3">
      <c r="A522" s="4">
        <v>0.12</v>
      </c>
      <c r="B522" s="4">
        <v>0.3</v>
      </c>
      <c r="C522" s="4">
        <v>0.28360000000000002</v>
      </c>
      <c r="D522" s="4">
        <v>5</v>
      </c>
    </row>
    <row r="523" spans="1:4" x14ac:dyDescent="0.3">
      <c r="A523" s="5">
        <v>0.1</v>
      </c>
      <c r="B523" s="5">
        <v>0.36</v>
      </c>
      <c r="C523" s="5">
        <v>0.25369999999999998</v>
      </c>
      <c r="D523" s="5">
        <v>4</v>
      </c>
    </row>
    <row r="524" spans="1:4" x14ac:dyDescent="0.3">
      <c r="A524" s="4">
        <v>0.1</v>
      </c>
      <c r="B524" s="4">
        <v>0.36</v>
      </c>
      <c r="C524" s="4">
        <v>0.19400000000000001</v>
      </c>
      <c r="D524" s="4">
        <v>5</v>
      </c>
    </row>
    <row r="525" spans="1:4" x14ac:dyDescent="0.3">
      <c r="A525" s="5">
        <v>0.08</v>
      </c>
      <c r="B525" s="5">
        <v>0.38</v>
      </c>
      <c r="C525" s="5">
        <v>0.19400000000000001</v>
      </c>
      <c r="D525" s="5">
        <v>5</v>
      </c>
    </row>
    <row r="526" spans="1:4" x14ac:dyDescent="0.3">
      <c r="A526" s="4">
        <v>0.06</v>
      </c>
      <c r="B526" s="4">
        <v>0.41</v>
      </c>
      <c r="C526" s="4">
        <v>0.22389999999999999</v>
      </c>
      <c r="D526" s="4">
        <v>4</v>
      </c>
    </row>
    <row r="527" spans="1:4" x14ac:dyDescent="0.3">
      <c r="A527" s="5">
        <v>0.06</v>
      </c>
      <c r="B527" s="5">
        <v>0.41</v>
      </c>
      <c r="C527" s="5">
        <v>0.19400000000000001</v>
      </c>
      <c r="D527" s="5">
        <v>0</v>
      </c>
    </row>
    <row r="528" spans="1:4" x14ac:dyDescent="0.3">
      <c r="A528" s="4">
        <v>0.04</v>
      </c>
      <c r="B528" s="4">
        <v>0.45</v>
      </c>
      <c r="C528" s="4">
        <v>0.19400000000000001</v>
      </c>
      <c r="D528" s="4">
        <v>0</v>
      </c>
    </row>
    <row r="529" spans="1:4" x14ac:dyDescent="0.3">
      <c r="A529" s="5">
        <v>0.04</v>
      </c>
      <c r="B529" s="5">
        <v>0.45</v>
      </c>
      <c r="C529" s="5">
        <v>0.25369999999999998</v>
      </c>
      <c r="D529" s="5">
        <v>0</v>
      </c>
    </row>
    <row r="530" spans="1:4" x14ac:dyDescent="0.3">
      <c r="A530" s="4">
        <v>0.02</v>
      </c>
      <c r="B530" s="4">
        <v>0.48</v>
      </c>
      <c r="C530" s="4">
        <v>0.1343</v>
      </c>
      <c r="D530" s="4">
        <v>0</v>
      </c>
    </row>
    <row r="531" spans="1:4" x14ac:dyDescent="0.3">
      <c r="A531" s="5">
        <v>0.02</v>
      </c>
      <c r="B531" s="5">
        <v>0.48</v>
      </c>
      <c r="C531" s="5">
        <v>0.1343</v>
      </c>
      <c r="D531" s="5">
        <v>0</v>
      </c>
    </row>
    <row r="532" spans="1:4" x14ac:dyDescent="0.3">
      <c r="A532" s="4">
        <v>0.02</v>
      </c>
      <c r="B532" s="4">
        <v>0.48</v>
      </c>
      <c r="C532" s="4">
        <v>8.9599999999999999E-2</v>
      </c>
      <c r="D532" s="4">
        <v>0</v>
      </c>
    </row>
    <row r="533" spans="1:4" x14ac:dyDescent="0.3">
      <c r="A533" s="5">
        <v>0.02</v>
      </c>
      <c r="B533" s="5">
        <v>0.48</v>
      </c>
      <c r="C533" s="5">
        <v>0</v>
      </c>
      <c r="D533" s="5">
        <v>5</v>
      </c>
    </row>
    <row r="534" spans="1:4" x14ac:dyDescent="0.3">
      <c r="A534" s="4">
        <v>0.04</v>
      </c>
      <c r="B534" s="4">
        <v>0.49</v>
      </c>
      <c r="C534" s="4">
        <v>0</v>
      </c>
      <c r="D534" s="4">
        <v>6</v>
      </c>
    </row>
    <row r="535" spans="1:4" x14ac:dyDescent="0.3">
      <c r="A535" s="5">
        <v>0.06</v>
      </c>
      <c r="B535" s="5">
        <v>0.41</v>
      </c>
      <c r="C535" s="5">
        <v>0</v>
      </c>
      <c r="D535" s="5">
        <v>4</v>
      </c>
    </row>
    <row r="536" spans="1:4" x14ac:dyDescent="0.3">
      <c r="A536" s="4">
        <v>0.1</v>
      </c>
      <c r="B536" s="4">
        <v>0.42</v>
      </c>
      <c r="C536" s="4">
        <v>0</v>
      </c>
      <c r="D536" s="4">
        <v>6</v>
      </c>
    </row>
    <row r="537" spans="1:4" x14ac:dyDescent="0.3">
      <c r="A537" s="5">
        <v>0.1</v>
      </c>
      <c r="B537" s="5">
        <v>0.46</v>
      </c>
      <c r="C537" s="5">
        <v>0.1343</v>
      </c>
      <c r="D537" s="5">
        <v>3</v>
      </c>
    </row>
    <row r="538" spans="1:4" x14ac:dyDescent="0.3">
      <c r="A538" s="4">
        <v>0.12</v>
      </c>
      <c r="B538" s="4">
        <v>0.42</v>
      </c>
      <c r="C538" s="4">
        <v>0.19400000000000001</v>
      </c>
      <c r="D538" s="4">
        <v>11</v>
      </c>
    </row>
    <row r="539" spans="1:4" x14ac:dyDescent="0.3">
      <c r="A539" s="5">
        <v>0.14000000000000001</v>
      </c>
      <c r="B539" s="5">
        <v>0.43</v>
      </c>
      <c r="C539" s="5">
        <v>0.22389999999999999</v>
      </c>
      <c r="D539" s="5">
        <v>6</v>
      </c>
    </row>
    <row r="540" spans="1:4" x14ac:dyDescent="0.3">
      <c r="A540" s="4">
        <v>0.14000000000000001</v>
      </c>
      <c r="B540" s="4">
        <v>0.46</v>
      </c>
      <c r="C540" s="4">
        <v>0.22389999999999999</v>
      </c>
      <c r="D540" s="4">
        <v>2</v>
      </c>
    </row>
    <row r="541" spans="1:4" x14ac:dyDescent="0.3">
      <c r="A541" s="5">
        <v>0.16</v>
      </c>
      <c r="B541" s="5">
        <v>0.4</v>
      </c>
      <c r="C541" s="5">
        <v>0.16420000000000001</v>
      </c>
      <c r="D541" s="5">
        <v>7</v>
      </c>
    </row>
    <row r="542" spans="1:4" x14ac:dyDescent="0.3">
      <c r="A542" s="4">
        <v>0.16</v>
      </c>
      <c r="B542" s="4">
        <v>0.47</v>
      </c>
      <c r="C542" s="4">
        <v>0.25369999999999998</v>
      </c>
      <c r="D542" s="4">
        <v>4</v>
      </c>
    </row>
    <row r="543" spans="1:4" x14ac:dyDescent="0.3">
      <c r="A543" s="5">
        <v>0.14000000000000001</v>
      </c>
      <c r="B543" s="5">
        <v>0.5</v>
      </c>
      <c r="C543" s="5">
        <v>0.25369999999999998</v>
      </c>
      <c r="D543" s="5">
        <v>6</v>
      </c>
    </row>
    <row r="544" spans="1:4" x14ac:dyDescent="0.3">
      <c r="A544" s="4">
        <v>0.14000000000000001</v>
      </c>
      <c r="B544" s="4">
        <v>0.59</v>
      </c>
      <c r="C544" s="4">
        <v>0.19400000000000001</v>
      </c>
      <c r="D544" s="4">
        <v>8</v>
      </c>
    </row>
    <row r="545" spans="1:4" x14ac:dyDescent="0.3">
      <c r="A545" s="5">
        <v>0.14000000000000001</v>
      </c>
      <c r="B545" s="5">
        <v>0.54</v>
      </c>
      <c r="C545" s="5">
        <v>0.16420000000000001</v>
      </c>
      <c r="D545" s="5">
        <v>5</v>
      </c>
    </row>
    <row r="546" spans="1:4" x14ac:dyDescent="0.3">
      <c r="A546" s="4">
        <v>0.14000000000000001</v>
      </c>
      <c r="B546" s="4">
        <v>0.59</v>
      </c>
      <c r="C546" s="4">
        <v>0.19400000000000001</v>
      </c>
      <c r="D546" s="4">
        <v>1</v>
      </c>
    </row>
    <row r="547" spans="1:4" x14ac:dyDescent="0.3">
      <c r="A547" s="5">
        <v>0.14000000000000001</v>
      </c>
      <c r="B547" s="5">
        <v>0.63</v>
      </c>
      <c r="C547" s="5">
        <v>0.16420000000000001</v>
      </c>
      <c r="D547" s="5">
        <v>6</v>
      </c>
    </row>
    <row r="548" spans="1:4" x14ac:dyDescent="0.3">
      <c r="A548" s="4">
        <v>0.14000000000000001</v>
      </c>
      <c r="B548" s="4">
        <v>0.63</v>
      </c>
      <c r="C548" s="4">
        <v>0.22389999999999999</v>
      </c>
      <c r="D548" s="4">
        <v>3</v>
      </c>
    </row>
    <row r="549" spans="1:4" x14ac:dyDescent="0.3">
      <c r="A549" s="5">
        <v>0.16</v>
      </c>
      <c r="B549" s="5">
        <v>0.64</v>
      </c>
      <c r="C549" s="5">
        <v>0.25369999999999998</v>
      </c>
      <c r="D549" s="5">
        <v>3</v>
      </c>
    </row>
    <row r="550" spans="1:4" x14ac:dyDescent="0.3">
      <c r="A550" s="4">
        <v>0.16</v>
      </c>
      <c r="B550" s="4">
        <v>0.69</v>
      </c>
      <c r="C550" s="4">
        <v>0.28360000000000002</v>
      </c>
      <c r="D550" s="4">
        <v>3</v>
      </c>
    </row>
    <row r="551" spans="1:4" x14ac:dyDescent="0.3">
      <c r="A551" s="5">
        <v>0.16</v>
      </c>
      <c r="B551" s="5">
        <v>0.69</v>
      </c>
      <c r="C551" s="5">
        <v>0.16420000000000001</v>
      </c>
      <c r="D551" s="5">
        <v>0</v>
      </c>
    </row>
    <row r="552" spans="1:4" x14ac:dyDescent="0.3">
      <c r="A552" s="4">
        <v>0.16</v>
      </c>
      <c r="B552" s="4">
        <v>0.69</v>
      </c>
      <c r="C552" s="4">
        <v>0.22389999999999999</v>
      </c>
      <c r="D552" s="4">
        <v>0</v>
      </c>
    </row>
    <row r="553" spans="1:4" x14ac:dyDescent="0.3">
      <c r="A553" s="5">
        <v>0.14000000000000001</v>
      </c>
      <c r="B553" s="5">
        <v>0.74</v>
      </c>
      <c r="C553" s="5">
        <v>0.1045</v>
      </c>
      <c r="D553" s="5">
        <v>0</v>
      </c>
    </row>
    <row r="554" spans="1:4" x14ac:dyDescent="0.3">
      <c r="A554" s="4">
        <v>0.14000000000000001</v>
      </c>
      <c r="B554" s="4">
        <v>0.74</v>
      </c>
      <c r="C554" s="4">
        <v>0.22389999999999999</v>
      </c>
      <c r="D554" s="4">
        <v>0</v>
      </c>
    </row>
    <row r="555" spans="1:4" x14ac:dyDescent="0.3">
      <c r="A555" s="5">
        <v>0.16</v>
      </c>
      <c r="B555" s="5">
        <v>0.74</v>
      </c>
      <c r="C555" s="5">
        <v>0.1045</v>
      </c>
      <c r="D555" s="5">
        <v>1</v>
      </c>
    </row>
    <row r="556" spans="1:4" x14ac:dyDescent="0.3">
      <c r="A556" s="4">
        <v>0.16</v>
      </c>
      <c r="B556" s="4">
        <v>0.74</v>
      </c>
      <c r="C556" s="4">
        <v>0.22389999999999999</v>
      </c>
      <c r="D556" s="4">
        <v>5</v>
      </c>
    </row>
    <row r="557" spans="1:4" x14ac:dyDescent="0.3">
      <c r="A557" s="5">
        <v>0.16</v>
      </c>
      <c r="B557" s="5">
        <v>0.74</v>
      </c>
      <c r="C557" s="5">
        <v>0.1343</v>
      </c>
      <c r="D557" s="5">
        <v>5</v>
      </c>
    </row>
    <row r="558" spans="1:4" x14ac:dyDescent="0.3">
      <c r="A558" s="4">
        <v>0.2</v>
      </c>
      <c r="B558" s="4">
        <v>0.64</v>
      </c>
      <c r="C558" s="4">
        <v>8.9599999999999999E-2</v>
      </c>
      <c r="D558" s="4">
        <v>10</v>
      </c>
    </row>
    <row r="559" spans="1:4" x14ac:dyDescent="0.3">
      <c r="A559" s="5">
        <v>0.22</v>
      </c>
      <c r="B559" s="5">
        <v>0.6</v>
      </c>
      <c r="C559" s="5">
        <v>0.1045</v>
      </c>
      <c r="D559" s="5">
        <v>6</v>
      </c>
    </row>
    <row r="560" spans="1:4" x14ac:dyDescent="0.3">
      <c r="A560" s="4">
        <v>0.24</v>
      </c>
      <c r="B560" s="4">
        <v>0.6</v>
      </c>
      <c r="C560" s="4">
        <v>0.1343</v>
      </c>
      <c r="D560" s="4">
        <v>6</v>
      </c>
    </row>
    <row r="561" spans="1:4" x14ac:dyDescent="0.3">
      <c r="A561" s="5">
        <v>0.26</v>
      </c>
      <c r="B561" s="5">
        <v>0.56000000000000005</v>
      </c>
      <c r="C561" s="5">
        <v>8.9599999999999999E-2</v>
      </c>
      <c r="D561" s="5">
        <v>21</v>
      </c>
    </row>
    <row r="562" spans="1:4" x14ac:dyDescent="0.3">
      <c r="A562" s="4">
        <v>0.26</v>
      </c>
      <c r="B562" s="4">
        <v>0.56000000000000005</v>
      </c>
      <c r="C562" s="4">
        <v>0.1343</v>
      </c>
      <c r="D562" s="4">
        <v>21</v>
      </c>
    </row>
    <row r="563" spans="1:4" x14ac:dyDescent="0.3">
      <c r="A563" s="5">
        <v>0.3</v>
      </c>
      <c r="B563" s="5">
        <v>0.45</v>
      </c>
      <c r="C563" s="5">
        <v>0</v>
      </c>
      <c r="D563" s="5">
        <v>11</v>
      </c>
    </row>
    <row r="564" spans="1:4" x14ac:dyDescent="0.3">
      <c r="A564" s="4">
        <v>0.32</v>
      </c>
      <c r="B564" s="4">
        <v>0.42</v>
      </c>
      <c r="C564" s="4">
        <v>0</v>
      </c>
      <c r="D564" s="4">
        <v>21</v>
      </c>
    </row>
    <row r="565" spans="1:4" x14ac:dyDescent="0.3">
      <c r="A565" s="5">
        <v>0.32</v>
      </c>
      <c r="B565" s="5">
        <v>0.42</v>
      </c>
      <c r="C565" s="5">
        <v>0</v>
      </c>
      <c r="D565" s="5">
        <v>14</v>
      </c>
    </row>
    <row r="566" spans="1:4" x14ac:dyDescent="0.3">
      <c r="A566" s="4">
        <v>0.3</v>
      </c>
      <c r="B566" s="4">
        <v>0.45</v>
      </c>
      <c r="C566" s="4">
        <v>0</v>
      </c>
      <c r="D566" s="4">
        <v>14</v>
      </c>
    </row>
    <row r="567" spans="1:4" x14ac:dyDescent="0.3">
      <c r="A567" s="5">
        <v>0.3</v>
      </c>
      <c r="B567" s="5">
        <v>0.49</v>
      </c>
      <c r="C567" s="5">
        <v>8.9599999999999999E-2</v>
      </c>
      <c r="D567" s="5">
        <v>7</v>
      </c>
    </row>
    <row r="568" spans="1:4" x14ac:dyDescent="0.3">
      <c r="A568" s="4">
        <v>0.26</v>
      </c>
      <c r="B568" s="4">
        <v>0.65</v>
      </c>
      <c r="C568" s="4">
        <v>0.16420000000000001</v>
      </c>
      <c r="D568" s="4">
        <v>13</v>
      </c>
    </row>
    <row r="569" spans="1:4" x14ac:dyDescent="0.3">
      <c r="A569" s="5">
        <v>0.24</v>
      </c>
      <c r="B569" s="5">
        <v>0.65</v>
      </c>
      <c r="C569" s="5">
        <v>0.19400000000000001</v>
      </c>
      <c r="D569" s="5">
        <v>16</v>
      </c>
    </row>
    <row r="570" spans="1:4" x14ac:dyDescent="0.3">
      <c r="A570" s="4">
        <v>0.24</v>
      </c>
      <c r="B570" s="4">
        <v>0.65</v>
      </c>
      <c r="C570" s="4">
        <v>0.19400000000000001</v>
      </c>
      <c r="D570" s="4">
        <v>5</v>
      </c>
    </row>
    <row r="571" spans="1:4" x14ac:dyDescent="0.3">
      <c r="A571" s="5">
        <v>0.22</v>
      </c>
      <c r="B571" s="5">
        <v>0.64</v>
      </c>
      <c r="C571" s="5">
        <v>0.16420000000000001</v>
      </c>
      <c r="D571" s="5">
        <v>4</v>
      </c>
    </row>
    <row r="572" spans="1:4" x14ac:dyDescent="0.3">
      <c r="A572" s="4">
        <v>0.22</v>
      </c>
      <c r="B572" s="4">
        <v>0.64</v>
      </c>
      <c r="C572" s="4">
        <v>0.16420000000000001</v>
      </c>
      <c r="D572" s="4">
        <v>3</v>
      </c>
    </row>
    <row r="573" spans="1:4" x14ac:dyDescent="0.3">
      <c r="A573" s="5">
        <v>0.22</v>
      </c>
      <c r="B573" s="5">
        <v>0.69</v>
      </c>
      <c r="C573" s="5">
        <v>0.1343</v>
      </c>
      <c r="D573" s="5">
        <v>3</v>
      </c>
    </row>
    <row r="574" spans="1:4" x14ac:dyDescent="0.3">
      <c r="A574" s="4">
        <v>0.24</v>
      </c>
      <c r="B574" s="4">
        <v>0.65</v>
      </c>
      <c r="C574" s="4">
        <v>0.1343</v>
      </c>
      <c r="D574" s="4">
        <v>0</v>
      </c>
    </row>
    <row r="575" spans="1:4" x14ac:dyDescent="0.3">
      <c r="A575" s="5">
        <v>0.22</v>
      </c>
      <c r="B575" s="5">
        <v>0.69</v>
      </c>
      <c r="C575" s="5">
        <v>0.19400000000000001</v>
      </c>
      <c r="D575" s="5">
        <v>3</v>
      </c>
    </row>
    <row r="576" spans="1:4" x14ac:dyDescent="0.3">
      <c r="A576" s="4">
        <v>0.2</v>
      </c>
      <c r="B576" s="4">
        <v>0.86</v>
      </c>
      <c r="C576" s="4">
        <v>0.28360000000000002</v>
      </c>
      <c r="D576" s="4">
        <v>0</v>
      </c>
    </row>
    <row r="577" spans="1:4" x14ac:dyDescent="0.3">
      <c r="A577" s="5">
        <v>0.2</v>
      </c>
      <c r="B577" s="5">
        <v>0.86</v>
      </c>
      <c r="C577" s="5">
        <v>0.28360000000000002</v>
      </c>
      <c r="D577" s="5">
        <v>0</v>
      </c>
    </row>
    <row r="578" spans="1:4" x14ac:dyDescent="0.3">
      <c r="A578" s="4">
        <v>0.22</v>
      </c>
      <c r="B578" s="4">
        <v>0.87</v>
      </c>
      <c r="C578" s="4">
        <v>0.29849999999999999</v>
      </c>
      <c r="D578" s="4">
        <v>1</v>
      </c>
    </row>
    <row r="579" spans="1:4" x14ac:dyDescent="0.3">
      <c r="A579" s="5">
        <v>0.22</v>
      </c>
      <c r="B579" s="5">
        <v>0.87</v>
      </c>
      <c r="C579" s="5">
        <v>0.29849999999999999</v>
      </c>
      <c r="D579" s="5">
        <v>3</v>
      </c>
    </row>
    <row r="580" spans="1:4" x14ac:dyDescent="0.3">
      <c r="A580" s="4">
        <v>0.22</v>
      </c>
      <c r="B580" s="4">
        <v>0.87</v>
      </c>
      <c r="C580" s="4">
        <v>0.29849999999999999</v>
      </c>
      <c r="D580" s="4">
        <v>3</v>
      </c>
    </row>
    <row r="581" spans="1:4" x14ac:dyDescent="0.3">
      <c r="A581" s="5">
        <v>0.22</v>
      </c>
      <c r="B581" s="5">
        <v>0.93</v>
      </c>
      <c r="C581" s="5">
        <v>0.28360000000000002</v>
      </c>
      <c r="D581" s="5">
        <v>2</v>
      </c>
    </row>
    <row r="582" spans="1:4" x14ac:dyDescent="0.3">
      <c r="A582" s="4">
        <v>0.22</v>
      </c>
      <c r="B582" s="4">
        <v>0.93</v>
      </c>
      <c r="C582" s="4">
        <v>0.32840000000000003</v>
      </c>
      <c r="D582" s="4">
        <v>6</v>
      </c>
    </row>
    <row r="583" spans="1:4" x14ac:dyDescent="0.3">
      <c r="A583" s="5">
        <v>0.22</v>
      </c>
      <c r="B583" s="5">
        <v>0.93</v>
      </c>
      <c r="C583" s="5">
        <v>0.32840000000000003</v>
      </c>
      <c r="D583" s="5">
        <v>7</v>
      </c>
    </row>
    <row r="584" spans="1:4" x14ac:dyDescent="0.3">
      <c r="A584" s="4">
        <v>0.22</v>
      </c>
      <c r="B584" s="4">
        <v>0.93</v>
      </c>
      <c r="C584" s="4">
        <v>0.32840000000000003</v>
      </c>
      <c r="D584" s="4">
        <v>4</v>
      </c>
    </row>
    <row r="585" spans="1:4" x14ac:dyDescent="0.3">
      <c r="A585" s="5">
        <v>0.22</v>
      </c>
      <c r="B585" s="5">
        <v>0.93</v>
      </c>
      <c r="C585" s="5">
        <v>0.35820000000000002</v>
      </c>
      <c r="D585" s="5">
        <v>0</v>
      </c>
    </row>
    <row r="586" spans="1:4" x14ac:dyDescent="0.3">
      <c r="A586" s="4">
        <v>0.22</v>
      </c>
      <c r="B586" s="4">
        <v>0.93</v>
      </c>
      <c r="C586" s="4">
        <v>0.4627</v>
      </c>
      <c r="D586" s="4">
        <v>1</v>
      </c>
    </row>
    <row r="587" spans="1:4" x14ac:dyDescent="0.3">
      <c r="A587" s="5">
        <v>0.22</v>
      </c>
      <c r="B587" s="5">
        <v>0.93</v>
      </c>
      <c r="C587" s="5">
        <v>0.32840000000000003</v>
      </c>
      <c r="D587" s="5">
        <v>1</v>
      </c>
    </row>
    <row r="588" spans="1:4" x14ac:dyDescent="0.3">
      <c r="A588" s="4">
        <v>0.2</v>
      </c>
      <c r="B588" s="4">
        <v>0.93</v>
      </c>
      <c r="C588" s="4">
        <v>0.35820000000000002</v>
      </c>
      <c r="D588" s="4">
        <v>0</v>
      </c>
    </row>
    <row r="589" spans="1:4" x14ac:dyDescent="0.3">
      <c r="A589" s="5">
        <v>0.22</v>
      </c>
      <c r="B589" s="5">
        <v>0.55000000000000004</v>
      </c>
      <c r="C589" s="5">
        <v>0.19400000000000001</v>
      </c>
      <c r="D589" s="5">
        <v>1</v>
      </c>
    </row>
    <row r="590" spans="1:4" x14ac:dyDescent="0.3">
      <c r="A590" s="4">
        <v>0.22</v>
      </c>
      <c r="B590" s="4">
        <v>0.55000000000000004</v>
      </c>
      <c r="C590" s="4">
        <v>0.1045</v>
      </c>
      <c r="D590" s="4">
        <v>2</v>
      </c>
    </row>
    <row r="591" spans="1:4" x14ac:dyDescent="0.3">
      <c r="A591" s="5">
        <v>0.2</v>
      </c>
      <c r="B591" s="5">
        <v>0.69</v>
      </c>
      <c r="C591" s="5">
        <v>8.9599999999999999E-2</v>
      </c>
      <c r="D591" s="5">
        <v>3</v>
      </c>
    </row>
    <row r="592" spans="1:4" x14ac:dyDescent="0.3">
      <c r="A592" s="4">
        <v>0.2</v>
      </c>
      <c r="B592" s="4">
        <v>0.69</v>
      </c>
      <c r="C592" s="4">
        <v>8.9599999999999999E-2</v>
      </c>
      <c r="D592" s="4">
        <v>3</v>
      </c>
    </row>
    <row r="593" spans="1:4" x14ac:dyDescent="0.3">
      <c r="A593" s="5">
        <v>0.18</v>
      </c>
      <c r="B593" s="5">
        <v>0.74</v>
      </c>
      <c r="C593" s="5">
        <v>8.9599999999999999E-2</v>
      </c>
      <c r="D593" s="5">
        <v>4</v>
      </c>
    </row>
    <row r="594" spans="1:4" x14ac:dyDescent="0.3">
      <c r="A594" s="4">
        <v>0.18</v>
      </c>
      <c r="B594" s="4">
        <v>0.74</v>
      </c>
      <c r="C594" s="4">
        <v>8.9599999999999999E-2</v>
      </c>
      <c r="D594" s="4">
        <v>2</v>
      </c>
    </row>
    <row r="595" spans="1:4" x14ac:dyDescent="0.3">
      <c r="A595" s="5">
        <v>0.18</v>
      </c>
      <c r="B595" s="5">
        <v>0.74</v>
      </c>
      <c r="C595" s="5">
        <v>8.9599999999999999E-2</v>
      </c>
      <c r="D595" s="5">
        <v>0</v>
      </c>
    </row>
    <row r="596" spans="1:4" x14ac:dyDescent="0.3">
      <c r="A596" s="4">
        <v>0.18</v>
      </c>
      <c r="B596" s="4">
        <v>0.8</v>
      </c>
      <c r="C596" s="4">
        <v>0.16420000000000001</v>
      </c>
      <c r="D596" s="4">
        <v>0</v>
      </c>
    </row>
    <row r="597" spans="1:4" x14ac:dyDescent="0.3">
      <c r="A597" s="5">
        <v>0.2</v>
      </c>
      <c r="B597" s="5">
        <v>0.75</v>
      </c>
      <c r="C597" s="5">
        <v>0.1343</v>
      </c>
      <c r="D597" s="5">
        <v>0</v>
      </c>
    </row>
    <row r="598" spans="1:4" x14ac:dyDescent="0.3">
      <c r="A598" s="4">
        <v>0.2</v>
      </c>
      <c r="B598" s="4">
        <v>0.75</v>
      </c>
      <c r="C598" s="4">
        <v>0.1343</v>
      </c>
      <c r="D598" s="4">
        <v>1</v>
      </c>
    </row>
    <row r="599" spans="1:4" x14ac:dyDescent="0.3">
      <c r="A599" s="5">
        <v>0.2</v>
      </c>
      <c r="B599" s="5">
        <v>0.75</v>
      </c>
      <c r="C599" s="5">
        <v>0.16420000000000001</v>
      </c>
      <c r="D599" s="5">
        <v>0</v>
      </c>
    </row>
    <row r="600" spans="1:4" x14ac:dyDescent="0.3">
      <c r="A600" s="4">
        <v>0.2</v>
      </c>
      <c r="B600" s="4">
        <v>0.75</v>
      </c>
      <c r="C600" s="4">
        <v>0.1045</v>
      </c>
      <c r="D600" s="4">
        <v>1</v>
      </c>
    </row>
    <row r="601" spans="1:4" x14ac:dyDescent="0.3">
      <c r="A601" s="5">
        <v>0.18</v>
      </c>
      <c r="B601" s="5">
        <v>0.8</v>
      </c>
      <c r="C601" s="5">
        <v>0.1045</v>
      </c>
      <c r="D601" s="5">
        <v>0</v>
      </c>
    </row>
    <row r="602" spans="1:4" x14ac:dyDescent="0.3">
      <c r="A602" s="4">
        <v>0.18</v>
      </c>
      <c r="B602" s="4">
        <v>0.8</v>
      </c>
      <c r="C602" s="4">
        <v>0.1343</v>
      </c>
      <c r="D602" s="4">
        <v>0</v>
      </c>
    </row>
    <row r="603" spans="1:4" x14ac:dyDescent="0.3">
      <c r="A603" s="5">
        <v>0.16</v>
      </c>
      <c r="B603" s="5">
        <v>0.86</v>
      </c>
      <c r="C603" s="5">
        <v>8.9599999999999999E-2</v>
      </c>
      <c r="D603" s="5">
        <v>2</v>
      </c>
    </row>
    <row r="604" spans="1:4" x14ac:dyDescent="0.3">
      <c r="A604" s="4">
        <v>0.16</v>
      </c>
      <c r="B604" s="4">
        <v>0.86</v>
      </c>
      <c r="C604" s="4">
        <v>8.9599999999999999E-2</v>
      </c>
      <c r="D604" s="4">
        <v>2</v>
      </c>
    </row>
    <row r="605" spans="1:4" x14ac:dyDescent="0.3">
      <c r="A605" s="5">
        <v>0.18</v>
      </c>
      <c r="B605" s="5">
        <v>0.86</v>
      </c>
      <c r="C605" s="5">
        <v>8.9599999999999999E-2</v>
      </c>
      <c r="D605" s="5">
        <v>6</v>
      </c>
    </row>
    <row r="606" spans="1:4" x14ac:dyDescent="0.3">
      <c r="A606" s="4">
        <v>0.18</v>
      </c>
      <c r="B606" s="4">
        <v>0.86</v>
      </c>
      <c r="C606" s="4">
        <v>0.1045</v>
      </c>
      <c r="D606" s="4">
        <v>0</v>
      </c>
    </row>
    <row r="607" spans="1:4" x14ac:dyDescent="0.3">
      <c r="A607" s="5">
        <v>0.18</v>
      </c>
      <c r="B607" s="5">
        <v>0.93</v>
      </c>
      <c r="C607" s="5">
        <v>0.1045</v>
      </c>
      <c r="D607" s="5">
        <v>0</v>
      </c>
    </row>
    <row r="608" spans="1:4" x14ac:dyDescent="0.3">
      <c r="A608" s="4">
        <v>0.18</v>
      </c>
      <c r="B608" s="4">
        <v>0.93</v>
      </c>
      <c r="C608" s="4">
        <v>0.1045</v>
      </c>
      <c r="D608" s="4">
        <v>1</v>
      </c>
    </row>
    <row r="609" spans="1:4" x14ac:dyDescent="0.3">
      <c r="A609" s="5">
        <v>0.18</v>
      </c>
      <c r="B609" s="5">
        <v>0.93</v>
      </c>
      <c r="C609" s="5">
        <v>0.1045</v>
      </c>
      <c r="D609" s="5">
        <v>0</v>
      </c>
    </row>
    <row r="610" spans="1:4" x14ac:dyDescent="0.3">
      <c r="A610" s="4">
        <v>0.22</v>
      </c>
      <c r="B610" s="4">
        <v>0.8</v>
      </c>
      <c r="C610" s="4">
        <v>0</v>
      </c>
      <c r="D610" s="4">
        <v>2</v>
      </c>
    </row>
    <row r="611" spans="1:4" x14ac:dyDescent="0.3">
      <c r="A611" s="5">
        <v>0.2</v>
      </c>
      <c r="B611" s="5">
        <v>0.86</v>
      </c>
      <c r="C611" s="5">
        <v>0</v>
      </c>
      <c r="D611" s="5">
        <v>1</v>
      </c>
    </row>
    <row r="612" spans="1:4" x14ac:dyDescent="0.3">
      <c r="A612" s="4">
        <v>0.22</v>
      </c>
      <c r="B612" s="4">
        <v>0.8</v>
      </c>
      <c r="C612" s="4">
        <v>0</v>
      </c>
      <c r="D612" s="4">
        <v>10</v>
      </c>
    </row>
    <row r="613" spans="1:4" x14ac:dyDescent="0.3">
      <c r="A613" s="5">
        <v>0.24</v>
      </c>
      <c r="B613" s="5">
        <v>0.75</v>
      </c>
      <c r="C613" s="5">
        <v>0.1343</v>
      </c>
      <c r="D613" s="5">
        <v>2</v>
      </c>
    </row>
    <row r="614" spans="1:4" x14ac:dyDescent="0.3">
      <c r="A614" s="4">
        <v>0.24</v>
      </c>
      <c r="B614" s="4">
        <v>0.75</v>
      </c>
      <c r="C614" s="4">
        <v>0.19400000000000001</v>
      </c>
      <c r="D614" s="4">
        <v>2</v>
      </c>
    </row>
    <row r="615" spans="1:4" x14ac:dyDescent="0.3">
      <c r="A615" s="5">
        <v>0.24</v>
      </c>
      <c r="B615" s="5">
        <v>0.75</v>
      </c>
      <c r="C615" s="5">
        <v>0.1343</v>
      </c>
      <c r="D615" s="5">
        <v>5</v>
      </c>
    </row>
    <row r="616" spans="1:4" x14ac:dyDescent="0.3">
      <c r="A616" s="4">
        <v>0.24</v>
      </c>
      <c r="B616" s="4">
        <v>0.7</v>
      </c>
      <c r="C616" s="4">
        <v>0.19400000000000001</v>
      </c>
      <c r="D616" s="4">
        <v>1</v>
      </c>
    </row>
    <row r="617" spans="1:4" x14ac:dyDescent="0.3">
      <c r="A617" s="5">
        <v>0.22</v>
      </c>
      <c r="B617" s="5">
        <v>0.75</v>
      </c>
      <c r="C617" s="5">
        <v>0.1343</v>
      </c>
      <c r="D617" s="5">
        <v>1</v>
      </c>
    </row>
    <row r="618" spans="1:4" x14ac:dyDescent="0.3">
      <c r="A618" s="4">
        <v>0.24</v>
      </c>
      <c r="B618" s="4">
        <v>0.65</v>
      </c>
      <c r="C618" s="4">
        <v>0.35820000000000002</v>
      </c>
      <c r="D618" s="4">
        <v>0</v>
      </c>
    </row>
    <row r="619" spans="1:4" x14ac:dyDescent="0.3">
      <c r="A619" s="5">
        <v>0.24</v>
      </c>
      <c r="B619" s="5">
        <v>0.6</v>
      </c>
      <c r="C619" s="5">
        <v>0.22389999999999999</v>
      </c>
      <c r="D619" s="5">
        <v>1</v>
      </c>
    </row>
    <row r="620" spans="1:4" x14ac:dyDescent="0.3">
      <c r="A620" s="4">
        <v>0.22</v>
      </c>
      <c r="B620" s="4">
        <v>0.64</v>
      </c>
      <c r="C620" s="4">
        <v>0.35820000000000002</v>
      </c>
      <c r="D620" s="4">
        <v>2</v>
      </c>
    </row>
    <row r="621" spans="1:4" x14ac:dyDescent="0.3">
      <c r="A621" s="5">
        <v>0.22</v>
      </c>
      <c r="B621" s="5">
        <v>0.64</v>
      </c>
      <c r="C621" s="5">
        <v>0.19400000000000001</v>
      </c>
      <c r="D621" s="5">
        <v>0</v>
      </c>
    </row>
    <row r="622" spans="1:4" x14ac:dyDescent="0.3">
      <c r="A622" s="4">
        <v>0.22</v>
      </c>
      <c r="B622" s="4">
        <v>0.64</v>
      </c>
      <c r="C622" s="4">
        <v>0.16420000000000001</v>
      </c>
      <c r="D622" s="4">
        <v>0</v>
      </c>
    </row>
    <row r="623" spans="1:4" x14ac:dyDescent="0.3">
      <c r="A623" s="5">
        <v>0.2</v>
      </c>
      <c r="B623" s="5">
        <v>0.64</v>
      </c>
      <c r="C623" s="5">
        <v>0.1343</v>
      </c>
      <c r="D623" s="5">
        <v>3</v>
      </c>
    </row>
    <row r="624" spans="1:4" x14ac:dyDescent="0.3">
      <c r="A624" s="4">
        <v>0.16</v>
      </c>
      <c r="B624" s="4">
        <v>0.69</v>
      </c>
      <c r="C624" s="4">
        <v>0.1045</v>
      </c>
      <c r="D624" s="4">
        <v>1</v>
      </c>
    </row>
    <row r="625" spans="1:4" x14ac:dyDescent="0.3">
      <c r="A625" s="5">
        <v>0.16</v>
      </c>
      <c r="B625" s="5">
        <v>0.64</v>
      </c>
      <c r="C625" s="5">
        <v>0.1343</v>
      </c>
      <c r="D625" s="5">
        <v>0</v>
      </c>
    </row>
    <row r="626" spans="1:4" x14ac:dyDescent="0.3">
      <c r="A626" s="4">
        <v>0.16</v>
      </c>
      <c r="B626" s="4">
        <v>0.59</v>
      </c>
      <c r="C626" s="4">
        <v>0.1045</v>
      </c>
      <c r="D626" s="4">
        <v>1</v>
      </c>
    </row>
    <row r="627" spans="1:4" x14ac:dyDescent="0.3">
      <c r="A627" s="5">
        <v>0.18</v>
      </c>
      <c r="B627" s="5">
        <v>0.55000000000000004</v>
      </c>
      <c r="C627" s="5">
        <v>0.16420000000000001</v>
      </c>
      <c r="D627" s="5">
        <v>3</v>
      </c>
    </row>
    <row r="628" spans="1:4" x14ac:dyDescent="0.3">
      <c r="A628" s="4">
        <v>0.18</v>
      </c>
      <c r="B628" s="4">
        <v>0.59</v>
      </c>
      <c r="C628" s="4">
        <v>8.9599999999999999E-2</v>
      </c>
      <c r="D628" s="4">
        <v>0</v>
      </c>
    </row>
    <row r="629" spans="1:4" x14ac:dyDescent="0.3">
      <c r="A629" s="5">
        <v>0.18</v>
      </c>
      <c r="B629" s="5">
        <v>0.64</v>
      </c>
      <c r="C629" s="5">
        <v>0.1045</v>
      </c>
      <c r="D629" s="5">
        <v>4</v>
      </c>
    </row>
    <row r="630" spans="1:4" x14ac:dyDescent="0.3">
      <c r="A630" s="4">
        <v>0.18</v>
      </c>
      <c r="B630" s="4">
        <v>0.64</v>
      </c>
      <c r="C630" s="4">
        <v>0.1343</v>
      </c>
      <c r="D630" s="4">
        <v>4</v>
      </c>
    </row>
    <row r="631" spans="1:4" x14ac:dyDescent="0.3">
      <c r="A631" s="5">
        <v>0.2</v>
      </c>
      <c r="B631" s="5">
        <v>0.59</v>
      </c>
      <c r="C631" s="5">
        <v>0.19400000000000001</v>
      </c>
      <c r="D631" s="5">
        <v>12</v>
      </c>
    </row>
    <row r="632" spans="1:4" x14ac:dyDescent="0.3">
      <c r="A632" s="4">
        <v>0.22</v>
      </c>
      <c r="B632" s="4">
        <v>0.55000000000000004</v>
      </c>
      <c r="C632" s="4">
        <v>0.16420000000000001</v>
      </c>
      <c r="D632" s="4">
        <v>9</v>
      </c>
    </row>
    <row r="633" spans="1:4" x14ac:dyDescent="0.3">
      <c r="A633" s="5">
        <v>0.22</v>
      </c>
      <c r="B633" s="5">
        <v>0.6</v>
      </c>
      <c r="C633" s="5">
        <v>0.1343</v>
      </c>
      <c r="D633" s="5">
        <v>10</v>
      </c>
    </row>
    <row r="634" spans="1:4" x14ac:dyDescent="0.3">
      <c r="A634" s="4">
        <v>0.22</v>
      </c>
      <c r="B634" s="4">
        <v>0.69</v>
      </c>
      <c r="C634" s="4">
        <v>0.25369999999999998</v>
      </c>
      <c r="D634" s="4">
        <v>22</v>
      </c>
    </row>
    <row r="635" spans="1:4" x14ac:dyDescent="0.3">
      <c r="A635" s="5">
        <v>0.24</v>
      </c>
      <c r="B635" s="5">
        <v>0.6</v>
      </c>
      <c r="C635" s="5">
        <v>0.16420000000000001</v>
      </c>
      <c r="D635" s="5">
        <v>19</v>
      </c>
    </row>
    <row r="636" spans="1:4" x14ac:dyDescent="0.3">
      <c r="A636" s="4">
        <v>0.24</v>
      </c>
      <c r="B636" s="4">
        <v>0.6</v>
      </c>
      <c r="C636" s="4">
        <v>0</v>
      </c>
      <c r="D636" s="4">
        <v>9</v>
      </c>
    </row>
    <row r="637" spans="1:4" x14ac:dyDescent="0.3">
      <c r="A637" s="5">
        <v>0.22</v>
      </c>
      <c r="B637" s="5">
        <v>0.69</v>
      </c>
      <c r="C637" s="5">
        <v>0.1343</v>
      </c>
      <c r="D637" s="5">
        <v>9</v>
      </c>
    </row>
    <row r="638" spans="1:4" x14ac:dyDescent="0.3">
      <c r="A638" s="4">
        <v>0.22</v>
      </c>
      <c r="B638" s="4">
        <v>0.69</v>
      </c>
      <c r="C638" s="4">
        <v>0.25369999999999998</v>
      </c>
      <c r="D638" s="4">
        <v>6</v>
      </c>
    </row>
    <row r="639" spans="1:4" x14ac:dyDescent="0.3">
      <c r="A639" s="5">
        <v>0.18</v>
      </c>
      <c r="B639" s="5">
        <v>0.74</v>
      </c>
      <c r="C639" s="5">
        <v>8.9599999999999999E-2</v>
      </c>
      <c r="D639" s="5">
        <v>1</v>
      </c>
    </row>
    <row r="640" spans="1:4" x14ac:dyDescent="0.3">
      <c r="A640" s="4">
        <v>0.18</v>
      </c>
      <c r="B640" s="4">
        <v>0.74</v>
      </c>
      <c r="C640" s="4">
        <v>8.9599999999999999E-2</v>
      </c>
      <c r="D640" s="4">
        <v>1</v>
      </c>
    </row>
    <row r="641" spans="1:4" x14ac:dyDescent="0.3">
      <c r="A641" s="5">
        <v>0.16</v>
      </c>
      <c r="B641" s="5">
        <v>0.8</v>
      </c>
      <c r="C641" s="5">
        <v>8.9599999999999999E-2</v>
      </c>
      <c r="D641" s="5">
        <v>4</v>
      </c>
    </row>
    <row r="642" spans="1:4" x14ac:dyDescent="0.3">
      <c r="A642" s="4">
        <v>0.16</v>
      </c>
      <c r="B642" s="4">
        <v>0.8</v>
      </c>
      <c r="C642" s="4">
        <v>8.9599999999999999E-2</v>
      </c>
      <c r="D642" s="4">
        <v>3</v>
      </c>
    </row>
    <row r="643" spans="1:4" x14ac:dyDescent="0.3">
      <c r="A643" s="5">
        <v>0.16</v>
      </c>
      <c r="B643" s="5">
        <v>0.8</v>
      </c>
      <c r="C643" s="5">
        <v>0.1045</v>
      </c>
      <c r="D643" s="5">
        <v>0</v>
      </c>
    </row>
    <row r="644" spans="1:4" x14ac:dyDescent="0.3">
      <c r="A644" s="4">
        <v>0.14000000000000001</v>
      </c>
      <c r="B644" s="4">
        <v>0.8</v>
      </c>
      <c r="C644" s="4">
        <v>0</v>
      </c>
      <c r="D644" s="4">
        <v>7</v>
      </c>
    </row>
    <row r="645" spans="1:4" x14ac:dyDescent="0.3">
      <c r="A645" s="5">
        <v>0.16</v>
      </c>
      <c r="B645" s="5">
        <v>0.8</v>
      </c>
      <c r="C645" s="5">
        <v>0</v>
      </c>
      <c r="D645" s="5">
        <v>1</v>
      </c>
    </row>
    <row r="646" spans="1:4" x14ac:dyDescent="0.3">
      <c r="A646" s="4">
        <v>0.14000000000000001</v>
      </c>
      <c r="B646" s="4">
        <v>0.93</v>
      </c>
      <c r="C646" s="4">
        <v>0</v>
      </c>
      <c r="D646" s="4">
        <v>1</v>
      </c>
    </row>
    <row r="647" spans="1:4" x14ac:dyDescent="0.3">
      <c r="A647" s="5">
        <v>0.14000000000000001</v>
      </c>
      <c r="B647" s="5">
        <v>0.93</v>
      </c>
      <c r="C647" s="5">
        <v>0</v>
      </c>
      <c r="D647" s="5">
        <v>0</v>
      </c>
    </row>
    <row r="648" spans="1:4" x14ac:dyDescent="0.3">
      <c r="A648" s="4">
        <v>0.14000000000000001</v>
      </c>
      <c r="B648" s="4">
        <v>0.86</v>
      </c>
      <c r="C648" s="4">
        <v>0</v>
      </c>
      <c r="D648" s="4">
        <v>0</v>
      </c>
    </row>
    <row r="649" spans="1:4" x14ac:dyDescent="0.3">
      <c r="A649" s="5">
        <v>0.14000000000000001</v>
      </c>
      <c r="B649" s="5">
        <v>0.86</v>
      </c>
      <c r="C649" s="5">
        <v>0</v>
      </c>
      <c r="D649" s="5">
        <v>0</v>
      </c>
    </row>
    <row r="650" spans="1:4" x14ac:dyDescent="0.3">
      <c r="A650" s="4">
        <v>0.14000000000000001</v>
      </c>
      <c r="B650" s="4">
        <v>0.86</v>
      </c>
      <c r="C650" s="4">
        <v>0</v>
      </c>
      <c r="D650" s="4">
        <v>1</v>
      </c>
    </row>
    <row r="651" spans="1:4" x14ac:dyDescent="0.3">
      <c r="A651" s="5">
        <v>0.16</v>
      </c>
      <c r="B651" s="5">
        <v>0.8</v>
      </c>
      <c r="C651" s="5">
        <v>0</v>
      </c>
      <c r="D651" s="5">
        <v>4</v>
      </c>
    </row>
    <row r="652" spans="1:4" x14ac:dyDescent="0.3">
      <c r="A652" s="4">
        <v>0.18</v>
      </c>
      <c r="B652" s="4">
        <v>0.8</v>
      </c>
      <c r="C652" s="4">
        <v>0</v>
      </c>
      <c r="D652" s="4">
        <v>7</v>
      </c>
    </row>
    <row r="653" spans="1:4" x14ac:dyDescent="0.3">
      <c r="A653" s="5">
        <v>0.22</v>
      </c>
      <c r="B653" s="5">
        <v>0.75</v>
      </c>
      <c r="C653" s="5">
        <v>0</v>
      </c>
      <c r="D653" s="5">
        <v>9</v>
      </c>
    </row>
    <row r="654" spans="1:4" x14ac:dyDescent="0.3">
      <c r="A654" s="4">
        <v>0.3</v>
      </c>
      <c r="B654" s="4">
        <v>0.52</v>
      </c>
      <c r="C654" s="4">
        <v>0.1045</v>
      </c>
      <c r="D654" s="4">
        <v>10</v>
      </c>
    </row>
    <row r="655" spans="1:4" x14ac:dyDescent="0.3">
      <c r="A655" s="5">
        <v>0.28000000000000003</v>
      </c>
      <c r="B655" s="5">
        <v>0.61</v>
      </c>
      <c r="C655" s="5">
        <v>0.1045</v>
      </c>
      <c r="D655" s="5">
        <v>13</v>
      </c>
    </row>
    <row r="656" spans="1:4" x14ac:dyDescent="0.3">
      <c r="A656" s="4">
        <v>0.28000000000000003</v>
      </c>
      <c r="B656" s="4">
        <v>0.61</v>
      </c>
      <c r="C656" s="4">
        <v>8.9599999999999999E-2</v>
      </c>
      <c r="D656" s="4">
        <v>18</v>
      </c>
    </row>
    <row r="657" spans="1:4" x14ac:dyDescent="0.3">
      <c r="A657" s="5">
        <v>0.3</v>
      </c>
      <c r="B657" s="5">
        <v>0.56000000000000005</v>
      </c>
      <c r="C657" s="5">
        <v>0</v>
      </c>
      <c r="D657" s="5">
        <v>14</v>
      </c>
    </row>
    <row r="658" spans="1:4" x14ac:dyDescent="0.3">
      <c r="A658" s="4">
        <v>0.3</v>
      </c>
      <c r="B658" s="4">
        <v>0.56000000000000005</v>
      </c>
      <c r="C658" s="4">
        <v>0</v>
      </c>
      <c r="D658" s="4">
        <v>19</v>
      </c>
    </row>
    <row r="659" spans="1:4" x14ac:dyDescent="0.3">
      <c r="A659" s="5">
        <v>0.3</v>
      </c>
      <c r="B659" s="5">
        <v>0.56000000000000005</v>
      </c>
      <c r="C659" s="5">
        <v>0.19400000000000001</v>
      </c>
      <c r="D659" s="5">
        <v>6</v>
      </c>
    </row>
    <row r="660" spans="1:4" x14ac:dyDescent="0.3">
      <c r="A660" s="4">
        <v>0.26</v>
      </c>
      <c r="B660" s="4">
        <v>0.65</v>
      </c>
      <c r="C660" s="4">
        <v>0.16420000000000001</v>
      </c>
      <c r="D660" s="4">
        <v>8</v>
      </c>
    </row>
    <row r="661" spans="1:4" x14ac:dyDescent="0.3">
      <c r="A661" s="5">
        <v>0.26</v>
      </c>
      <c r="B661" s="5">
        <v>0.65</v>
      </c>
      <c r="C661" s="5">
        <v>0.19400000000000001</v>
      </c>
      <c r="D661" s="5">
        <v>9</v>
      </c>
    </row>
    <row r="662" spans="1:4" x14ac:dyDescent="0.3">
      <c r="A662" s="4">
        <v>0.26</v>
      </c>
      <c r="B662" s="4">
        <v>0.65</v>
      </c>
      <c r="C662" s="4">
        <v>0.1045</v>
      </c>
      <c r="D662" s="4">
        <v>3</v>
      </c>
    </row>
    <row r="663" spans="1:4" x14ac:dyDescent="0.3">
      <c r="A663" s="5">
        <v>0.24</v>
      </c>
      <c r="B663" s="5">
        <v>0.7</v>
      </c>
      <c r="C663" s="5">
        <v>0.16420000000000001</v>
      </c>
      <c r="D663" s="5">
        <v>3</v>
      </c>
    </row>
    <row r="664" spans="1:4" x14ac:dyDescent="0.3">
      <c r="A664" s="4">
        <v>0.24</v>
      </c>
      <c r="B664" s="4">
        <v>0.7</v>
      </c>
      <c r="C664" s="4">
        <v>0.19400000000000001</v>
      </c>
      <c r="D664" s="4">
        <v>2</v>
      </c>
    </row>
    <row r="665" spans="1:4" x14ac:dyDescent="0.3">
      <c r="A665" s="5">
        <v>0.24</v>
      </c>
      <c r="B665" s="5">
        <v>0.65</v>
      </c>
      <c r="C665" s="5">
        <v>0.28360000000000002</v>
      </c>
      <c r="D665" s="5">
        <v>5</v>
      </c>
    </row>
    <row r="666" spans="1:4" x14ac:dyDescent="0.3">
      <c r="A666" s="4">
        <v>0.24</v>
      </c>
      <c r="B666" s="4">
        <v>0.65</v>
      </c>
      <c r="C666" s="4">
        <v>0.22389999999999999</v>
      </c>
      <c r="D666" s="4">
        <v>1</v>
      </c>
    </row>
    <row r="667" spans="1:4" x14ac:dyDescent="0.3">
      <c r="A667" s="5">
        <v>0.22</v>
      </c>
      <c r="B667" s="5">
        <v>0.64</v>
      </c>
      <c r="C667" s="5">
        <v>0.25369999999999998</v>
      </c>
      <c r="D667" s="5">
        <v>2</v>
      </c>
    </row>
    <row r="668" spans="1:4" x14ac:dyDescent="0.3">
      <c r="A668" s="4">
        <v>0.22</v>
      </c>
      <c r="B668" s="4">
        <v>0.64</v>
      </c>
      <c r="C668" s="4">
        <v>0.19400000000000001</v>
      </c>
      <c r="D668" s="4">
        <v>0</v>
      </c>
    </row>
    <row r="669" spans="1:4" x14ac:dyDescent="0.3">
      <c r="A669" s="5">
        <v>0.22</v>
      </c>
      <c r="B669" s="5">
        <v>0.64</v>
      </c>
      <c r="C669" s="5">
        <v>0.19400000000000001</v>
      </c>
      <c r="D669" s="5">
        <v>0</v>
      </c>
    </row>
    <row r="670" spans="1:4" x14ac:dyDescent="0.3">
      <c r="A670" s="4">
        <v>0.2</v>
      </c>
      <c r="B670" s="4">
        <v>0.59</v>
      </c>
      <c r="C670" s="4">
        <v>0.22389999999999999</v>
      </c>
      <c r="D670" s="4">
        <v>0</v>
      </c>
    </row>
    <row r="671" spans="1:4" x14ac:dyDescent="0.3">
      <c r="A671" s="5">
        <v>0.18</v>
      </c>
      <c r="B671" s="5">
        <v>0.64</v>
      </c>
      <c r="C671" s="5">
        <v>0.28360000000000002</v>
      </c>
      <c r="D671" s="5">
        <v>0</v>
      </c>
    </row>
    <row r="672" spans="1:4" x14ac:dyDescent="0.3">
      <c r="A672" s="4">
        <v>0.16</v>
      </c>
      <c r="B672" s="4">
        <v>0.69</v>
      </c>
      <c r="C672" s="4">
        <v>0.32840000000000003</v>
      </c>
      <c r="D672" s="4">
        <v>0</v>
      </c>
    </row>
    <row r="673" spans="1:4" x14ac:dyDescent="0.3">
      <c r="A673" s="5">
        <v>0.16</v>
      </c>
      <c r="B673" s="5">
        <v>0.64</v>
      </c>
      <c r="C673" s="5">
        <v>0.28360000000000002</v>
      </c>
      <c r="D673" s="5">
        <v>1</v>
      </c>
    </row>
    <row r="674" spans="1:4" x14ac:dyDescent="0.3">
      <c r="A674" s="4">
        <v>0.16</v>
      </c>
      <c r="B674" s="4">
        <v>0.59</v>
      </c>
      <c r="C674" s="4">
        <v>0.28360000000000002</v>
      </c>
      <c r="D674" s="4">
        <v>3</v>
      </c>
    </row>
    <row r="675" spans="1:4" x14ac:dyDescent="0.3">
      <c r="A675" s="5">
        <v>0.16</v>
      </c>
      <c r="B675" s="5">
        <v>0.59</v>
      </c>
      <c r="C675" s="5">
        <v>0.29849999999999999</v>
      </c>
      <c r="D675" s="5">
        <v>0</v>
      </c>
    </row>
    <row r="676" spans="1:4" x14ac:dyDescent="0.3">
      <c r="A676" s="4">
        <v>0.16</v>
      </c>
      <c r="B676" s="4">
        <v>0.59</v>
      </c>
      <c r="C676" s="4">
        <v>0.19400000000000001</v>
      </c>
      <c r="D676" s="4">
        <v>1</v>
      </c>
    </row>
    <row r="677" spans="1:4" x14ac:dyDescent="0.3">
      <c r="A677" s="5">
        <v>0.16</v>
      </c>
      <c r="B677" s="5">
        <v>0.59</v>
      </c>
      <c r="C677" s="5">
        <v>0.19400000000000001</v>
      </c>
      <c r="D677" s="5">
        <v>2</v>
      </c>
    </row>
    <row r="678" spans="1:4" x14ac:dyDescent="0.3">
      <c r="A678" s="4">
        <v>0.18</v>
      </c>
      <c r="B678" s="4">
        <v>0.55000000000000004</v>
      </c>
      <c r="C678" s="4">
        <v>0.1045</v>
      </c>
      <c r="D678" s="4">
        <v>6</v>
      </c>
    </row>
    <row r="679" spans="1:4" x14ac:dyDescent="0.3">
      <c r="A679" s="5">
        <v>0.16</v>
      </c>
      <c r="B679" s="5">
        <v>0.59</v>
      </c>
      <c r="C679" s="5">
        <v>0</v>
      </c>
      <c r="D679" s="5">
        <v>2</v>
      </c>
    </row>
    <row r="680" spans="1:4" x14ac:dyDescent="0.3">
      <c r="A680" s="4">
        <v>0.18</v>
      </c>
      <c r="B680" s="4">
        <v>0.55000000000000004</v>
      </c>
      <c r="C680" s="4">
        <v>0.1343</v>
      </c>
      <c r="D680" s="4">
        <v>1</v>
      </c>
    </row>
    <row r="681" spans="1:4" x14ac:dyDescent="0.3">
      <c r="A681" s="5">
        <v>0.16</v>
      </c>
      <c r="B681" s="5">
        <v>0.59</v>
      </c>
      <c r="C681" s="5">
        <v>0.1343</v>
      </c>
      <c r="D681" s="5">
        <v>3</v>
      </c>
    </row>
    <row r="682" spans="1:4" x14ac:dyDescent="0.3">
      <c r="A682" s="4">
        <v>0.16</v>
      </c>
      <c r="B682" s="4">
        <v>0.56000000000000005</v>
      </c>
      <c r="C682" s="4">
        <v>0.19400000000000001</v>
      </c>
      <c r="D682" s="4">
        <v>3</v>
      </c>
    </row>
    <row r="683" spans="1:4" x14ac:dyDescent="0.3">
      <c r="A683" s="5">
        <v>0.16</v>
      </c>
      <c r="B683" s="5">
        <v>0.59</v>
      </c>
      <c r="C683" s="5">
        <v>0.19400000000000001</v>
      </c>
      <c r="D683" s="5">
        <v>6</v>
      </c>
    </row>
    <row r="684" spans="1:4" x14ac:dyDescent="0.3">
      <c r="A684" s="4">
        <v>0.16</v>
      </c>
      <c r="B684" s="4">
        <v>0.55000000000000004</v>
      </c>
      <c r="C684" s="4">
        <v>0.22389999999999999</v>
      </c>
      <c r="D684" s="4">
        <v>3</v>
      </c>
    </row>
    <row r="685" spans="1:4" x14ac:dyDescent="0.3">
      <c r="A685" s="5">
        <v>0.3</v>
      </c>
      <c r="B685" s="5">
        <v>0.61</v>
      </c>
      <c r="C685" s="5">
        <v>0.1045</v>
      </c>
      <c r="D685" s="5">
        <v>3</v>
      </c>
    </row>
    <row r="686" spans="1:4" x14ac:dyDescent="0.3">
      <c r="A686" s="4">
        <v>0.16</v>
      </c>
      <c r="B686" s="4">
        <v>0.59</v>
      </c>
      <c r="C686" s="4">
        <v>0.16420000000000001</v>
      </c>
      <c r="D686" s="4">
        <v>0</v>
      </c>
    </row>
    <row r="687" spans="1:4" x14ac:dyDescent="0.3">
      <c r="A687" s="5">
        <v>0.16</v>
      </c>
      <c r="B687" s="5">
        <v>0.59</v>
      </c>
      <c r="C687" s="5">
        <v>8.9599999999999999E-2</v>
      </c>
      <c r="D687" s="5">
        <v>3</v>
      </c>
    </row>
    <row r="688" spans="1:4" x14ac:dyDescent="0.3">
      <c r="A688" s="4">
        <v>0.16</v>
      </c>
      <c r="B688" s="4">
        <v>0.59</v>
      </c>
      <c r="C688" s="4">
        <v>0.1045</v>
      </c>
      <c r="D688" s="4">
        <v>0</v>
      </c>
    </row>
    <row r="689" spans="1:4" x14ac:dyDescent="0.3">
      <c r="A689" s="5">
        <v>0.16</v>
      </c>
      <c r="B689" s="5">
        <v>0.64</v>
      </c>
      <c r="C689" s="5">
        <v>8.9599999999999999E-2</v>
      </c>
      <c r="D689" s="5">
        <v>2</v>
      </c>
    </row>
    <row r="690" spans="1:4" x14ac:dyDescent="0.3">
      <c r="A690" s="4">
        <v>0.16</v>
      </c>
      <c r="B690" s="4">
        <v>0.64</v>
      </c>
      <c r="C690" s="4">
        <v>0.1045</v>
      </c>
      <c r="D690" s="4">
        <v>2</v>
      </c>
    </row>
    <row r="691" spans="1:4" x14ac:dyDescent="0.3">
      <c r="A691" s="5">
        <v>0.16</v>
      </c>
      <c r="B691" s="5">
        <v>0.69</v>
      </c>
      <c r="C691" s="5">
        <v>0.1045</v>
      </c>
      <c r="D691" s="5">
        <v>0</v>
      </c>
    </row>
    <row r="692" spans="1:4" x14ac:dyDescent="0.3">
      <c r="A692" s="4">
        <v>0.16</v>
      </c>
      <c r="B692" s="4">
        <v>0.69</v>
      </c>
      <c r="C692" s="4">
        <v>0</v>
      </c>
      <c r="D692" s="4">
        <v>0</v>
      </c>
    </row>
    <row r="693" spans="1:4" x14ac:dyDescent="0.3">
      <c r="A693" s="5">
        <v>0.16</v>
      </c>
      <c r="B693" s="5">
        <v>0.69</v>
      </c>
      <c r="C693" s="5">
        <v>0</v>
      </c>
      <c r="D693" s="5">
        <v>0</v>
      </c>
    </row>
    <row r="694" spans="1:4" x14ac:dyDescent="0.3">
      <c r="A694" s="4">
        <v>0.14000000000000001</v>
      </c>
      <c r="B694" s="4">
        <v>0.93</v>
      </c>
      <c r="C694" s="4">
        <v>0</v>
      </c>
      <c r="D694" s="4">
        <v>0</v>
      </c>
    </row>
    <row r="695" spans="1:4" x14ac:dyDescent="0.3">
      <c r="A695" s="5">
        <v>0.14000000000000001</v>
      </c>
      <c r="B695" s="5">
        <v>0.93</v>
      </c>
      <c r="C695" s="5">
        <v>0</v>
      </c>
      <c r="D695" s="5">
        <v>0</v>
      </c>
    </row>
    <row r="696" spans="1:4" x14ac:dyDescent="0.3">
      <c r="A696" s="4">
        <v>0.16</v>
      </c>
      <c r="B696" s="4">
        <v>0.93</v>
      </c>
      <c r="C696" s="4">
        <v>0</v>
      </c>
      <c r="D696" s="4">
        <v>0</v>
      </c>
    </row>
    <row r="697" spans="1:4" x14ac:dyDescent="0.3">
      <c r="A697" s="5">
        <v>0.16</v>
      </c>
      <c r="B697" s="5">
        <v>0.93</v>
      </c>
      <c r="C697" s="5">
        <v>0</v>
      </c>
      <c r="D697" s="5">
        <v>3</v>
      </c>
    </row>
    <row r="698" spans="1:4" x14ac:dyDescent="0.3">
      <c r="A698" s="4">
        <v>0.16</v>
      </c>
      <c r="B698" s="4">
        <v>0.93</v>
      </c>
      <c r="C698" s="4">
        <v>0</v>
      </c>
      <c r="D698" s="4">
        <v>2</v>
      </c>
    </row>
    <row r="699" spans="1:4" x14ac:dyDescent="0.3">
      <c r="A699" s="5">
        <v>0.16</v>
      </c>
      <c r="B699" s="5">
        <v>0.93</v>
      </c>
      <c r="C699" s="5">
        <v>0</v>
      </c>
      <c r="D699" s="5">
        <v>0</v>
      </c>
    </row>
    <row r="700" spans="1:4" x14ac:dyDescent="0.3">
      <c r="A700" s="4">
        <v>0.18</v>
      </c>
      <c r="B700" s="4">
        <v>0.86</v>
      </c>
      <c r="C700" s="4">
        <v>0</v>
      </c>
      <c r="D700" s="4">
        <v>2</v>
      </c>
    </row>
    <row r="701" spans="1:4" x14ac:dyDescent="0.3">
      <c r="A701" s="5">
        <v>0.2</v>
      </c>
      <c r="B701" s="5">
        <v>0.86</v>
      </c>
      <c r="C701" s="5">
        <v>0</v>
      </c>
      <c r="D701" s="5">
        <v>2</v>
      </c>
    </row>
    <row r="702" spans="1:4" x14ac:dyDescent="0.3">
      <c r="A702" s="4">
        <v>0.2</v>
      </c>
      <c r="B702" s="4">
        <v>0.86</v>
      </c>
      <c r="C702" s="4">
        <v>0</v>
      </c>
      <c r="D702" s="4">
        <v>3</v>
      </c>
    </row>
    <row r="703" spans="1:4" x14ac:dyDescent="0.3">
      <c r="A703" s="5">
        <v>0.22</v>
      </c>
      <c r="B703" s="5">
        <v>0.8</v>
      </c>
      <c r="C703" s="5">
        <v>8.9599999999999999E-2</v>
      </c>
      <c r="D703" s="5">
        <v>5</v>
      </c>
    </row>
    <row r="704" spans="1:4" x14ac:dyDescent="0.3">
      <c r="A704" s="4">
        <v>0.24</v>
      </c>
      <c r="B704" s="4">
        <v>0.75</v>
      </c>
      <c r="C704" s="4">
        <v>0</v>
      </c>
      <c r="D704" s="4">
        <v>7</v>
      </c>
    </row>
    <row r="705" spans="1:4" x14ac:dyDescent="0.3">
      <c r="A705" s="5">
        <v>0.24</v>
      </c>
      <c r="B705" s="5">
        <v>0.75</v>
      </c>
      <c r="C705" s="5">
        <v>0.1343</v>
      </c>
      <c r="D705" s="5">
        <v>3</v>
      </c>
    </row>
    <row r="706" spans="1:4" x14ac:dyDescent="0.3">
      <c r="A706" s="4">
        <v>0.24</v>
      </c>
      <c r="B706" s="4">
        <v>0.75</v>
      </c>
      <c r="C706" s="4">
        <v>0</v>
      </c>
      <c r="D706" s="4">
        <v>4</v>
      </c>
    </row>
    <row r="707" spans="1:4" x14ac:dyDescent="0.3">
      <c r="A707" s="5">
        <v>0.24</v>
      </c>
      <c r="B707" s="5">
        <v>0.81</v>
      </c>
      <c r="C707" s="5">
        <v>0.1045</v>
      </c>
      <c r="D707" s="5">
        <v>3</v>
      </c>
    </row>
    <row r="708" spans="1:4" x14ac:dyDescent="0.3">
      <c r="A708" s="4">
        <v>0.24</v>
      </c>
      <c r="B708" s="4">
        <v>0.81</v>
      </c>
      <c r="C708" s="4">
        <v>0.1343</v>
      </c>
      <c r="D708" s="4">
        <v>3</v>
      </c>
    </row>
    <row r="709" spans="1:4" x14ac:dyDescent="0.3">
      <c r="A709" s="5">
        <v>0.22</v>
      </c>
      <c r="B709" s="5">
        <v>0.87</v>
      </c>
      <c r="C709" s="5">
        <v>0.1343</v>
      </c>
      <c r="D709" s="5">
        <v>5</v>
      </c>
    </row>
    <row r="710" spans="1:4" x14ac:dyDescent="0.3">
      <c r="A710" s="4">
        <v>0.22</v>
      </c>
      <c r="B710" s="4">
        <v>0.87</v>
      </c>
      <c r="C710" s="4">
        <v>0.1343</v>
      </c>
      <c r="D710" s="4">
        <v>0</v>
      </c>
    </row>
    <row r="711" spans="1:4" x14ac:dyDescent="0.3">
      <c r="A711" s="5">
        <v>0.22</v>
      </c>
      <c r="B711" s="5">
        <v>0.87</v>
      </c>
      <c r="C711" s="5">
        <v>8.9599999999999999E-2</v>
      </c>
      <c r="D711" s="5">
        <v>2</v>
      </c>
    </row>
    <row r="712" spans="1:4" x14ac:dyDescent="0.3">
      <c r="A712" s="4">
        <v>0.2</v>
      </c>
      <c r="B712" s="4">
        <v>0.93</v>
      </c>
      <c r="C712" s="4">
        <v>0.19400000000000001</v>
      </c>
      <c r="D712" s="4">
        <v>1</v>
      </c>
    </row>
    <row r="713" spans="1:4" x14ac:dyDescent="0.3">
      <c r="A713" s="5">
        <v>0.22</v>
      </c>
      <c r="B713" s="5">
        <v>0.93</v>
      </c>
      <c r="C713" s="5">
        <v>0.1045</v>
      </c>
      <c r="D713" s="5">
        <v>0</v>
      </c>
    </row>
    <row r="714" spans="1:4" x14ac:dyDescent="0.3">
      <c r="A714" s="4">
        <v>0.22</v>
      </c>
      <c r="B714" s="4">
        <v>0.93</v>
      </c>
      <c r="C714" s="4">
        <v>0.19400000000000001</v>
      </c>
      <c r="D714" s="4">
        <v>0</v>
      </c>
    </row>
    <row r="715" spans="1:4" x14ac:dyDescent="0.3">
      <c r="A715" s="5">
        <v>0.22</v>
      </c>
      <c r="B715" s="5">
        <v>0.93</v>
      </c>
      <c r="C715" s="5">
        <v>0.1343</v>
      </c>
      <c r="D715" s="5">
        <v>4</v>
      </c>
    </row>
    <row r="716" spans="1:4" x14ac:dyDescent="0.3">
      <c r="A716" s="4">
        <v>0.22</v>
      </c>
      <c r="B716" s="4">
        <v>0.93</v>
      </c>
      <c r="C716" s="4">
        <v>0.1343</v>
      </c>
      <c r="D716" s="4">
        <v>0</v>
      </c>
    </row>
    <row r="717" spans="1:4" x14ac:dyDescent="0.3">
      <c r="A717" s="5">
        <v>0.22</v>
      </c>
      <c r="B717" s="5">
        <v>0.93</v>
      </c>
      <c r="C717" s="5">
        <v>0.28360000000000002</v>
      </c>
      <c r="D717" s="5">
        <v>0</v>
      </c>
    </row>
    <row r="718" spans="1:4" x14ac:dyDescent="0.3">
      <c r="A718" s="4">
        <v>0.22</v>
      </c>
      <c r="B718" s="4">
        <v>0.93</v>
      </c>
      <c r="C718" s="4">
        <v>0.1045</v>
      </c>
      <c r="D718" s="4">
        <v>0</v>
      </c>
    </row>
    <row r="719" spans="1:4" x14ac:dyDescent="0.3">
      <c r="A719" s="5">
        <v>0.22</v>
      </c>
      <c r="B719" s="5">
        <v>0.93</v>
      </c>
      <c r="C719" s="5">
        <v>0.1045</v>
      </c>
      <c r="D719" s="5">
        <v>1</v>
      </c>
    </row>
    <row r="720" spans="1:4" x14ac:dyDescent="0.3">
      <c r="A720" s="4">
        <v>0.22</v>
      </c>
      <c r="B720" s="4">
        <v>0.93</v>
      </c>
      <c r="C720" s="4">
        <v>0.22389999999999999</v>
      </c>
      <c r="D720" s="4">
        <v>1</v>
      </c>
    </row>
    <row r="721" spans="1:4" x14ac:dyDescent="0.3">
      <c r="A721" s="5">
        <v>0.22</v>
      </c>
      <c r="B721" s="5">
        <v>0.93</v>
      </c>
      <c r="C721" s="5">
        <v>0.22389999999999999</v>
      </c>
      <c r="D721" s="5">
        <v>1</v>
      </c>
    </row>
    <row r="722" spans="1:4" x14ac:dyDescent="0.3">
      <c r="A722" s="4">
        <v>0.24</v>
      </c>
      <c r="B722" s="4">
        <v>0.93</v>
      </c>
      <c r="C722" s="4">
        <v>8.9599999999999999E-2</v>
      </c>
      <c r="D722" s="4">
        <v>4</v>
      </c>
    </row>
    <row r="723" spans="1:4" x14ac:dyDescent="0.3">
      <c r="A723" s="5">
        <v>0.22</v>
      </c>
      <c r="B723" s="5">
        <v>1</v>
      </c>
      <c r="C723" s="5">
        <v>0</v>
      </c>
      <c r="D723" s="5">
        <v>2</v>
      </c>
    </row>
    <row r="724" spans="1:4" x14ac:dyDescent="0.3">
      <c r="A724" s="4">
        <v>0.24</v>
      </c>
      <c r="B724" s="4">
        <v>0.93</v>
      </c>
      <c r="C724" s="4">
        <v>0.19400000000000001</v>
      </c>
      <c r="D724" s="4">
        <v>5</v>
      </c>
    </row>
    <row r="725" spans="1:4" x14ac:dyDescent="0.3">
      <c r="A725" s="5">
        <v>0.24</v>
      </c>
      <c r="B725" s="5">
        <v>0.93</v>
      </c>
      <c r="C725" s="5">
        <v>0.22389999999999999</v>
      </c>
      <c r="D725" s="5">
        <v>3</v>
      </c>
    </row>
    <row r="726" spans="1:4" x14ac:dyDescent="0.3">
      <c r="A726" s="4">
        <v>0.34</v>
      </c>
      <c r="B726" s="4">
        <v>0.93</v>
      </c>
      <c r="C726" s="4">
        <v>0.16420000000000001</v>
      </c>
      <c r="D726" s="4">
        <v>1</v>
      </c>
    </row>
    <row r="727" spans="1:4" x14ac:dyDescent="0.3">
      <c r="A727" s="5">
        <v>0.38</v>
      </c>
      <c r="B727" s="5">
        <v>0.82</v>
      </c>
      <c r="C727" s="5">
        <v>0.3881</v>
      </c>
      <c r="D727" s="5">
        <v>2</v>
      </c>
    </row>
    <row r="728" spans="1:4" x14ac:dyDescent="0.3">
      <c r="A728" s="4">
        <v>0.38</v>
      </c>
      <c r="B728" s="4">
        <v>0.76</v>
      </c>
      <c r="C728" s="4">
        <v>0.32840000000000003</v>
      </c>
      <c r="D728" s="4">
        <v>10</v>
      </c>
    </row>
    <row r="729" spans="1:4" x14ac:dyDescent="0.3">
      <c r="A729" s="5">
        <v>0.36</v>
      </c>
      <c r="B729" s="5">
        <v>0.71</v>
      </c>
      <c r="C729" s="5">
        <v>0.29849999999999999</v>
      </c>
      <c r="D729" s="5">
        <v>8</v>
      </c>
    </row>
    <row r="730" spans="1:4" x14ac:dyDescent="0.3">
      <c r="A730" s="4">
        <v>0.36</v>
      </c>
      <c r="B730" s="4">
        <v>0.53</v>
      </c>
      <c r="C730" s="4">
        <v>0.52239999999999998</v>
      </c>
      <c r="D730" s="4">
        <v>7</v>
      </c>
    </row>
    <row r="731" spans="1:4" x14ac:dyDescent="0.3">
      <c r="A731" s="5">
        <v>0.34</v>
      </c>
      <c r="B731" s="5">
        <v>0.42</v>
      </c>
      <c r="C731" s="5">
        <v>0.55220000000000002</v>
      </c>
      <c r="D731" s="5">
        <v>7</v>
      </c>
    </row>
    <row r="732" spans="1:4" x14ac:dyDescent="0.3">
      <c r="A732" s="4">
        <v>0.28000000000000003</v>
      </c>
      <c r="B732" s="4">
        <v>0.45</v>
      </c>
      <c r="C732" s="4">
        <v>0.49249999999999999</v>
      </c>
      <c r="D732" s="4">
        <v>3</v>
      </c>
    </row>
    <row r="733" spans="1:4" x14ac:dyDescent="0.3">
      <c r="A733" s="5">
        <v>0.24</v>
      </c>
      <c r="B733" s="5">
        <v>0.48</v>
      </c>
      <c r="C733" s="5">
        <v>0.55220000000000002</v>
      </c>
      <c r="D733" s="5">
        <v>4</v>
      </c>
    </row>
    <row r="734" spans="1:4" x14ac:dyDescent="0.3">
      <c r="A734" s="4">
        <v>0.22</v>
      </c>
      <c r="B734" s="4">
        <v>0.47</v>
      </c>
      <c r="C734" s="4">
        <v>0.32840000000000003</v>
      </c>
      <c r="D734" s="4">
        <v>1</v>
      </c>
    </row>
    <row r="735" spans="1:4" x14ac:dyDescent="0.3">
      <c r="A735" s="5">
        <v>0.22</v>
      </c>
      <c r="B735" s="5">
        <v>0.44</v>
      </c>
      <c r="C735" s="5">
        <v>0.25369999999999998</v>
      </c>
      <c r="D735" s="5">
        <v>5</v>
      </c>
    </row>
    <row r="736" spans="1:4" x14ac:dyDescent="0.3">
      <c r="A736" s="4">
        <v>0.2</v>
      </c>
      <c r="B736" s="4">
        <v>0.44</v>
      </c>
      <c r="C736" s="4">
        <v>0.44779999999999998</v>
      </c>
      <c r="D736" s="4">
        <v>3</v>
      </c>
    </row>
    <row r="737" spans="1:4" x14ac:dyDescent="0.3">
      <c r="A737" s="5">
        <v>0.2</v>
      </c>
      <c r="B737" s="5">
        <v>0.4</v>
      </c>
      <c r="C737" s="5">
        <v>0.44779999999999998</v>
      </c>
      <c r="D737" s="5">
        <v>1</v>
      </c>
    </row>
    <row r="738" spans="1:4" x14ac:dyDescent="0.3">
      <c r="A738" s="4">
        <v>0.2</v>
      </c>
      <c r="B738" s="4">
        <v>0.44</v>
      </c>
      <c r="C738" s="4">
        <v>0.52239999999999998</v>
      </c>
      <c r="D738" s="4">
        <v>0</v>
      </c>
    </row>
    <row r="739" spans="1:4" x14ac:dyDescent="0.3">
      <c r="A739" s="5">
        <v>0.18</v>
      </c>
      <c r="B739" s="5">
        <v>0.43</v>
      </c>
      <c r="C739" s="5">
        <v>0.25369999999999998</v>
      </c>
      <c r="D739" s="5">
        <v>0</v>
      </c>
    </row>
    <row r="740" spans="1:4" x14ac:dyDescent="0.3">
      <c r="A740" s="4">
        <v>0.18</v>
      </c>
      <c r="B740" s="4">
        <v>0.43</v>
      </c>
      <c r="C740" s="4">
        <v>0.25369999999999998</v>
      </c>
      <c r="D740" s="4">
        <v>0</v>
      </c>
    </row>
    <row r="741" spans="1:4" x14ac:dyDescent="0.3">
      <c r="A741" s="5">
        <v>0.16</v>
      </c>
      <c r="B741" s="5">
        <v>0.5</v>
      </c>
      <c r="C741" s="5">
        <v>0.29849999999999999</v>
      </c>
      <c r="D741" s="5">
        <v>0</v>
      </c>
    </row>
    <row r="742" spans="1:4" x14ac:dyDescent="0.3">
      <c r="A742" s="4">
        <v>0.16</v>
      </c>
      <c r="B742" s="4">
        <v>0.43</v>
      </c>
      <c r="C742" s="4">
        <v>0.35820000000000002</v>
      </c>
      <c r="D742" s="4">
        <v>0</v>
      </c>
    </row>
    <row r="743" spans="1:4" x14ac:dyDescent="0.3">
      <c r="A743" s="5">
        <v>0.14000000000000001</v>
      </c>
      <c r="B743" s="5">
        <v>0.5</v>
      </c>
      <c r="C743" s="5">
        <v>0.32840000000000003</v>
      </c>
      <c r="D743" s="5">
        <v>1</v>
      </c>
    </row>
    <row r="744" spans="1:4" x14ac:dyDescent="0.3">
      <c r="A744" s="4">
        <v>0.14000000000000001</v>
      </c>
      <c r="B744" s="4">
        <v>0.5</v>
      </c>
      <c r="C744" s="4">
        <v>0.35820000000000002</v>
      </c>
      <c r="D744" s="4">
        <v>4</v>
      </c>
    </row>
    <row r="745" spans="1:4" x14ac:dyDescent="0.3">
      <c r="A745" s="5">
        <v>0.16</v>
      </c>
      <c r="B745" s="5">
        <v>0.47</v>
      </c>
      <c r="C745" s="5">
        <v>0.29849999999999999</v>
      </c>
      <c r="D745" s="5">
        <v>6</v>
      </c>
    </row>
    <row r="746" spans="1:4" x14ac:dyDescent="0.3">
      <c r="A746" s="4">
        <v>0.18</v>
      </c>
      <c r="B746" s="4">
        <v>0.43</v>
      </c>
      <c r="C746" s="4">
        <v>0.32840000000000003</v>
      </c>
      <c r="D746" s="4">
        <v>2</v>
      </c>
    </row>
    <row r="747" spans="1:4" x14ac:dyDescent="0.3">
      <c r="A747" s="5">
        <v>0.18</v>
      </c>
      <c r="B747" s="5">
        <v>0.43</v>
      </c>
      <c r="C747" s="5">
        <v>0.44779999999999998</v>
      </c>
      <c r="D747" s="5">
        <v>9</v>
      </c>
    </row>
    <row r="748" spans="1:4" x14ac:dyDescent="0.3">
      <c r="A748" s="4">
        <v>0.2</v>
      </c>
      <c r="B748" s="4">
        <v>0.4</v>
      </c>
      <c r="C748" s="4">
        <v>0.35820000000000002</v>
      </c>
      <c r="D748" s="4">
        <v>2</v>
      </c>
    </row>
    <row r="749" spans="1:4" x14ac:dyDescent="0.3">
      <c r="A749" s="5">
        <v>0.2</v>
      </c>
      <c r="B749" s="5">
        <v>0.4</v>
      </c>
      <c r="C749" s="5">
        <v>0.41789999999999999</v>
      </c>
      <c r="D749" s="5">
        <v>4</v>
      </c>
    </row>
    <row r="750" spans="1:4" x14ac:dyDescent="0.3">
      <c r="A750" s="4">
        <v>0.22</v>
      </c>
      <c r="B750" s="4">
        <v>0.37</v>
      </c>
      <c r="C750" s="4">
        <v>0.3881</v>
      </c>
      <c r="D750" s="4">
        <v>4</v>
      </c>
    </row>
    <row r="751" spans="1:4" x14ac:dyDescent="0.3">
      <c r="A751" s="5">
        <v>0.22</v>
      </c>
      <c r="B751" s="5">
        <v>0.37</v>
      </c>
      <c r="C751" s="5">
        <v>0.32840000000000003</v>
      </c>
      <c r="D751" s="5">
        <v>4</v>
      </c>
    </row>
    <row r="752" spans="1:4" x14ac:dyDescent="0.3">
      <c r="A752" s="4">
        <v>0.22</v>
      </c>
      <c r="B752" s="4">
        <v>0.37</v>
      </c>
      <c r="C752" s="4">
        <v>0.25369999999999998</v>
      </c>
      <c r="D752" s="4">
        <v>5</v>
      </c>
    </row>
    <row r="753" spans="1:4" x14ac:dyDescent="0.3">
      <c r="A753" s="5">
        <v>0.2</v>
      </c>
      <c r="B753" s="5">
        <v>0.4</v>
      </c>
      <c r="C753" s="5">
        <v>0.19400000000000001</v>
      </c>
      <c r="D753" s="5">
        <v>5</v>
      </c>
    </row>
    <row r="754" spans="1:4" x14ac:dyDescent="0.3">
      <c r="A754" s="4">
        <v>0.2</v>
      </c>
      <c r="B754" s="4">
        <v>0.4</v>
      </c>
      <c r="C754" s="4">
        <v>0.16420000000000001</v>
      </c>
      <c r="D754" s="4">
        <v>2</v>
      </c>
    </row>
    <row r="755" spans="1:4" x14ac:dyDescent="0.3">
      <c r="A755" s="5">
        <v>0.2</v>
      </c>
      <c r="B755" s="5">
        <v>0.4</v>
      </c>
      <c r="C755" s="5">
        <v>0</v>
      </c>
      <c r="D755" s="5">
        <v>4</v>
      </c>
    </row>
    <row r="756" spans="1:4" x14ac:dyDescent="0.3">
      <c r="A756" s="4">
        <v>0.2</v>
      </c>
      <c r="B756" s="4">
        <v>0.47</v>
      </c>
      <c r="C756" s="4">
        <v>8.9599999999999999E-2</v>
      </c>
      <c r="D756" s="4">
        <v>1</v>
      </c>
    </row>
    <row r="757" spans="1:4" x14ac:dyDescent="0.3">
      <c r="A757" s="5">
        <v>0.18</v>
      </c>
      <c r="B757" s="5">
        <v>0.55000000000000004</v>
      </c>
      <c r="C757" s="5">
        <v>0.1045</v>
      </c>
      <c r="D757" s="5">
        <v>1</v>
      </c>
    </row>
    <row r="758" spans="1:4" x14ac:dyDescent="0.3">
      <c r="A758" s="4">
        <v>0.18</v>
      </c>
      <c r="B758" s="4">
        <v>0.51</v>
      </c>
      <c r="C758" s="4">
        <v>8.9599999999999999E-2</v>
      </c>
      <c r="D758" s="4">
        <v>2</v>
      </c>
    </row>
    <row r="759" spans="1:4" x14ac:dyDescent="0.3">
      <c r="A759" s="5">
        <v>0.2</v>
      </c>
      <c r="B759" s="5">
        <v>0.47</v>
      </c>
      <c r="C759" s="5">
        <v>0.1045</v>
      </c>
      <c r="D759" s="5">
        <v>4</v>
      </c>
    </row>
    <row r="760" spans="1:4" x14ac:dyDescent="0.3">
      <c r="A760" s="4">
        <v>0.2</v>
      </c>
      <c r="B760" s="4">
        <v>0.44</v>
      </c>
      <c r="C760" s="4">
        <v>0</v>
      </c>
      <c r="D760" s="4">
        <v>3</v>
      </c>
    </row>
    <row r="761" spans="1:4" x14ac:dyDescent="0.3">
      <c r="A761" s="5">
        <v>0.16</v>
      </c>
      <c r="B761" s="5">
        <v>0.59</v>
      </c>
      <c r="C761" s="5">
        <v>0</v>
      </c>
      <c r="D761" s="5">
        <v>0</v>
      </c>
    </row>
    <row r="762" spans="1:4" x14ac:dyDescent="0.3">
      <c r="A762" s="4">
        <v>0.14000000000000001</v>
      </c>
      <c r="B762" s="4">
        <v>0.63</v>
      </c>
      <c r="C762" s="4">
        <v>0.1045</v>
      </c>
      <c r="D762" s="4">
        <v>0</v>
      </c>
    </row>
    <row r="763" spans="1:4" x14ac:dyDescent="0.3">
      <c r="A763" s="5">
        <v>0.14000000000000001</v>
      </c>
      <c r="B763" s="5">
        <v>0.63</v>
      </c>
      <c r="C763" s="5">
        <v>0.1045</v>
      </c>
      <c r="D763" s="5">
        <v>0</v>
      </c>
    </row>
    <row r="764" spans="1:4" x14ac:dyDescent="0.3">
      <c r="A764" s="4">
        <v>0.14000000000000001</v>
      </c>
      <c r="B764" s="4">
        <v>0.63</v>
      </c>
      <c r="C764" s="4">
        <v>0.1343</v>
      </c>
      <c r="D764" s="4">
        <v>0</v>
      </c>
    </row>
    <row r="765" spans="1:4" x14ac:dyDescent="0.3">
      <c r="A765" s="5">
        <v>0.16</v>
      </c>
      <c r="B765" s="5">
        <v>0.55000000000000004</v>
      </c>
      <c r="C765" s="5">
        <v>0</v>
      </c>
      <c r="D765" s="5">
        <v>2</v>
      </c>
    </row>
    <row r="766" spans="1:4" x14ac:dyDescent="0.3">
      <c r="A766" s="4">
        <v>0.14000000000000001</v>
      </c>
      <c r="B766" s="4">
        <v>0.59</v>
      </c>
      <c r="C766" s="4">
        <v>0</v>
      </c>
      <c r="D766" s="4">
        <v>0</v>
      </c>
    </row>
    <row r="767" spans="1:4" x14ac:dyDescent="0.3">
      <c r="A767" s="5">
        <v>0.14000000000000001</v>
      </c>
      <c r="B767" s="5">
        <v>0.74</v>
      </c>
      <c r="C767" s="5">
        <v>0.1343</v>
      </c>
      <c r="D767" s="5">
        <v>3</v>
      </c>
    </row>
    <row r="768" spans="1:4" x14ac:dyDescent="0.3">
      <c r="A768" s="4">
        <v>0.16</v>
      </c>
      <c r="B768" s="4">
        <v>0.8</v>
      </c>
      <c r="C768" s="4">
        <v>0.1343</v>
      </c>
      <c r="D768" s="4">
        <v>3</v>
      </c>
    </row>
    <row r="769" spans="1:4" x14ac:dyDescent="0.3">
      <c r="A769" s="5">
        <v>0.2</v>
      </c>
      <c r="B769" s="5">
        <v>0.51</v>
      </c>
      <c r="C769" s="5">
        <v>0.1343</v>
      </c>
      <c r="D769" s="5">
        <v>5</v>
      </c>
    </row>
    <row r="770" spans="1:4" x14ac:dyDescent="0.3">
      <c r="A770" s="4">
        <v>0.22</v>
      </c>
      <c r="B770" s="4">
        <v>0.51</v>
      </c>
      <c r="C770" s="4">
        <v>0.16420000000000001</v>
      </c>
      <c r="D770" s="4">
        <v>3</v>
      </c>
    </row>
    <row r="771" spans="1:4" x14ac:dyDescent="0.3">
      <c r="A771" s="5">
        <v>0.24</v>
      </c>
      <c r="B771" s="5">
        <v>0.48</v>
      </c>
      <c r="C771" s="5">
        <v>0.16420000000000001</v>
      </c>
      <c r="D771" s="5">
        <v>8</v>
      </c>
    </row>
    <row r="772" spans="1:4" x14ac:dyDescent="0.3">
      <c r="A772" s="4">
        <v>0.26</v>
      </c>
      <c r="B772" s="4">
        <v>0.5</v>
      </c>
      <c r="C772" s="4">
        <v>0.22389999999999999</v>
      </c>
      <c r="D772" s="4">
        <v>9</v>
      </c>
    </row>
    <row r="773" spans="1:4" x14ac:dyDescent="0.3">
      <c r="A773" s="5">
        <v>0.28000000000000003</v>
      </c>
      <c r="B773" s="5">
        <v>0.45</v>
      </c>
      <c r="C773" s="5">
        <v>0.16420000000000001</v>
      </c>
      <c r="D773" s="5">
        <v>15</v>
      </c>
    </row>
    <row r="774" spans="1:4" x14ac:dyDescent="0.3">
      <c r="A774" s="4">
        <v>0.28000000000000003</v>
      </c>
      <c r="B774" s="4">
        <v>0.48</v>
      </c>
      <c r="C774" s="4">
        <v>0.25369999999999998</v>
      </c>
      <c r="D774" s="4">
        <v>9</v>
      </c>
    </row>
    <row r="775" spans="1:4" x14ac:dyDescent="0.3">
      <c r="A775" s="5">
        <v>0.3</v>
      </c>
      <c r="B775" s="5">
        <v>0.42</v>
      </c>
      <c r="C775" s="5">
        <v>0.22389999999999999</v>
      </c>
      <c r="D775" s="5">
        <v>8</v>
      </c>
    </row>
    <row r="776" spans="1:4" x14ac:dyDescent="0.3">
      <c r="A776" s="4">
        <v>0.26</v>
      </c>
      <c r="B776" s="4">
        <v>0.56000000000000005</v>
      </c>
      <c r="C776" s="4">
        <v>0.1343</v>
      </c>
      <c r="D776" s="4">
        <v>10</v>
      </c>
    </row>
    <row r="777" spans="1:4" x14ac:dyDescent="0.3">
      <c r="A777" s="5">
        <v>0.24</v>
      </c>
      <c r="B777" s="5">
        <v>0.6</v>
      </c>
      <c r="C777" s="5">
        <v>0.1045</v>
      </c>
      <c r="D777" s="5">
        <v>3</v>
      </c>
    </row>
    <row r="778" spans="1:4" x14ac:dyDescent="0.3">
      <c r="A778" s="4">
        <v>0.24</v>
      </c>
      <c r="B778" s="4">
        <v>0.65</v>
      </c>
      <c r="C778" s="4">
        <v>0.1343</v>
      </c>
      <c r="D778" s="4">
        <v>1</v>
      </c>
    </row>
    <row r="779" spans="1:4" x14ac:dyDescent="0.3">
      <c r="A779" s="5">
        <v>0.24</v>
      </c>
      <c r="B779" s="5">
        <v>0.65</v>
      </c>
      <c r="C779" s="5">
        <v>0.16420000000000001</v>
      </c>
      <c r="D779" s="5">
        <v>2</v>
      </c>
    </row>
    <row r="780" spans="1:4" x14ac:dyDescent="0.3">
      <c r="A780" s="4">
        <v>0.24</v>
      </c>
      <c r="B780" s="4">
        <v>0.7</v>
      </c>
      <c r="C780" s="4">
        <v>0.16420000000000001</v>
      </c>
      <c r="D780" s="4">
        <v>2</v>
      </c>
    </row>
    <row r="781" spans="1:4" x14ac:dyDescent="0.3">
      <c r="A781" s="5">
        <v>0.24</v>
      </c>
      <c r="B781" s="5">
        <v>0.65</v>
      </c>
      <c r="C781" s="5">
        <v>0.16420000000000001</v>
      </c>
      <c r="D781" s="5">
        <v>1</v>
      </c>
    </row>
    <row r="782" spans="1:4" x14ac:dyDescent="0.3">
      <c r="A782" s="4">
        <v>0.24</v>
      </c>
      <c r="B782" s="4">
        <v>0.7</v>
      </c>
      <c r="C782" s="4">
        <v>0.1343</v>
      </c>
      <c r="D782" s="4">
        <v>1</v>
      </c>
    </row>
    <row r="783" spans="1:4" x14ac:dyDescent="0.3">
      <c r="A783" s="5">
        <v>0.24</v>
      </c>
      <c r="B783" s="5">
        <v>0.7</v>
      </c>
      <c r="C783" s="5">
        <v>0.16420000000000001</v>
      </c>
      <c r="D783" s="5">
        <v>3</v>
      </c>
    </row>
    <row r="784" spans="1:4" x14ac:dyDescent="0.3">
      <c r="A784" s="4">
        <v>0.24</v>
      </c>
      <c r="B784" s="4">
        <v>0.65</v>
      </c>
      <c r="C784" s="4">
        <v>0.16420000000000001</v>
      </c>
      <c r="D784" s="4">
        <v>1</v>
      </c>
    </row>
    <row r="785" spans="1:4" x14ac:dyDescent="0.3">
      <c r="A785" s="5">
        <v>0.24</v>
      </c>
      <c r="B785" s="5">
        <v>0.75</v>
      </c>
      <c r="C785" s="5">
        <v>0.16420000000000001</v>
      </c>
      <c r="D785" s="5">
        <v>5</v>
      </c>
    </row>
    <row r="786" spans="1:4" x14ac:dyDescent="0.3">
      <c r="A786" s="4">
        <v>0.24</v>
      </c>
      <c r="B786" s="4">
        <v>0.75</v>
      </c>
      <c r="C786" s="4">
        <v>0.16420000000000001</v>
      </c>
      <c r="D786" s="4">
        <v>1</v>
      </c>
    </row>
    <row r="787" spans="1:4" x14ac:dyDescent="0.3">
      <c r="A787" s="5">
        <v>0.22</v>
      </c>
      <c r="B787" s="5">
        <v>0.93</v>
      </c>
      <c r="C787" s="5">
        <v>0.1343</v>
      </c>
      <c r="D787" s="5">
        <v>0</v>
      </c>
    </row>
    <row r="788" spans="1:4" x14ac:dyDescent="0.3">
      <c r="A788" s="4">
        <v>0.2</v>
      </c>
      <c r="B788" s="4">
        <v>1</v>
      </c>
      <c r="C788" s="4">
        <v>8.9599999999999999E-2</v>
      </c>
      <c r="D788" s="4">
        <v>0</v>
      </c>
    </row>
    <row r="789" spans="1:4" x14ac:dyDescent="0.3">
      <c r="A789" s="5">
        <v>0.2</v>
      </c>
      <c r="B789" s="5">
        <v>1</v>
      </c>
      <c r="C789" s="5">
        <v>0</v>
      </c>
      <c r="D789" s="5">
        <v>0</v>
      </c>
    </row>
    <row r="790" spans="1:4" x14ac:dyDescent="0.3">
      <c r="A790" s="4">
        <v>0.22</v>
      </c>
      <c r="B790" s="4">
        <v>0.93</v>
      </c>
      <c r="C790" s="4">
        <v>8.9599999999999999E-2</v>
      </c>
      <c r="D790" s="4">
        <v>0</v>
      </c>
    </row>
    <row r="791" spans="1:4" x14ac:dyDescent="0.3">
      <c r="A791" s="5">
        <v>0.2</v>
      </c>
      <c r="B791" s="5">
        <v>1</v>
      </c>
      <c r="C791" s="5">
        <v>8.9599999999999999E-2</v>
      </c>
      <c r="D791" s="5">
        <v>0</v>
      </c>
    </row>
    <row r="792" spans="1:4" x14ac:dyDescent="0.3">
      <c r="A792" s="4">
        <v>0.2</v>
      </c>
      <c r="B792" s="4">
        <v>1</v>
      </c>
      <c r="C792" s="4">
        <v>8.9599999999999999E-2</v>
      </c>
      <c r="D792" s="4">
        <v>3</v>
      </c>
    </row>
    <row r="793" spans="1:4" x14ac:dyDescent="0.3">
      <c r="A793" s="5">
        <v>0.2</v>
      </c>
      <c r="B793" s="5">
        <v>1</v>
      </c>
      <c r="C793" s="5">
        <v>0.1343</v>
      </c>
      <c r="D793" s="5">
        <v>3</v>
      </c>
    </row>
    <row r="794" spans="1:4" x14ac:dyDescent="0.3">
      <c r="A794" s="4">
        <v>0.22</v>
      </c>
      <c r="B794" s="4">
        <v>1</v>
      </c>
      <c r="C794" s="4">
        <v>0.1343</v>
      </c>
      <c r="D794" s="4">
        <v>1</v>
      </c>
    </row>
    <row r="795" spans="1:4" x14ac:dyDescent="0.3">
      <c r="A795" s="5">
        <v>0.22</v>
      </c>
      <c r="B795" s="5">
        <v>1</v>
      </c>
      <c r="C795" s="5">
        <v>0.16420000000000001</v>
      </c>
      <c r="D795" s="5">
        <v>10</v>
      </c>
    </row>
    <row r="796" spans="1:4" x14ac:dyDescent="0.3">
      <c r="A796" s="4">
        <v>0.22</v>
      </c>
      <c r="B796" s="4">
        <v>1</v>
      </c>
      <c r="C796" s="4">
        <v>0.16420000000000001</v>
      </c>
      <c r="D796" s="4">
        <v>10</v>
      </c>
    </row>
    <row r="797" spans="1:4" x14ac:dyDescent="0.3">
      <c r="A797" s="5">
        <v>0.22</v>
      </c>
      <c r="B797" s="5">
        <v>1</v>
      </c>
      <c r="C797" s="5">
        <v>0</v>
      </c>
      <c r="D797" s="5">
        <v>5</v>
      </c>
    </row>
    <row r="798" spans="1:4" x14ac:dyDescent="0.3">
      <c r="A798" s="4">
        <v>0.22</v>
      </c>
      <c r="B798" s="4">
        <v>1</v>
      </c>
      <c r="C798" s="4">
        <v>0</v>
      </c>
      <c r="D798" s="4">
        <v>11</v>
      </c>
    </row>
    <row r="799" spans="1:4" x14ac:dyDescent="0.3">
      <c r="A799" s="5">
        <v>0.22</v>
      </c>
      <c r="B799" s="5">
        <v>1</v>
      </c>
      <c r="C799" s="5">
        <v>0.1343</v>
      </c>
      <c r="D799" s="5">
        <v>8</v>
      </c>
    </row>
    <row r="800" spans="1:4" x14ac:dyDescent="0.3">
      <c r="A800" s="4">
        <v>0.24</v>
      </c>
      <c r="B800" s="4">
        <v>1</v>
      </c>
      <c r="C800" s="4">
        <v>0.28360000000000002</v>
      </c>
      <c r="D800" s="4">
        <v>14</v>
      </c>
    </row>
    <row r="801" spans="1:4" x14ac:dyDescent="0.3">
      <c r="A801" s="5">
        <v>0.28000000000000003</v>
      </c>
      <c r="B801" s="5">
        <v>0.93</v>
      </c>
      <c r="C801" s="5">
        <v>0.44779999999999998</v>
      </c>
      <c r="D801" s="5">
        <v>2</v>
      </c>
    </row>
    <row r="802" spans="1:4" x14ac:dyDescent="0.3">
      <c r="A802" s="4">
        <v>0.28000000000000003</v>
      </c>
      <c r="B802" s="4">
        <v>0.93</v>
      </c>
      <c r="C802" s="4">
        <v>0.44779999999999998</v>
      </c>
      <c r="D802" s="4">
        <v>6</v>
      </c>
    </row>
    <row r="803" spans="1:4" x14ac:dyDescent="0.3">
      <c r="A803" s="5">
        <v>0.3</v>
      </c>
      <c r="B803" s="5">
        <v>0.87</v>
      </c>
      <c r="C803" s="5">
        <v>0.25369999999999998</v>
      </c>
      <c r="D803" s="5">
        <v>5</v>
      </c>
    </row>
    <row r="804" spans="1:4" x14ac:dyDescent="0.3">
      <c r="A804" s="4">
        <v>0.26</v>
      </c>
      <c r="B804" s="4">
        <v>1</v>
      </c>
      <c r="C804" s="4">
        <v>0.19400000000000001</v>
      </c>
      <c r="D804" s="4">
        <v>3</v>
      </c>
    </row>
    <row r="805" spans="1:4" x14ac:dyDescent="0.3">
      <c r="A805" s="5">
        <v>0.26</v>
      </c>
      <c r="B805" s="5">
        <v>0.93</v>
      </c>
      <c r="C805" s="5">
        <v>0.1343</v>
      </c>
      <c r="D805" s="5">
        <v>2</v>
      </c>
    </row>
    <row r="806" spans="1:4" x14ac:dyDescent="0.3">
      <c r="A806" s="4">
        <v>0.26</v>
      </c>
      <c r="B806" s="4">
        <v>0.93</v>
      </c>
      <c r="C806" s="4">
        <v>0.22389999999999999</v>
      </c>
      <c r="D806" s="4">
        <v>7</v>
      </c>
    </row>
    <row r="807" spans="1:4" x14ac:dyDescent="0.3">
      <c r="A807" s="5">
        <v>0.26</v>
      </c>
      <c r="B807" s="5">
        <v>0.7</v>
      </c>
      <c r="C807" s="5">
        <v>0.19400000000000001</v>
      </c>
      <c r="D807" s="5">
        <v>2</v>
      </c>
    </row>
    <row r="808" spans="1:4" x14ac:dyDescent="0.3">
      <c r="A808" s="4">
        <v>0.26</v>
      </c>
      <c r="B808" s="4">
        <v>0.65</v>
      </c>
      <c r="C808" s="4">
        <v>0.41789999999999999</v>
      </c>
      <c r="D808" s="4">
        <v>4</v>
      </c>
    </row>
    <row r="809" spans="1:4" x14ac:dyDescent="0.3">
      <c r="A809" s="5">
        <v>0.26</v>
      </c>
      <c r="B809" s="5">
        <v>0.6</v>
      </c>
      <c r="C809" s="5">
        <v>0.32840000000000003</v>
      </c>
      <c r="D809" s="5">
        <v>0</v>
      </c>
    </row>
    <row r="810" spans="1:4" x14ac:dyDescent="0.3">
      <c r="A810" s="4">
        <v>0.26</v>
      </c>
      <c r="B810" s="4">
        <v>0.6</v>
      </c>
      <c r="C810" s="4">
        <v>8.9599999999999999E-2</v>
      </c>
      <c r="D810" s="4">
        <v>3</v>
      </c>
    </row>
    <row r="811" spans="1:4" x14ac:dyDescent="0.3">
      <c r="A811" s="5">
        <v>0.26</v>
      </c>
      <c r="B811" s="5">
        <v>0.6</v>
      </c>
      <c r="C811" s="5">
        <v>0.35820000000000002</v>
      </c>
      <c r="D811" s="5">
        <v>0</v>
      </c>
    </row>
    <row r="812" spans="1:4" x14ac:dyDescent="0.3">
      <c r="A812" s="4">
        <v>0.26</v>
      </c>
      <c r="B812" s="4">
        <v>0.6</v>
      </c>
      <c r="C812" s="4">
        <v>0.22389999999999999</v>
      </c>
      <c r="D812" s="4">
        <v>0</v>
      </c>
    </row>
    <row r="813" spans="1:4" x14ac:dyDescent="0.3">
      <c r="A813" s="5">
        <v>0.26</v>
      </c>
      <c r="B813" s="5">
        <v>0.6</v>
      </c>
      <c r="C813" s="5">
        <v>0.22389999999999999</v>
      </c>
      <c r="D813" s="5">
        <v>0</v>
      </c>
    </row>
    <row r="814" spans="1:4" x14ac:dyDescent="0.3">
      <c r="A814" s="4">
        <v>0.24</v>
      </c>
      <c r="B814" s="4">
        <v>0.65</v>
      </c>
      <c r="C814" s="4">
        <v>0.16420000000000001</v>
      </c>
      <c r="D814" s="4">
        <v>0</v>
      </c>
    </row>
    <row r="815" spans="1:4" x14ac:dyDescent="0.3">
      <c r="A815" s="5">
        <v>0.24</v>
      </c>
      <c r="B815" s="5">
        <v>0.65</v>
      </c>
      <c r="C815" s="5">
        <v>0.1045</v>
      </c>
      <c r="D815" s="5">
        <v>2</v>
      </c>
    </row>
    <row r="816" spans="1:4" x14ac:dyDescent="0.3">
      <c r="A816" s="4">
        <v>0.28000000000000003</v>
      </c>
      <c r="B816" s="4">
        <v>0.56000000000000005</v>
      </c>
      <c r="C816" s="4">
        <v>0.1045</v>
      </c>
      <c r="D816" s="4">
        <v>7</v>
      </c>
    </row>
    <row r="817" spans="1:4" x14ac:dyDescent="0.3">
      <c r="A817" s="5">
        <v>0.3</v>
      </c>
      <c r="B817" s="5">
        <v>0.52</v>
      </c>
      <c r="C817" s="5">
        <v>0.25369999999999998</v>
      </c>
      <c r="D817" s="5">
        <v>15</v>
      </c>
    </row>
    <row r="818" spans="1:4" x14ac:dyDescent="0.3">
      <c r="A818" s="4">
        <v>0.32</v>
      </c>
      <c r="B818" s="4">
        <v>0.49</v>
      </c>
      <c r="C818" s="4">
        <v>0.25369999999999998</v>
      </c>
      <c r="D818" s="4">
        <v>28</v>
      </c>
    </row>
    <row r="819" spans="1:4" x14ac:dyDescent="0.3">
      <c r="A819" s="5">
        <v>0.34</v>
      </c>
      <c r="B819" s="5">
        <v>0.46</v>
      </c>
      <c r="C819" s="5">
        <v>0</v>
      </c>
      <c r="D819" s="5">
        <v>48</v>
      </c>
    </row>
    <row r="820" spans="1:4" x14ac:dyDescent="0.3">
      <c r="A820" s="4">
        <v>0.34</v>
      </c>
      <c r="B820" s="4">
        <v>0.46</v>
      </c>
      <c r="C820" s="4">
        <v>0</v>
      </c>
      <c r="D820" s="4">
        <v>47</v>
      </c>
    </row>
    <row r="821" spans="1:4" x14ac:dyDescent="0.3">
      <c r="A821" s="5">
        <v>0.34</v>
      </c>
      <c r="B821" s="5">
        <v>0.46</v>
      </c>
      <c r="C821" s="5">
        <v>8.9599999999999999E-2</v>
      </c>
      <c r="D821" s="5">
        <v>47</v>
      </c>
    </row>
    <row r="822" spans="1:4" x14ac:dyDescent="0.3">
      <c r="A822" s="4">
        <v>0.34</v>
      </c>
      <c r="B822" s="4">
        <v>0.46</v>
      </c>
      <c r="C822" s="4">
        <v>8.9599999999999999E-2</v>
      </c>
      <c r="D822" s="4">
        <v>52</v>
      </c>
    </row>
    <row r="823" spans="1:4" x14ac:dyDescent="0.3">
      <c r="A823" s="5">
        <v>0.34</v>
      </c>
      <c r="B823" s="5">
        <v>0.49</v>
      </c>
      <c r="C823" s="5">
        <v>0.1045</v>
      </c>
      <c r="D823" s="5">
        <v>42</v>
      </c>
    </row>
    <row r="824" spans="1:4" x14ac:dyDescent="0.3">
      <c r="A824" s="4">
        <v>0.34</v>
      </c>
      <c r="B824" s="4">
        <v>0.46</v>
      </c>
      <c r="C824" s="4">
        <v>0</v>
      </c>
      <c r="D824" s="4">
        <v>24</v>
      </c>
    </row>
    <row r="825" spans="1:4" x14ac:dyDescent="0.3">
      <c r="A825" s="5">
        <v>0.3</v>
      </c>
      <c r="B825" s="5">
        <v>0.56000000000000005</v>
      </c>
      <c r="C825" s="5">
        <v>0.16420000000000001</v>
      </c>
      <c r="D825" s="5">
        <v>13</v>
      </c>
    </row>
    <row r="826" spans="1:4" x14ac:dyDescent="0.3">
      <c r="A826" s="4">
        <v>0.28000000000000003</v>
      </c>
      <c r="B826" s="4">
        <v>0.61</v>
      </c>
      <c r="C826" s="4">
        <v>0.1343</v>
      </c>
      <c r="D826" s="4">
        <v>1</v>
      </c>
    </row>
    <row r="827" spans="1:4" x14ac:dyDescent="0.3">
      <c r="A827" s="5">
        <v>0.28000000000000003</v>
      </c>
      <c r="B827" s="5">
        <v>0.61</v>
      </c>
      <c r="C827" s="5">
        <v>0.1045</v>
      </c>
      <c r="D827" s="5">
        <v>5</v>
      </c>
    </row>
    <row r="828" spans="1:4" x14ac:dyDescent="0.3">
      <c r="A828" s="4">
        <v>0.26</v>
      </c>
      <c r="B828" s="4">
        <v>0.6</v>
      </c>
      <c r="C828" s="4">
        <v>0</v>
      </c>
      <c r="D828" s="4">
        <v>5</v>
      </c>
    </row>
    <row r="829" spans="1:4" x14ac:dyDescent="0.3">
      <c r="A829" s="5">
        <v>0.26</v>
      </c>
      <c r="B829" s="5">
        <v>0.6</v>
      </c>
      <c r="C829" s="5">
        <v>0</v>
      </c>
      <c r="D829" s="5">
        <v>5</v>
      </c>
    </row>
    <row r="830" spans="1:4" x14ac:dyDescent="0.3">
      <c r="A830" s="4">
        <v>0.24</v>
      </c>
      <c r="B830" s="4">
        <v>0.65</v>
      </c>
      <c r="C830" s="4">
        <v>0</v>
      </c>
      <c r="D830" s="4">
        <v>4</v>
      </c>
    </row>
    <row r="831" spans="1:4" x14ac:dyDescent="0.3">
      <c r="A831" s="5">
        <v>0.24</v>
      </c>
      <c r="B831" s="5">
        <v>0.65</v>
      </c>
      <c r="C831" s="5">
        <v>0</v>
      </c>
      <c r="D831" s="5">
        <v>1</v>
      </c>
    </row>
    <row r="832" spans="1:4" x14ac:dyDescent="0.3">
      <c r="A832" s="4">
        <v>0.22</v>
      </c>
      <c r="B832" s="4">
        <v>0.75</v>
      </c>
      <c r="C832" s="4">
        <v>0</v>
      </c>
      <c r="D832" s="4">
        <v>1</v>
      </c>
    </row>
    <row r="833" spans="1:4" x14ac:dyDescent="0.3">
      <c r="A833" s="5">
        <v>0.2</v>
      </c>
      <c r="B833" s="5">
        <v>0.8</v>
      </c>
      <c r="C833" s="5">
        <v>0</v>
      </c>
      <c r="D833" s="5">
        <v>0</v>
      </c>
    </row>
    <row r="834" spans="1:4" x14ac:dyDescent="0.3">
      <c r="A834" s="4">
        <v>0.2</v>
      </c>
      <c r="B834" s="4">
        <v>0.86</v>
      </c>
      <c r="C834" s="4">
        <v>0</v>
      </c>
      <c r="D834" s="4">
        <v>0</v>
      </c>
    </row>
    <row r="835" spans="1:4" x14ac:dyDescent="0.3">
      <c r="A835" s="5">
        <v>0.2</v>
      </c>
      <c r="B835" s="5">
        <v>0.86</v>
      </c>
      <c r="C835" s="5">
        <v>0</v>
      </c>
      <c r="D835" s="5">
        <v>1</v>
      </c>
    </row>
    <row r="836" spans="1:4" x14ac:dyDescent="0.3">
      <c r="A836" s="4">
        <v>0.2</v>
      </c>
      <c r="B836" s="4">
        <v>0.86</v>
      </c>
      <c r="C836" s="4">
        <v>0</v>
      </c>
      <c r="D836" s="4">
        <v>1</v>
      </c>
    </row>
    <row r="837" spans="1:4" x14ac:dyDescent="0.3">
      <c r="A837" s="5">
        <v>0.18</v>
      </c>
      <c r="B837" s="5">
        <v>0.93</v>
      </c>
      <c r="C837" s="5">
        <v>0</v>
      </c>
      <c r="D837" s="5">
        <v>1</v>
      </c>
    </row>
    <row r="838" spans="1:4" x14ac:dyDescent="0.3">
      <c r="A838" s="4">
        <v>0.18</v>
      </c>
      <c r="B838" s="4">
        <v>0.86</v>
      </c>
      <c r="C838" s="4">
        <v>0</v>
      </c>
      <c r="D838" s="4">
        <v>6</v>
      </c>
    </row>
    <row r="839" spans="1:4" x14ac:dyDescent="0.3">
      <c r="A839" s="5">
        <v>0.16</v>
      </c>
      <c r="B839" s="5">
        <v>1</v>
      </c>
      <c r="C839" s="5">
        <v>0</v>
      </c>
      <c r="D839" s="5">
        <v>7</v>
      </c>
    </row>
    <row r="840" spans="1:4" x14ac:dyDescent="0.3">
      <c r="A840" s="4">
        <v>0.22</v>
      </c>
      <c r="B840" s="4">
        <v>0.8</v>
      </c>
      <c r="C840" s="4">
        <v>0</v>
      </c>
      <c r="D840" s="4">
        <v>3</v>
      </c>
    </row>
    <row r="841" spans="1:4" x14ac:dyDescent="0.3">
      <c r="A841" s="5">
        <v>0.24</v>
      </c>
      <c r="B841" s="5">
        <v>0.75</v>
      </c>
      <c r="C841" s="5">
        <v>0.1045</v>
      </c>
      <c r="D841" s="5">
        <v>6</v>
      </c>
    </row>
    <row r="842" spans="1:4" x14ac:dyDescent="0.3">
      <c r="A842" s="4">
        <v>0.3</v>
      </c>
      <c r="B842" s="4">
        <v>0.65</v>
      </c>
      <c r="C842" s="4">
        <v>8.9599999999999999E-2</v>
      </c>
      <c r="D842" s="4">
        <v>11</v>
      </c>
    </row>
    <row r="843" spans="1:4" x14ac:dyDescent="0.3">
      <c r="A843" s="5">
        <v>0.32</v>
      </c>
      <c r="B843" s="5">
        <v>0.62</v>
      </c>
      <c r="C843" s="5">
        <v>0</v>
      </c>
      <c r="D843" s="5">
        <v>7</v>
      </c>
    </row>
    <row r="844" spans="1:4" x14ac:dyDescent="0.3">
      <c r="A844" s="4">
        <v>0.36</v>
      </c>
      <c r="B844" s="4">
        <v>0.56999999999999995</v>
      </c>
      <c r="C844" s="4">
        <v>8.9599999999999999E-2</v>
      </c>
      <c r="D844" s="4">
        <v>10</v>
      </c>
    </row>
    <row r="845" spans="1:4" x14ac:dyDescent="0.3">
      <c r="A845" s="5">
        <v>0.36</v>
      </c>
      <c r="B845" s="5">
        <v>0.56999999999999995</v>
      </c>
      <c r="C845" s="5">
        <v>8.9599999999999999E-2</v>
      </c>
      <c r="D845" s="5">
        <v>8</v>
      </c>
    </row>
    <row r="846" spans="1:4" x14ac:dyDescent="0.3">
      <c r="A846" s="4">
        <v>0.38</v>
      </c>
      <c r="B846" s="4">
        <v>0.54</v>
      </c>
      <c r="C846" s="4">
        <v>8.9599999999999999E-2</v>
      </c>
      <c r="D846" s="4">
        <v>4</v>
      </c>
    </row>
    <row r="847" spans="1:4" x14ac:dyDescent="0.3">
      <c r="A847" s="5">
        <v>0.36</v>
      </c>
      <c r="B847" s="5">
        <v>0.56999999999999995</v>
      </c>
      <c r="C847" s="5">
        <v>0.1343</v>
      </c>
      <c r="D847" s="5">
        <v>16</v>
      </c>
    </row>
    <row r="848" spans="1:4" x14ac:dyDescent="0.3">
      <c r="A848" s="4">
        <v>0.32</v>
      </c>
      <c r="B848" s="4">
        <v>0.7</v>
      </c>
      <c r="C848" s="4">
        <v>0.16420000000000001</v>
      </c>
      <c r="D848" s="4">
        <v>9</v>
      </c>
    </row>
    <row r="849" spans="1:4" x14ac:dyDescent="0.3">
      <c r="A849" s="5">
        <v>0.34</v>
      </c>
      <c r="B849" s="5">
        <v>0.66</v>
      </c>
      <c r="C849" s="5">
        <v>0.1343</v>
      </c>
      <c r="D849" s="5">
        <v>5</v>
      </c>
    </row>
    <row r="850" spans="1:4" x14ac:dyDescent="0.3">
      <c r="A850" s="4">
        <v>0.32</v>
      </c>
      <c r="B850" s="4">
        <v>0.7</v>
      </c>
      <c r="C850" s="4">
        <v>0</v>
      </c>
      <c r="D850" s="4">
        <v>5</v>
      </c>
    </row>
    <row r="851" spans="1:4" x14ac:dyDescent="0.3">
      <c r="A851" s="5">
        <v>0.32</v>
      </c>
      <c r="B851" s="5">
        <v>0.7</v>
      </c>
      <c r="C851" s="5">
        <v>0.1045</v>
      </c>
      <c r="D851" s="5">
        <v>6</v>
      </c>
    </row>
    <row r="852" spans="1:4" x14ac:dyDescent="0.3">
      <c r="A852" s="4">
        <v>0.32</v>
      </c>
      <c r="B852" s="4">
        <v>0.7</v>
      </c>
      <c r="C852" s="4">
        <v>0</v>
      </c>
      <c r="D852" s="4">
        <v>3</v>
      </c>
    </row>
    <row r="853" spans="1:4" x14ac:dyDescent="0.3">
      <c r="A853" s="5">
        <v>0.28000000000000003</v>
      </c>
      <c r="B853" s="5">
        <v>0.81</v>
      </c>
      <c r="C853" s="5">
        <v>8.9599999999999999E-2</v>
      </c>
      <c r="D853" s="5">
        <v>3</v>
      </c>
    </row>
    <row r="854" spans="1:4" x14ac:dyDescent="0.3">
      <c r="A854" s="4">
        <v>0.3</v>
      </c>
      <c r="B854" s="4">
        <v>0.81</v>
      </c>
      <c r="C854" s="4">
        <v>0</v>
      </c>
      <c r="D854" s="4">
        <v>6</v>
      </c>
    </row>
    <row r="855" spans="1:4" x14ac:dyDescent="0.3">
      <c r="A855" s="5">
        <v>0.28000000000000003</v>
      </c>
      <c r="B855" s="5">
        <v>0.87</v>
      </c>
      <c r="C855" s="5">
        <v>0</v>
      </c>
      <c r="D855" s="5">
        <v>4</v>
      </c>
    </row>
    <row r="856" spans="1:4" x14ac:dyDescent="0.3">
      <c r="A856" s="4">
        <v>0.28000000000000003</v>
      </c>
      <c r="B856" s="4">
        <v>0.87</v>
      </c>
      <c r="C856" s="4">
        <v>0</v>
      </c>
      <c r="D856" s="4">
        <v>0</v>
      </c>
    </row>
    <row r="857" spans="1:4" x14ac:dyDescent="0.3">
      <c r="A857" s="5">
        <v>0.26</v>
      </c>
      <c r="B857" s="5">
        <v>0.93</v>
      </c>
      <c r="C857" s="5">
        <v>0.1045</v>
      </c>
      <c r="D857" s="5">
        <v>1</v>
      </c>
    </row>
    <row r="858" spans="1:4" x14ac:dyDescent="0.3">
      <c r="A858" s="4">
        <v>0.28000000000000003</v>
      </c>
      <c r="B858" s="4">
        <v>0.93</v>
      </c>
      <c r="C858" s="4">
        <v>0.16420000000000001</v>
      </c>
      <c r="D858" s="4">
        <v>0</v>
      </c>
    </row>
    <row r="859" spans="1:4" x14ac:dyDescent="0.3">
      <c r="A859" s="5">
        <v>0.26</v>
      </c>
      <c r="B859" s="5">
        <v>0.93</v>
      </c>
      <c r="C859" s="5">
        <v>0.16420000000000001</v>
      </c>
      <c r="D859" s="5">
        <v>0</v>
      </c>
    </row>
    <row r="860" spans="1:4" x14ac:dyDescent="0.3">
      <c r="A860" s="4">
        <v>0.26</v>
      </c>
      <c r="B860" s="4">
        <v>0.81</v>
      </c>
      <c r="C860" s="4">
        <v>0.32840000000000003</v>
      </c>
      <c r="D860" s="4">
        <v>0</v>
      </c>
    </row>
    <row r="861" spans="1:4" x14ac:dyDescent="0.3">
      <c r="A861" s="5">
        <v>0.26</v>
      </c>
      <c r="B861" s="5">
        <v>0.7</v>
      </c>
      <c r="C861" s="5">
        <v>0.32840000000000003</v>
      </c>
      <c r="D861" s="5">
        <v>0</v>
      </c>
    </row>
    <row r="862" spans="1:4" x14ac:dyDescent="0.3">
      <c r="A862" s="4">
        <v>0.24</v>
      </c>
      <c r="B862" s="4">
        <v>0.65</v>
      </c>
      <c r="C862" s="4">
        <v>0.41789999999999999</v>
      </c>
      <c r="D862" s="4">
        <v>3</v>
      </c>
    </row>
    <row r="863" spans="1:4" x14ac:dyDescent="0.3">
      <c r="A863" s="5">
        <v>0.24</v>
      </c>
      <c r="B863" s="5">
        <v>0.56000000000000005</v>
      </c>
      <c r="C863" s="5">
        <v>0.49249999999999999</v>
      </c>
      <c r="D863" s="5">
        <v>7</v>
      </c>
    </row>
    <row r="864" spans="1:4" x14ac:dyDescent="0.3">
      <c r="A864" s="4">
        <v>0.24</v>
      </c>
      <c r="B864" s="4">
        <v>0.52</v>
      </c>
      <c r="C864" s="4">
        <v>0.49249999999999999</v>
      </c>
      <c r="D864" s="4">
        <v>7</v>
      </c>
    </row>
    <row r="865" spans="1:4" x14ac:dyDescent="0.3">
      <c r="A865" s="5">
        <v>0.22</v>
      </c>
      <c r="B865" s="5">
        <v>0.47</v>
      </c>
      <c r="C865" s="5">
        <v>0.55220000000000002</v>
      </c>
      <c r="D865" s="5">
        <v>4</v>
      </c>
    </row>
    <row r="866" spans="1:4" x14ac:dyDescent="0.3">
      <c r="A866" s="4">
        <v>0.22</v>
      </c>
      <c r="B866" s="4">
        <v>0.47</v>
      </c>
      <c r="C866" s="4">
        <v>0.4627</v>
      </c>
      <c r="D866" s="4">
        <v>1</v>
      </c>
    </row>
    <row r="867" spans="1:4" x14ac:dyDescent="0.3">
      <c r="A867" s="5">
        <v>0.24</v>
      </c>
      <c r="B867" s="5">
        <v>0.38</v>
      </c>
      <c r="C867" s="5">
        <v>0.49249999999999999</v>
      </c>
      <c r="D867" s="5">
        <v>2</v>
      </c>
    </row>
    <row r="868" spans="1:4" x14ac:dyDescent="0.3">
      <c r="A868" s="4">
        <v>0.24</v>
      </c>
      <c r="B868" s="4">
        <v>0.32</v>
      </c>
      <c r="C868" s="4">
        <v>0.44779999999999998</v>
      </c>
      <c r="D868" s="4">
        <v>2</v>
      </c>
    </row>
    <row r="869" spans="1:4" x14ac:dyDescent="0.3">
      <c r="A869" s="5">
        <v>0.22</v>
      </c>
      <c r="B869" s="5">
        <v>0.37</v>
      </c>
      <c r="C869" s="5">
        <v>0.41789999999999999</v>
      </c>
      <c r="D869" s="5">
        <v>3</v>
      </c>
    </row>
    <row r="870" spans="1:4" x14ac:dyDescent="0.3">
      <c r="A870" s="4">
        <v>0.22</v>
      </c>
      <c r="B870" s="4">
        <v>0.35</v>
      </c>
      <c r="C870" s="4">
        <v>0.3881</v>
      </c>
      <c r="D870" s="4">
        <v>6</v>
      </c>
    </row>
    <row r="871" spans="1:4" x14ac:dyDescent="0.3">
      <c r="A871" s="5">
        <v>0.22</v>
      </c>
      <c r="B871" s="5">
        <v>0.35</v>
      </c>
      <c r="C871" s="5">
        <v>0.52239999999999998</v>
      </c>
      <c r="D871" s="5">
        <v>4</v>
      </c>
    </row>
    <row r="872" spans="1:4" x14ac:dyDescent="0.3">
      <c r="A872" s="4">
        <v>0.22</v>
      </c>
      <c r="B872" s="4">
        <v>0.32</v>
      </c>
      <c r="C872" s="4">
        <v>0.58209999999999995</v>
      </c>
      <c r="D872" s="4">
        <v>4</v>
      </c>
    </row>
    <row r="873" spans="1:4" x14ac:dyDescent="0.3">
      <c r="A873" s="5">
        <v>0.2</v>
      </c>
      <c r="B873" s="5">
        <v>0.32</v>
      </c>
      <c r="C873" s="5">
        <v>0.3881</v>
      </c>
      <c r="D873" s="5">
        <v>1</v>
      </c>
    </row>
    <row r="874" spans="1:4" x14ac:dyDescent="0.3">
      <c r="A874" s="4">
        <v>0.16</v>
      </c>
      <c r="B874" s="4">
        <v>0.4</v>
      </c>
      <c r="C874" s="4">
        <v>0.4627</v>
      </c>
      <c r="D874" s="4">
        <v>1</v>
      </c>
    </row>
    <row r="875" spans="1:4" x14ac:dyDescent="0.3">
      <c r="A875" s="5">
        <v>0.16</v>
      </c>
      <c r="B875" s="5">
        <v>0.4</v>
      </c>
      <c r="C875" s="5">
        <v>0.32840000000000003</v>
      </c>
      <c r="D875" s="5">
        <v>3</v>
      </c>
    </row>
    <row r="876" spans="1:4" x14ac:dyDescent="0.3">
      <c r="A876" s="4">
        <v>0.14000000000000001</v>
      </c>
      <c r="B876" s="4">
        <v>0.33</v>
      </c>
      <c r="C876" s="4">
        <v>0.4627</v>
      </c>
      <c r="D876" s="4">
        <v>8</v>
      </c>
    </row>
    <row r="877" spans="1:4" x14ac:dyDescent="0.3">
      <c r="A877" s="5">
        <v>0.12</v>
      </c>
      <c r="B877" s="5">
        <v>0.33</v>
      </c>
      <c r="C877" s="5">
        <v>0.35820000000000002</v>
      </c>
      <c r="D877" s="5">
        <v>0</v>
      </c>
    </row>
    <row r="878" spans="1:4" x14ac:dyDescent="0.3">
      <c r="A878" s="4">
        <v>0.12</v>
      </c>
      <c r="B878" s="4">
        <v>0.33</v>
      </c>
      <c r="C878" s="4">
        <v>0.32840000000000003</v>
      </c>
      <c r="D878" s="4">
        <v>3</v>
      </c>
    </row>
    <row r="879" spans="1:4" x14ac:dyDescent="0.3">
      <c r="A879" s="5">
        <v>0.1</v>
      </c>
      <c r="B879" s="5">
        <v>0.36</v>
      </c>
      <c r="C879" s="5">
        <v>0.35820000000000002</v>
      </c>
      <c r="D879" s="5">
        <v>0</v>
      </c>
    </row>
    <row r="880" spans="1:4" x14ac:dyDescent="0.3">
      <c r="A880" s="4">
        <v>0.1</v>
      </c>
      <c r="B880" s="4">
        <v>0.36</v>
      </c>
      <c r="C880" s="4">
        <v>0.22389999999999999</v>
      </c>
      <c r="D880" s="4">
        <v>0</v>
      </c>
    </row>
    <row r="881" spans="1:4" x14ac:dyDescent="0.3">
      <c r="A881" s="5">
        <v>0.08</v>
      </c>
      <c r="B881" s="5">
        <v>0.38</v>
      </c>
      <c r="C881" s="5">
        <v>0.28360000000000002</v>
      </c>
      <c r="D881" s="5">
        <v>1</v>
      </c>
    </row>
    <row r="882" spans="1:4" x14ac:dyDescent="0.3">
      <c r="A882" s="4">
        <v>0.06</v>
      </c>
      <c r="B882" s="4">
        <v>0.45</v>
      </c>
      <c r="C882" s="4">
        <v>0.1343</v>
      </c>
      <c r="D882" s="4">
        <v>0</v>
      </c>
    </row>
    <row r="883" spans="1:4" x14ac:dyDescent="0.3">
      <c r="A883" s="5">
        <v>0.06</v>
      </c>
      <c r="B883" s="5">
        <v>0.45</v>
      </c>
      <c r="C883" s="5">
        <v>0.1045</v>
      </c>
      <c r="D883" s="5">
        <v>0</v>
      </c>
    </row>
    <row r="884" spans="1:4" x14ac:dyDescent="0.3">
      <c r="A884" s="4">
        <v>0.06</v>
      </c>
      <c r="B884" s="4">
        <v>0.45</v>
      </c>
      <c r="C884" s="4">
        <v>0</v>
      </c>
      <c r="D884" s="4">
        <v>0</v>
      </c>
    </row>
    <row r="885" spans="1:4" x14ac:dyDescent="0.3">
      <c r="A885" s="5">
        <v>0.06</v>
      </c>
      <c r="B885" s="5">
        <v>0.49</v>
      </c>
      <c r="C885" s="5">
        <v>0.1045</v>
      </c>
      <c r="D885" s="5">
        <v>4</v>
      </c>
    </row>
    <row r="886" spans="1:4" x14ac:dyDescent="0.3">
      <c r="A886" s="4">
        <v>0.1</v>
      </c>
      <c r="B886" s="4">
        <v>0.42</v>
      </c>
      <c r="C886" s="4">
        <v>0</v>
      </c>
      <c r="D886" s="4">
        <v>1</v>
      </c>
    </row>
    <row r="887" spans="1:4" x14ac:dyDescent="0.3">
      <c r="A887" s="5">
        <v>0.12</v>
      </c>
      <c r="B887" s="5">
        <v>0.39</v>
      </c>
      <c r="C887" s="5">
        <v>0.16420000000000001</v>
      </c>
      <c r="D887" s="5">
        <v>4</v>
      </c>
    </row>
    <row r="888" spans="1:4" x14ac:dyDescent="0.3">
      <c r="A888" s="4">
        <v>0.14000000000000001</v>
      </c>
      <c r="B888" s="4">
        <v>0.36</v>
      </c>
      <c r="C888" s="4">
        <v>0</v>
      </c>
      <c r="D888" s="4">
        <v>8</v>
      </c>
    </row>
    <row r="889" spans="1:4" x14ac:dyDescent="0.3">
      <c r="A889" s="5">
        <v>0.14000000000000001</v>
      </c>
      <c r="B889" s="5">
        <v>0.43</v>
      </c>
      <c r="C889" s="5">
        <v>0.16420000000000001</v>
      </c>
      <c r="D889" s="5">
        <v>1</v>
      </c>
    </row>
    <row r="890" spans="1:4" x14ac:dyDescent="0.3">
      <c r="A890" s="4">
        <v>0.18</v>
      </c>
      <c r="B890" s="4">
        <v>0.4</v>
      </c>
      <c r="C890" s="4">
        <v>0.22389999999999999</v>
      </c>
      <c r="D890" s="4">
        <v>4</v>
      </c>
    </row>
    <row r="891" spans="1:4" x14ac:dyDescent="0.3">
      <c r="A891" s="5">
        <v>0.18</v>
      </c>
      <c r="B891" s="5">
        <v>0.4</v>
      </c>
      <c r="C891" s="5">
        <v>0.25369999999999998</v>
      </c>
      <c r="D891" s="5">
        <v>2</v>
      </c>
    </row>
    <row r="892" spans="1:4" x14ac:dyDescent="0.3">
      <c r="A892" s="4">
        <v>0.2</v>
      </c>
      <c r="B892" s="4">
        <v>0.34</v>
      </c>
      <c r="C892" s="4">
        <v>0.29849999999999999</v>
      </c>
      <c r="D892" s="4">
        <v>2</v>
      </c>
    </row>
    <row r="893" spans="1:4" x14ac:dyDescent="0.3">
      <c r="A893" s="5">
        <v>0.2</v>
      </c>
      <c r="B893" s="5">
        <v>0.34</v>
      </c>
      <c r="C893" s="5">
        <v>0.28360000000000002</v>
      </c>
      <c r="D893" s="5">
        <v>3</v>
      </c>
    </row>
    <row r="894" spans="1:4" x14ac:dyDescent="0.3">
      <c r="A894" s="4">
        <v>0.2</v>
      </c>
      <c r="B894" s="4">
        <v>0.37</v>
      </c>
      <c r="C894" s="4">
        <v>0.25369999999999998</v>
      </c>
      <c r="D894" s="4">
        <v>7</v>
      </c>
    </row>
    <row r="895" spans="1:4" x14ac:dyDescent="0.3">
      <c r="A895" s="5">
        <v>0.2</v>
      </c>
      <c r="B895" s="5">
        <v>0.34</v>
      </c>
      <c r="C895" s="5">
        <v>0.25369999999999998</v>
      </c>
      <c r="D895" s="5">
        <v>9</v>
      </c>
    </row>
    <row r="896" spans="1:4" x14ac:dyDescent="0.3">
      <c r="A896" s="4">
        <v>0.18</v>
      </c>
      <c r="B896" s="4">
        <v>0.47</v>
      </c>
      <c r="C896" s="4">
        <v>0.29849999999999999</v>
      </c>
      <c r="D896" s="4">
        <v>2</v>
      </c>
    </row>
    <row r="897" spans="1:4" x14ac:dyDescent="0.3">
      <c r="A897" s="5">
        <v>0.14000000000000001</v>
      </c>
      <c r="B897" s="5">
        <v>0.86</v>
      </c>
      <c r="C897" s="5">
        <v>0.25369999999999998</v>
      </c>
      <c r="D897" s="5">
        <v>1</v>
      </c>
    </row>
    <row r="898" spans="1:4" x14ac:dyDescent="0.3">
      <c r="A898" s="4">
        <v>0.14000000000000001</v>
      </c>
      <c r="B898" s="4">
        <v>0.86</v>
      </c>
      <c r="C898" s="4">
        <v>0.16420000000000001</v>
      </c>
      <c r="D898" s="4">
        <v>0</v>
      </c>
    </row>
    <row r="899" spans="1:4" x14ac:dyDescent="0.3">
      <c r="A899" s="5">
        <v>0.14000000000000001</v>
      </c>
      <c r="B899" s="5">
        <v>0.86</v>
      </c>
      <c r="C899" s="5">
        <v>0.16420000000000001</v>
      </c>
      <c r="D899" s="5">
        <v>0</v>
      </c>
    </row>
    <row r="900" spans="1:4" x14ac:dyDescent="0.3">
      <c r="A900" s="4">
        <v>0.16</v>
      </c>
      <c r="B900" s="4">
        <v>0.8</v>
      </c>
      <c r="C900" s="4">
        <v>0.16420000000000001</v>
      </c>
      <c r="D900" s="4">
        <v>4</v>
      </c>
    </row>
    <row r="901" spans="1:4" x14ac:dyDescent="0.3">
      <c r="A901" s="5">
        <v>0.16</v>
      </c>
      <c r="B901" s="5">
        <v>0.8</v>
      </c>
      <c r="C901" s="5">
        <v>0.19400000000000001</v>
      </c>
      <c r="D901" s="5">
        <v>0</v>
      </c>
    </row>
    <row r="902" spans="1:4" x14ac:dyDescent="0.3">
      <c r="A902" s="4">
        <v>0.14000000000000001</v>
      </c>
      <c r="B902" s="4">
        <v>0.86</v>
      </c>
      <c r="C902" s="4">
        <v>0.19400000000000001</v>
      </c>
      <c r="D902" s="4">
        <v>0</v>
      </c>
    </row>
    <row r="903" spans="1:4" x14ac:dyDescent="0.3">
      <c r="A903" s="5">
        <v>0.14000000000000001</v>
      </c>
      <c r="B903" s="5">
        <v>0.8</v>
      </c>
      <c r="C903" s="5">
        <v>0.1343</v>
      </c>
      <c r="D903" s="5">
        <v>0</v>
      </c>
    </row>
    <row r="904" spans="1:4" x14ac:dyDescent="0.3">
      <c r="A904" s="4">
        <v>0.14000000000000001</v>
      </c>
      <c r="B904" s="4">
        <v>0.8</v>
      </c>
      <c r="C904" s="4">
        <v>0.1343</v>
      </c>
      <c r="D904" s="4">
        <v>0</v>
      </c>
    </row>
    <row r="905" spans="1:4" x14ac:dyDescent="0.3">
      <c r="A905" s="5">
        <v>0.14000000000000001</v>
      </c>
      <c r="B905" s="5">
        <v>0.59</v>
      </c>
      <c r="C905" s="5">
        <v>0.22389999999999999</v>
      </c>
      <c r="D905" s="5">
        <v>0</v>
      </c>
    </row>
    <row r="906" spans="1:4" x14ac:dyDescent="0.3">
      <c r="A906" s="4">
        <v>0.12</v>
      </c>
      <c r="B906" s="4">
        <v>0.5</v>
      </c>
      <c r="C906" s="4">
        <v>0.22389999999999999</v>
      </c>
      <c r="D906" s="4">
        <v>0</v>
      </c>
    </row>
    <row r="907" spans="1:4" x14ac:dyDescent="0.3">
      <c r="A907" s="5">
        <v>0.12</v>
      </c>
      <c r="B907" s="5">
        <v>0.54</v>
      </c>
      <c r="C907" s="5">
        <v>0.28360000000000002</v>
      </c>
      <c r="D907" s="5">
        <v>0</v>
      </c>
    </row>
    <row r="908" spans="1:4" x14ac:dyDescent="0.3">
      <c r="A908" s="4">
        <v>0.1</v>
      </c>
      <c r="B908" s="4">
        <v>0.5</v>
      </c>
      <c r="C908" s="4">
        <v>0.41789999999999999</v>
      </c>
      <c r="D908" s="4">
        <v>0</v>
      </c>
    </row>
    <row r="909" spans="1:4" x14ac:dyDescent="0.3">
      <c r="A909" s="5">
        <v>0.1</v>
      </c>
      <c r="B909" s="5">
        <v>0.49</v>
      </c>
      <c r="C909" s="5">
        <v>0.32840000000000003</v>
      </c>
      <c r="D909" s="5">
        <v>5</v>
      </c>
    </row>
    <row r="910" spans="1:4" x14ac:dyDescent="0.3">
      <c r="A910" s="4">
        <v>0.12</v>
      </c>
      <c r="B910" s="4">
        <v>0.42</v>
      </c>
      <c r="C910" s="4">
        <v>0.35820000000000002</v>
      </c>
      <c r="D910" s="4">
        <v>1</v>
      </c>
    </row>
    <row r="911" spans="1:4" x14ac:dyDescent="0.3">
      <c r="A911" s="5">
        <v>0.12</v>
      </c>
      <c r="B911" s="5">
        <v>0.42</v>
      </c>
      <c r="C911" s="5">
        <v>0.29849999999999999</v>
      </c>
      <c r="D911" s="5">
        <v>1</v>
      </c>
    </row>
    <row r="912" spans="1:4" x14ac:dyDescent="0.3">
      <c r="A912" s="4">
        <v>0.14000000000000001</v>
      </c>
      <c r="B912" s="4">
        <v>0.39</v>
      </c>
      <c r="C912" s="4">
        <v>0.35820000000000002</v>
      </c>
      <c r="D912" s="4">
        <v>1</v>
      </c>
    </row>
    <row r="913" spans="1:4" x14ac:dyDescent="0.3">
      <c r="A913" s="5">
        <v>0.16</v>
      </c>
      <c r="B913" s="5">
        <v>0.34</v>
      </c>
      <c r="C913" s="5">
        <v>0.3881</v>
      </c>
      <c r="D913" s="5">
        <v>4</v>
      </c>
    </row>
    <row r="914" spans="1:4" x14ac:dyDescent="0.3">
      <c r="A914" s="4">
        <v>0.18</v>
      </c>
      <c r="B914" s="4">
        <v>0.28999999999999998</v>
      </c>
      <c r="C914" s="4">
        <v>0.29849999999999999</v>
      </c>
      <c r="D914" s="4">
        <v>3</v>
      </c>
    </row>
    <row r="915" spans="1:4" x14ac:dyDescent="0.3">
      <c r="A915" s="5">
        <v>0.2</v>
      </c>
      <c r="B915" s="5">
        <v>0.27</v>
      </c>
      <c r="C915" s="5">
        <v>0.28360000000000002</v>
      </c>
      <c r="D915" s="5">
        <v>6</v>
      </c>
    </row>
    <row r="916" spans="1:4" x14ac:dyDescent="0.3">
      <c r="A916" s="4">
        <v>0.2</v>
      </c>
      <c r="B916" s="4">
        <v>0.25</v>
      </c>
      <c r="C916" s="4">
        <v>0.25369999999999998</v>
      </c>
      <c r="D916" s="4">
        <v>0</v>
      </c>
    </row>
    <row r="917" spans="1:4" x14ac:dyDescent="0.3">
      <c r="A917" s="5">
        <v>0.2</v>
      </c>
      <c r="B917" s="5">
        <v>0.27</v>
      </c>
      <c r="C917" s="5">
        <v>0.29849999999999999</v>
      </c>
      <c r="D917" s="5">
        <v>4</v>
      </c>
    </row>
    <row r="918" spans="1:4" x14ac:dyDescent="0.3">
      <c r="A918" s="4">
        <v>0.18</v>
      </c>
      <c r="B918" s="4">
        <v>0.26</v>
      </c>
      <c r="C918" s="4">
        <v>0.19400000000000001</v>
      </c>
      <c r="D918" s="4">
        <v>6</v>
      </c>
    </row>
    <row r="919" spans="1:4" x14ac:dyDescent="0.3">
      <c r="A919" s="5">
        <v>0.16</v>
      </c>
      <c r="B919" s="5">
        <v>0.28000000000000003</v>
      </c>
      <c r="C919" s="5">
        <v>0.1343</v>
      </c>
      <c r="D919" s="5">
        <v>3</v>
      </c>
    </row>
    <row r="920" spans="1:4" x14ac:dyDescent="0.3">
      <c r="A920" s="4">
        <v>0.14000000000000001</v>
      </c>
      <c r="B920" s="4">
        <v>0.28000000000000003</v>
      </c>
      <c r="C920" s="4">
        <v>0.1045</v>
      </c>
      <c r="D920" s="4">
        <v>2</v>
      </c>
    </row>
    <row r="921" spans="1:4" x14ac:dyDescent="0.3">
      <c r="A921" s="5">
        <v>0.14000000000000001</v>
      </c>
      <c r="B921" s="5">
        <v>0.31</v>
      </c>
      <c r="C921" s="5">
        <v>8.9599999999999999E-2</v>
      </c>
      <c r="D921" s="5">
        <v>4</v>
      </c>
    </row>
    <row r="922" spans="1:4" x14ac:dyDescent="0.3">
      <c r="A922" s="4">
        <v>0.14000000000000001</v>
      </c>
      <c r="B922" s="4">
        <v>0.39</v>
      </c>
      <c r="C922" s="4">
        <v>0</v>
      </c>
      <c r="D922" s="4">
        <v>2</v>
      </c>
    </row>
    <row r="923" spans="1:4" x14ac:dyDescent="0.3">
      <c r="A923" s="5">
        <v>0.12</v>
      </c>
      <c r="B923" s="5">
        <v>0.39</v>
      </c>
      <c r="C923" s="5">
        <v>0</v>
      </c>
      <c r="D923" s="5">
        <v>4</v>
      </c>
    </row>
    <row r="924" spans="1:4" x14ac:dyDescent="0.3">
      <c r="A924" s="4">
        <v>0.12</v>
      </c>
      <c r="B924" s="4">
        <v>0.42</v>
      </c>
      <c r="C924" s="4">
        <v>0.1045</v>
      </c>
      <c r="D924" s="4">
        <v>1</v>
      </c>
    </row>
    <row r="925" spans="1:4" x14ac:dyDescent="0.3">
      <c r="A925" s="5">
        <v>0.1</v>
      </c>
      <c r="B925" s="5">
        <v>0.49</v>
      </c>
      <c r="C925" s="5">
        <v>0.1045</v>
      </c>
      <c r="D925" s="5">
        <v>2</v>
      </c>
    </row>
    <row r="926" spans="1:4" x14ac:dyDescent="0.3">
      <c r="A926" s="4">
        <v>0.1</v>
      </c>
      <c r="B926" s="4">
        <v>0.54</v>
      </c>
      <c r="C926" s="4">
        <v>8.9599999999999999E-2</v>
      </c>
      <c r="D926" s="4">
        <v>1</v>
      </c>
    </row>
    <row r="927" spans="1:4" x14ac:dyDescent="0.3">
      <c r="A927" s="5">
        <v>0.1</v>
      </c>
      <c r="B927" s="5">
        <v>0.54</v>
      </c>
      <c r="C927" s="5">
        <v>8.9599999999999999E-2</v>
      </c>
      <c r="D927" s="5">
        <v>0</v>
      </c>
    </row>
    <row r="928" spans="1:4" x14ac:dyDescent="0.3">
      <c r="A928" s="4">
        <v>0.08</v>
      </c>
      <c r="B928" s="4">
        <v>0.63</v>
      </c>
      <c r="C928" s="4">
        <v>8.9599999999999999E-2</v>
      </c>
      <c r="D928" s="4">
        <v>0</v>
      </c>
    </row>
    <row r="929" spans="1:4" x14ac:dyDescent="0.3">
      <c r="A929" s="5">
        <v>0.1</v>
      </c>
      <c r="B929" s="5">
        <v>0.68</v>
      </c>
      <c r="C929" s="5">
        <v>0</v>
      </c>
      <c r="D929" s="5">
        <v>1</v>
      </c>
    </row>
    <row r="930" spans="1:4" x14ac:dyDescent="0.3">
      <c r="A930" s="4">
        <v>0.08</v>
      </c>
      <c r="B930" s="4">
        <v>0.73</v>
      </c>
      <c r="C930" s="4">
        <v>0</v>
      </c>
      <c r="D930" s="4">
        <v>1</v>
      </c>
    </row>
    <row r="931" spans="1:4" x14ac:dyDescent="0.3">
      <c r="A931" s="5">
        <v>0.1</v>
      </c>
      <c r="B931" s="5">
        <v>0.74</v>
      </c>
      <c r="C931" s="5">
        <v>0.16420000000000001</v>
      </c>
      <c r="D931" s="5">
        <v>4</v>
      </c>
    </row>
    <row r="932" spans="1:4" x14ac:dyDescent="0.3">
      <c r="A932" s="4">
        <v>0.12</v>
      </c>
      <c r="B932" s="4">
        <v>0.74</v>
      </c>
      <c r="C932" s="4">
        <v>0.22389999999999999</v>
      </c>
      <c r="D932" s="4">
        <v>8</v>
      </c>
    </row>
    <row r="933" spans="1:4" x14ac:dyDescent="0.3">
      <c r="A933" s="5">
        <v>0.14000000000000001</v>
      </c>
      <c r="B933" s="5">
        <v>0.69</v>
      </c>
      <c r="C933" s="5">
        <v>0.19400000000000001</v>
      </c>
      <c r="D933" s="5">
        <v>5</v>
      </c>
    </row>
    <row r="934" spans="1:4" x14ac:dyDescent="0.3">
      <c r="A934" s="4">
        <v>0.22</v>
      </c>
      <c r="B934" s="4">
        <v>0.47</v>
      </c>
      <c r="C934" s="4">
        <v>0.1343</v>
      </c>
      <c r="D934" s="4">
        <v>12</v>
      </c>
    </row>
    <row r="935" spans="1:4" x14ac:dyDescent="0.3">
      <c r="A935" s="5">
        <v>0.22</v>
      </c>
      <c r="B935" s="5">
        <v>0.47</v>
      </c>
      <c r="C935" s="5">
        <v>0.1343</v>
      </c>
      <c r="D935" s="5">
        <v>7</v>
      </c>
    </row>
    <row r="936" spans="1:4" x14ac:dyDescent="0.3">
      <c r="A936" s="4">
        <v>0.24</v>
      </c>
      <c r="B936" s="4">
        <v>0.35</v>
      </c>
      <c r="C936" s="4">
        <v>0.19400000000000001</v>
      </c>
      <c r="D936" s="4">
        <v>21</v>
      </c>
    </row>
    <row r="937" spans="1:4" x14ac:dyDescent="0.3">
      <c r="A937" s="5">
        <v>0.3</v>
      </c>
      <c r="B937" s="5">
        <v>0.26</v>
      </c>
      <c r="C937" s="5">
        <v>0.25369999999999998</v>
      </c>
      <c r="D937" s="5">
        <v>17</v>
      </c>
    </row>
    <row r="938" spans="1:4" x14ac:dyDescent="0.3">
      <c r="A938" s="4">
        <v>0.32</v>
      </c>
      <c r="B938" s="4">
        <v>0.21</v>
      </c>
      <c r="C938" s="4">
        <v>0.16420000000000001</v>
      </c>
      <c r="D938" s="4">
        <v>12</v>
      </c>
    </row>
    <row r="939" spans="1:4" x14ac:dyDescent="0.3">
      <c r="A939" s="5">
        <v>0.3</v>
      </c>
      <c r="B939" s="5">
        <v>0.28000000000000003</v>
      </c>
      <c r="C939" s="5">
        <v>0.19400000000000001</v>
      </c>
      <c r="D939" s="5">
        <v>14</v>
      </c>
    </row>
    <row r="940" spans="1:4" x14ac:dyDescent="0.3">
      <c r="A940" s="4">
        <v>0.3</v>
      </c>
      <c r="B940" s="4">
        <v>0.24</v>
      </c>
      <c r="C940" s="4">
        <v>0</v>
      </c>
      <c r="D940" s="4">
        <v>18</v>
      </c>
    </row>
    <row r="941" spans="1:4" x14ac:dyDescent="0.3">
      <c r="A941" s="5">
        <v>0.28000000000000003</v>
      </c>
      <c r="B941" s="5">
        <v>0.28000000000000003</v>
      </c>
      <c r="C941" s="5">
        <v>0</v>
      </c>
      <c r="D941" s="5">
        <v>9</v>
      </c>
    </row>
    <row r="942" spans="1:4" x14ac:dyDescent="0.3">
      <c r="A942" s="4">
        <v>0.26</v>
      </c>
      <c r="B942" s="4">
        <v>0.33</v>
      </c>
      <c r="C942" s="4">
        <v>0</v>
      </c>
      <c r="D942" s="4">
        <v>7</v>
      </c>
    </row>
    <row r="943" spans="1:4" x14ac:dyDescent="0.3">
      <c r="A943" s="5">
        <v>0.22</v>
      </c>
      <c r="B943" s="5">
        <v>0.55000000000000004</v>
      </c>
      <c r="C943" s="5">
        <v>0.1343</v>
      </c>
      <c r="D943" s="5">
        <v>2</v>
      </c>
    </row>
    <row r="944" spans="1:4" x14ac:dyDescent="0.3">
      <c r="A944" s="4">
        <v>0.2</v>
      </c>
      <c r="B944" s="4">
        <v>0.59</v>
      </c>
      <c r="C944" s="4">
        <v>0.1343</v>
      </c>
      <c r="D944" s="4">
        <v>1</v>
      </c>
    </row>
    <row r="945" spans="1:4" x14ac:dyDescent="0.3">
      <c r="A945" s="5">
        <v>0.2</v>
      </c>
      <c r="B945" s="5">
        <v>0.64</v>
      </c>
      <c r="C945" s="5">
        <v>8.9599999999999999E-2</v>
      </c>
      <c r="D945" s="5">
        <v>2</v>
      </c>
    </row>
    <row r="946" spans="1:4" x14ac:dyDescent="0.3">
      <c r="A946" s="4">
        <v>0.18</v>
      </c>
      <c r="B946" s="4">
        <v>0.69</v>
      </c>
      <c r="C946" s="4">
        <v>0</v>
      </c>
      <c r="D946" s="4">
        <v>5</v>
      </c>
    </row>
    <row r="947" spans="1:4" x14ac:dyDescent="0.3">
      <c r="A947" s="5">
        <v>0.16</v>
      </c>
      <c r="B947" s="5">
        <v>0.69</v>
      </c>
      <c r="C947" s="5">
        <v>8.9599999999999999E-2</v>
      </c>
      <c r="D947" s="5">
        <v>3</v>
      </c>
    </row>
    <row r="948" spans="1:4" x14ac:dyDescent="0.3">
      <c r="A948" s="4">
        <v>0.14000000000000001</v>
      </c>
      <c r="B948" s="4">
        <v>0.86</v>
      </c>
      <c r="C948" s="4">
        <v>0</v>
      </c>
      <c r="D948" s="4">
        <v>2</v>
      </c>
    </row>
    <row r="949" spans="1:4" x14ac:dyDescent="0.3">
      <c r="A949" s="5">
        <v>0.14000000000000001</v>
      </c>
      <c r="B949" s="5">
        <v>0.8</v>
      </c>
      <c r="C949" s="5">
        <v>0</v>
      </c>
      <c r="D949" s="5">
        <v>2</v>
      </c>
    </row>
    <row r="950" spans="1:4" x14ac:dyDescent="0.3">
      <c r="A950" s="4">
        <v>0.12</v>
      </c>
      <c r="B950" s="4">
        <v>0.8</v>
      </c>
      <c r="C950" s="4">
        <v>0</v>
      </c>
      <c r="D950" s="4">
        <v>3</v>
      </c>
    </row>
    <row r="951" spans="1:4" x14ac:dyDescent="0.3">
      <c r="A951" s="5">
        <v>0.12</v>
      </c>
      <c r="B951" s="5">
        <v>0.74</v>
      </c>
      <c r="C951" s="5">
        <v>8.9599999999999999E-2</v>
      </c>
      <c r="D951" s="5">
        <v>0</v>
      </c>
    </row>
    <row r="952" spans="1:4" x14ac:dyDescent="0.3">
      <c r="A952" s="4">
        <v>0.12</v>
      </c>
      <c r="B952" s="4">
        <v>0.74</v>
      </c>
      <c r="C952" s="4">
        <v>8.9599999999999999E-2</v>
      </c>
      <c r="D952" s="4">
        <v>0</v>
      </c>
    </row>
    <row r="953" spans="1:4" x14ac:dyDescent="0.3">
      <c r="A953" s="5">
        <v>0.12</v>
      </c>
      <c r="B953" s="5">
        <v>0.93</v>
      </c>
      <c r="C953" s="5">
        <v>0.19400000000000001</v>
      </c>
      <c r="D953" s="5">
        <v>1</v>
      </c>
    </row>
    <row r="954" spans="1:4" x14ac:dyDescent="0.3">
      <c r="A954" s="4">
        <v>0.12</v>
      </c>
      <c r="B954" s="4">
        <v>0.8</v>
      </c>
      <c r="C954" s="4">
        <v>0.1045</v>
      </c>
      <c r="D954" s="4">
        <v>2</v>
      </c>
    </row>
    <row r="955" spans="1:4" x14ac:dyDescent="0.3">
      <c r="A955" s="5">
        <v>0.14000000000000001</v>
      </c>
      <c r="B955" s="5">
        <v>0.86</v>
      </c>
      <c r="C955" s="5">
        <v>0.1343</v>
      </c>
      <c r="D955" s="5">
        <v>2</v>
      </c>
    </row>
    <row r="956" spans="1:4" x14ac:dyDescent="0.3">
      <c r="A956" s="4">
        <v>0.16</v>
      </c>
      <c r="B956" s="4">
        <v>0.64</v>
      </c>
      <c r="C956" s="4">
        <v>0.1343</v>
      </c>
      <c r="D956" s="4">
        <v>5</v>
      </c>
    </row>
    <row r="957" spans="1:4" x14ac:dyDescent="0.3">
      <c r="A957" s="5">
        <v>0.22</v>
      </c>
      <c r="B957" s="5">
        <v>0.41</v>
      </c>
      <c r="C957" s="5">
        <v>0.25369999999999998</v>
      </c>
      <c r="D957" s="5">
        <v>13</v>
      </c>
    </row>
    <row r="958" spans="1:4" x14ac:dyDescent="0.3">
      <c r="A958" s="4">
        <v>0.3</v>
      </c>
      <c r="B958" s="4">
        <v>0.28000000000000003</v>
      </c>
      <c r="C958" s="4">
        <v>0.32840000000000003</v>
      </c>
      <c r="D958" s="4">
        <v>30</v>
      </c>
    </row>
    <row r="959" spans="1:4" x14ac:dyDescent="0.3">
      <c r="A959" s="5">
        <v>0.3</v>
      </c>
      <c r="B959" s="5">
        <v>0.39</v>
      </c>
      <c r="C959" s="5">
        <v>0.4627</v>
      </c>
      <c r="D959" s="5">
        <v>27</v>
      </c>
    </row>
    <row r="960" spans="1:4" x14ac:dyDescent="0.3">
      <c r="A960" s="4">
        <v>0.3</v>
      </c>
      <c r="B960" s="4">
        <v>0.39</v>
      </c>
      <c r="C960" s="4">
        <v>0.41789999999999999</v>
      </c>
      <c r="D960" s="4">
        <v>32</v>
      </c>
    </row>
    <row r="961" spans="1:4" x14ac:dyDescent="0.3">
      <c r="A961" s="5">
        <v>0.34</v>
      </c>
      <c r="B961" s="5">
        <v>0.31</v>
      </c>
      <c r="C961" s="5">
        <v>0.28360000000000002</v>
      </c>
      <c r="D961" s="5">
        <v>30</v>
      </c>
    </row>
    <row r="962" spans="1:4" x14ac:dyDescent="0.3">
      <c r="A962" s="4">
        <v>0.34</v>
      </c>
      <c r="B962" s="4">
        <v>0.28999999999999998</v>
      </c>
      <c r="C962" s="4">
        <v>0.41789999999999999</v>
      </c>
      <c r="D962" s="4">
        <v>47</v>
      </c>
    </row>
    <row r="963" spans="1:4" x14ac:dyDescent="0.3">
      <c r="A963" s="5">
        <v>0.34</v>
      </c>
      <c r="B963" s="5">
        <v>0.28999999999999998</v>
      </c>
      <c r="C963" s="5">
        <v>0.41789999999999999</v>
      </c>
      <c r="D963" s="5">
        <v>42</v>
      </c>
    </row>
    <row r="964" spans="1:4" x14ac:dyDescent="0.3">
      <c r="A964" s="4">
        <v>0.32</v>
      </c>
      <c r="B964" s="4">
        <v>0.31</v>
      </c>
      <c r="C964" s="4">
        <v>0.52239999999999998</v>
      </c>
      <c r="D964" s="4">
        <v>24</v>
      </c>
    </row>
    <row r="965" spans="1:4" x14ac:dyDescent="0.3">
      <c r="A965" s="5">
        <v>0.28000000000000003</v>
      </c>
      <c r="B965" s="5">
        <v>0.38</v>
      </c>
      <c r="C965" s="5">
        <v>0.32840000000000003</v>
      </c>
      <c r="D965" s="5">
        <v>4</v>
      </c>
    </row>
    <row r="966" spans="1:4" x14ac:dyDescent="0.3">
      <c r="A966" s="4">
        <v>0.28000000000000003</v>
      </c>
      <c r="B966" s="4">
        <v>0.38</v>
      </c>
      <c r="C966" s="4">
        <v>0.16420000000000001</v>
      </c>
      <c r="D966" s="4">
        <v>2</v>
      </c>
    </row>
    <row r="967" spans="1:4" x14ac:dyDescent="0.3">
      <c r="A967" s="5">
        <v>0.26</v>
      </c>
      <c r="B967" s="5">
        <v>0.41</v>
      </c>
      <c r="C967" s="5">
        <v>0.22389999999999999</v>
      </c>
      <c r="D967" s="5">
        <v>1</v>
      </c>
    </row>
    <row r="968" spans="1:4" x14ac:dyDescent="0.3">
      <c r="A968" s="4">
        <v>0.26</v>
      </c>
      <c r="B968" s="4">
        <v>0.41</v>
      </c>
      <c r="C968" s="4">
        <v>0</v>
      </c>
      <c r="D968" s="4">
        <v>9</v>
      </c>
    </row>
    <row r="969" spans="1:4" x14ac:dyDescent="0.3">
      <c r="A969" s="5">
        <v>0.24</v>
      </c>
      <c r="B969" s="5">
        <v>0.44</v>
      </c>
      <c r="C969" s="5">
        <v>8.9599999999999999E-2</v>
      </c>
      <c r="D969" s="5">
        <v>6</v>
      </c>
    </row>
    <row r="970" spans="1:4" x14ac:dyDescent="0.3">
      <c r="A970" s="4">
        <v>0.22</v>
      </c>
      <c r="B970" s="4">
        <v>0.51</v>
      </c>
      <c r="C970" s="4">
        <v>0.1343</v>
      </c>
      <c r="D970" s="4">
        <v>1</v>
      </c>
    </row>
    <row r="971" spans="1:4" x14ac:dyDescent="0.3">
      <c r="A971" s="5">
        <v>0.2</v>
      </c>
      <c r="B971" s="5">
        <v>0.64</v>
      </c>
      <c r="C971" s="5">
        <v>0.1045</v>
      </c>
      <c r="D971" s="5">
        <v>5</v>
      </c>
    </row>
    <row r="972" spans="1:4" x14ac:dyDescent="0.3">
      <c r="A972" s="4">
        <v>0.2</v>
      </c>
      <c r="B972" s="4">
        <v>0.59</v>
      </c>
      <c r="C972" s="4">
        <v>8.9599999999999999E-2</v>
      </c>
      <c r="D972" s="4">
        <v>1</v>
      </c>
    </row>
    <row r="973" spans="1:4" x14ac:dyDescent="0.3">
      <c r="A973" s="5">
        <v>0.2</v>
      </c>
      <c r="B973" s="5">
        <v>0.75</v>
      </c>
      <c r="C973" s="5">
        <v>8.9599999999999999E-2</v>
      </c>
      <c r="D973" s="5">
        <v>1</v>
      </c>
    </row>
    <row r="974" spans="1:4" x14ac:dyDescent="0.3">
      <c r="A974" s="4">
        <v>0.2</v>
      </c>
      <c r="B974" s="4">
        <v>0.69</v>
      </c>
      <c r="C974" s="4">
        <v>0.1045</v>
      </c>
      <c r="D974" s="4">
        <v>4</v>
      </c>
    </row>
    <row r="975" spans="1:4" x14ac:dyDescent="0.3">
      <c r="A975" s="5">
        <v>0.2</v>
      </c>
      <c r="B975" s="5">
        <v>0.69</v>
      </c>
      <c r="C975" s="5">
        <v>0.16420000000000001</v>
      </c>
      <c r="D975" s="5">
        <v>0</v>
      </c>
    </row>
    <row r="976" spans="1:4" x14ac:dyDescent="0.3">
      <c r="A976" s="4">
        <v>0.2</v>
      </c>
      <c r="B976" s="4">
        <v>0.69</v>
      </c>
      <c r="C976" s="4">
        <v>0.1343</v>
      </c>
      <c r="D976" s="4">
        <v>2</v>
      </c>
    </row>
    <row r="977" spans="1:4" x14ac:dyDescent="0.3">
      <c r="A977" s="5">
        <v>0.22</v>
      </c>
      <c r="B977" s="5">
        <v>0.55000000000000004</v>
      </c>
      <c r="C977" s="5">
        <v>0</v>
      </c>
      <c r="D977" s="5">
        <v>0</v>
      </c>
    </row>
    <row r="978" spans="1:4" x14ac:dyDescent="0.3">
      <c r="A978" s="4">
        <v>0.22</v>
      </c>
      <c r="B978" s="4">
        <v>0.64</v>
      </c>
      <c r="C978" s="4">
        <v>0.19400000000000001</v>
      </c>
      <c r="D978" s="4">
        <v>1</v>
      </c>
    </row>
    <row r="979" spans="1:4" x14ac:dyDescent="0.3">
      <c r="A979" s="5">
        <v>0.24</v>
      </c>
      <c r="B979" s="5">
        <v>0.6</v>
      </c>
      <c r="C979" s="5">
        <v>0.22389999999999999</v>
      </c>
      <c r="D979" s="5">
        <v>12</v>
      </c>
    </row>
    <row r="980" spans="1:4" x14ac:dyDescent="0.3">
      <c r="A980" s="4">
        <v>0.3</v>
      </c>
      <c r="B980" s="4">
        <v>0.45</v>
      </c>
      <c r="C980" s="4">
        <v>0.32840000000000003</v>
      </c>
      <c r="D980" s="4">
        <v>19</v>
      </c>
    </row>
    <row r="981" spans="1:4" x14ac:dyDescent="0.3">
      <c r="A981" s="5">
        <v>0.32</v>
      </c>
      <c r="B981" s="5">
        <v>0.39</v>
      </c>
      <c r="C981" s="5">
        <v>0.44779999999999998</v>
      </c>
      <c r="D981" s="5">
        <v>26</v>
      </c>
    </row>
    <row r="982" spans="1:4" x14ac:dyDescent="0.3">
      <c r="A982" s="4">
        <v>0.36</v>
      </c>
      <c r="B982" s="4">
        <v>0.32</v>
      </c>
      <c r="C982" s="4">
        <v>0.4627</v>
      </c>
      <c r="D982" s="4">
        <v>58</v>
      </c>
    </row>
    <row r="983" spans="1:4" x14ac:dyDescent="0.3">
      <c r="A983" s="5">
        <v>0.38</v>
      </c>
      <c r="B983" s="5">
        <v>0.28999999999999998</v>
      </c>
      <c r="C983" s="5">
        <v>0.35820000000000002</v>
      </c>
      <c r="D983" s="5">
        <v>62</v>
      </c>
    </row>
    <row r="984" spans="1:4" x14ac:dyDescent="0.3">
      <c r="A984" s="4">
        <v>0.4</v>
      </c>
      <c r="B984" s="4">
        <v>0.3</v>
      </c>
      <c r="C984" s="4">
        <v>0.41789999999999999</v>
      </c>
      <c r="D984" s="4">
        <v>51</v>
      </c>
    </row>
    <row r="985" spans="1:4" x14ac:dyDescent="0.3">
      <c r="A985" s="5">
        <v>0.4</v>
      </c>
      <c r="B985" s="5">
        <v>0.3</v>
      </c>
      <c r="C985" s="5">
        <v>0.29849999999999999</v>
      </c>
      <c r="D985" s="5">
        <v>40</v>
      </c>
    </row>
    <row r="986" spans="1:4" x14ac:dyDescent="0.3">
      <c r="A986" s="4">
        <v>0.42</v>
      </c>
      <c r="B986" s="4">
        <v>0.28000000000000003</v>
      </c>
      <c r="C986" s="4">
        <v>0.32840000000000003</v>
      </c>
      <c r="D986" s="4">
        <v>28</v>
      </c>
    </row>
    <row r="987" spans="1:4" x14ac:dyDescent="0.3">
      <c r="A987" s="5">
        <v>0.42</v>
      </c>
      <c r="B987" s="5">
        <v>0.28000000000000003</v>
      </c>
      <c r="C987" s="5">
        <v>0.32840000000000003</v>
      </c>
      <c r="D987" s="5">
        <v>30</v>
      </c>
    </row>
    <row r="988" spans="1:4" x14ac:dyDescent="0.3">
      <c r="A988" s="4">
        <v>0.4</v>
      </c>
      <c r="B988" s="4">
        <v>0.32</v>
      </c>
      <c r="C988" s="4">
        <v>0.29849999999999999</v>
      </c>
      <c r="D988" s="4">
        <v>17</v>
      </c>
    </row>
    <row r="989" spans="1:4" x14ac:dyDescent="0.3">
      <c r="A989" s="5">
        <v>0.4</v>
      </c>
      <c r="B989" s="5">
        <v>0.35</v>
      </c>
      <c r="C989" s="5">
        <v>0.28360000000000002</v>
      </c>
      <c r="D989" s="5">
        <v>11</v>
      </c>
    </row>
    <row r="990" spans="1:4" x14ac:dyDescent="0.3">
      <c r="A990" s="4">
        <v>0.4</v>
      </c>
      <c r="B990" s="4">
        <v>0.35</v>
      </c>
      <c r="C990" s="4">
        <v>0.32840000000000003</v>
      </c>
      <c r="D990" s="4">
        <v>15</v>
      </c>
    </row>
    <row r="991" spans="1:4" x14ac:dyDescent="0.3">
      <c r="A991" s="5">
        <v>0.4</v>
      </c>
      <c r="B991" s="5">
        <v>0.35</v>
      </c>
      <c r="C991" s="5">
        <v>0.35820000000000002</v>
      </c>
      <c r="D991" s="5">
        <v>6</v>
      </c>
    </row>
    <row r="992" spans="1:4" x14ac:dyDescent="0.3">
      <c r="A992" s="4">
        <v>0.4</v>
      </c>
      <c r="B992" s="4">
        <v>0.35</v>
      </c>
      <c r="C992" s="4">
        <v>0.29849999999999999</v>
      </c>
      <c r="D992" s="4">
        <v>5</v>
      </c>
    </row>
    <row r="993" spans="1:4" x14ac:dyDescent="0.3">
      <c r="A993" s="5">
        <v>0.4</v>
      </c>
      <c r="B993" s="5">
        <v>0.35</v>
      </c>
      <c r="C993" s="5">
        <v>0.35820000000000002</v>
      </c>
      <c r="D993" s="5">
        <v>3</v>
      </c>
    </row>
    <row r="994" spans="1:4" x14ac:dyDescent="0.3">
      <c r="A994" s="4">
        <v>0.38</v>
      </c>
      <c r="B994" s="4">
        <v>0.37</v>
      </c>
      <c r="C994" s="4">
        <v>0.35820000000000002</v>
      </c>
      <c r="D994" s="4">
        <v>3</v>
      </c>
    </row>
    <row r="995" spans="1:4" x14ac:dyDescent="0.3">
      <c r="A995" s="5">
        <v>0.38</v>
      </c>
      <c r="B995" s="5">
        <v>0.37</v>
      </c>
      <c r="C995" s="5">
        <v>0.35820000000000002</v>
      </c>
      <c r="D995" s="5">
        <v>1</v>
      </c>
    </row>
    <row r="996" spans="1:4" x14ac:dyDescent="0.3">
      <c r="A996" s="4">
        <v>0.36</v>
      </c>
      <c r="B996" s="4">
        <v>0.4</v>
      </c>
      <c r="C996" s="4">
        <v>0.29849999999999999</v>
      </c>
      <c r="D996" s="4">
        <v>0</v>
      </c>
    </row>
    <row r="997" spans="1:4" x14ac:dyDescent="0.3">
      <c r="A997" s="5">
        <v>0.34</v>
      </c>
      <c r="B997" s="5">
        <v>0.46</v>
      </c>
      <c r="C997" s="5">
        <v>0.22389999999999999</v>
      </c>
      <c r="D997" s="5">
        <v>1</v>
      </c>
    </row>
    <row r="998" spans="1:4" x14ac:dyDescent="0.3">
      <c r="A998" s="4">
        <v>0.32</v>
      </c>
      <c r="B998" s="4">
        <v>0.53</v>
      </c>
      <c r="C998" s="4">
        <v>0.28360000000000002</v>
      </c>
      <c r="D998" s="4">
        <v>0</v>
      </c>
    </row>
    <row r="999" spans="1:4" x14ac:dyDescent="0.3">
      <c r="A999" s="5">
        <v>0.32</v>
      </c>
      <c r="B999" s="5">
        <v>0.53</v>
      </c>
      <c r="C999" s="5">
        <v>0.28360000000000002</v>
      </c>
      <c r="D999" s="5">
        <v>0</v>
      </c>
    </row>
    <row r="1000" spans="1:4" x14ac:dyDescent="0.3">
      <c r="A1000" s="4">
        <v>0.34</v>
      </c>
      <c r="B1000" s="4">
        <v>0.46</v>
      </c>
      <c r="C1000" s="4">
        <v>0.29849999999999999</v>
      </c>
      <c r="D1000" s="4">
        <v>1</v>
      </c>
    </row>
    <row r="1001" spans="1:4" x14ac:dyDescent="0.3">
      <c r="A1001" s="5">
        <v>0.34</v>
      </c>
      <c r="B1001" s="5">
        <v>0.46</v>
      </c>
      <c r="C1001" s="5">
        <v>0.29849999999999999</v>
      </c>
      <c r="D1001" s="5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E5EE-D5C8-40DA-9976-459285BFDB87}">
  <dimension ref="A1:S1001"/>
  <sheetViews>
    <sheetView tabSelected="1" workbookViewId="0">
      <selection activeCell="L15" sqref="L15"/>
    </sheetView>
  </sheetViews>
  <sheetFormatPr defaultRowHeight="14.4" x14ac:dyDescent="0.3"/>
  <cols>
    <col min="1" max="1" width="10.5546875" customWidth="1"/>
    <col min="3" max="3" width="11.33203125" customWidth="1"/>
    <col min="7" max="7" width="11.77734375" bestFit="1" customWidth="1"/>
    <col min="8" max="8" width="16" bestFit="1" customWidth="1"/>
    <col min="9" max="9" width="40.33203125" bestFit="1" customWidth="1"/>
  </cols>
  <sheetData>
    <row r="1" spans="1:19" x14ac:dyDescent="0.3">
      <c r="A1" s="3" t="s">
        <v>26</v>
      </c>
      <c r="B1" t="s">
        <v>15</v>
      </c>
      <c r="C1" s="3" t="s">
        <v>16</v>
      </c>
      <c r="D1" s="3" t="s">
        <v>17</v>
      </c>
    </row>
    <row r="2" spans="1:19" x14ac:dyDescent="0.3">
      <c r="A2" t="str" cm="1">
        <f t="array" ref="A2">_xlfn.IFS(Append1[[#This Row],[weekday cnt]]=0,"Weekend",Append1[[#This Row],[weekday cnt]]=6,"Weekend",Append1[[#This Row],[weekday cnt]]&gt;0,"Weekday")</f>
        <v>Weekend</v>
      </c>
      <c r="B2" s="4">
        <v>3</v>
      </c>
      <c r="C2" s="4">
        <v>13</v>
      </c>
      <c r="D2" s="4">
        <v>16</v>
      </c>
    </row>
    <row r="3" spans="1:19" x14ac:dyDescent="0.3">
      <c r="A3" t="str" cm="1">
        <f t="array" ref="A3">_xlfn.IFS(Append1[[#This Row],[weekday cnt]]=0,"Weekend",Append1[[#This Row],[weekday cnt]]=6,"Weekend",Append1[[#This Row],[weekday cnt]]&gt;0,"Weekday")</f>
        <v>Weekend</v>
      </c>
      <c r="B3" s="5">
        <v>8</v>
      </c>
      <c r="C3" s="5">
        <v>32</v>
      </c>
      <c r="D3" s="5">
        <v>40</v>
      </c>
    </row>
    <row r="4" spans="1:19" x14ac:dyDescent="0.3">
      <c r="A4" t="str" cm="1">
        <f t="array" ref="A4">_xlfn.IFS(Append1[[#This Row],[weekday cnt]]=0,"Weekend",Append1[[#This Row],[weekday cnt]]=6,"Weekend",Append1[[#This Row],[weekday cnt]]&gt;0,"Weekday")</f>
        <v>Weekend</v>
      </c>
      <c r="B4" s="4">
        <v>5</v>
      </c>
      <c r="C4" s="4">
        <v>27</v>
      </c>
      <c r="D4" s="4">
        <v>32</v>
      </c>
    </row>
    <row r="5" spans="1:19" x14ac:dyDescent="0.3">
      <c r="A5" t="str" cm="1">
        <f t="array" ref="A5">_xlfn.IFS(Append1[[#This Row],[weekday cnt]]=0,"Weekend",Append1[[#This Row],[weekday cnt]]=6,"Weekend",Append1[[#This Row],[weekday cnt]]&gt;0,"Weekday")</f>
        <v>Weekend</v>
      </c>
      <c r="B5" s="5">
        <v>3</v>
      </c>
      <c r="C5" s="5">
        <v>10</v>
      </c>
      <c r="D5" s="5">
        <v>13</v>
      </c>
      <c r="F5" s="52" t="s">
        <v>55</v>
      </c>
      <c r="G5" s="53"/>
      <c r="H5" s="54"/>
      <c r="I5" s="26" t="s">
        <v>41</v>
      </c>
    </row>
    <row r="6" spans="1:19" x14ac:dyDescent="0.3">
      <c r="A6" t="str" cm="1">
        <f t="array" ref="A6">_xlfn.IFS(Append1[[#This Row],[weekday cnt]]=0,"Weekend",Append1[[#This Row],[weekday cnt]]=6,"Weekend",Append1[[#This Row],[weekday cnt]]&gt;0,"Weekday")</f>
        <v>Weekend</v>
      </c>
      <c r="B6" s="4">
        <v>0</v>
      </c>
      <c r="C6" s="4">
        <v>1</v>
      </c>
      <c r="D6" s="4">
        <v>1</v>
      </c>
      <c r="F6" s="23" t="s">
        <v>26</v>
      </c>
      <c r="G6" s="23" t="s">
        <v>53</v>
      </c>
      <c r="H6" s="23" t="s">
        <v>54</v>
      </c>
      <c r="I6" s="22"/>
    </row>
    <row r="7" spans="1:19" x14ac:dyDescent="0.3">
      <c r="A7" t="str" cm="1">
        <f t="array" ref="A7">_xlfn.IFS(Append1[[#This Row],[weekday cnt]]=0,"Weekend",Append1[[#This Row],[weekday cnt]]=6,"Weekend",Append1[[#This Row],[weekday cnt]]&gt;0,"Weekday")</f>
        <v>Weekend</v>
      </c>
      <c r="B7" s="5">
        <v>0</v>
      </c>
      <c r="C7" s="5">
        <v>1</v>
      </c>
      <c r="D7" s="5">
        <v>1</v>
      </c>
      <c r="F7" s="23" t="s">
        <v>40</v>
      </c>
      <c r="G7" s="27">
        <f>DSUM(Table9[#All],2,F6:F7)</f>
        <v>2702</v>
      </c>
      <c r="H7" s="27">
        <f>DAVERAGE(Table9[#All],2,F6:F7)</f>
        <v>8.1878787878787875</v>
      </c>
      <c r="I7" s="27" t="s">
        <v>58</v>
      </c>
    </row>
    <row r="8" spans="1:19" x14ac:dyDescent="0.3">
      <c r="A8" t="str" cm="1">
        <f t="array" ref="A8">_xlfn.IFS(Append1[[#This Row],[weekday cnt]]=0,"Weekend",Append1[[#This Row],[weekday cnt]]=6,"Weekend",Append1[[#This Row],[weekday cnt]]&gt;0,"Weekday")</f>
        <v>Weekend</v>
      </c>
      <c r="B8" s="4">
        <v>2</v>
      </c>
      <c r="C8" s="4">
        <v>0</v>
      </c>
      <c r="D8" s="4">
        <v>2</v>
      </c>
      <c r="F8" s="22" t="s">
        <v>26</v>
      </c>
      <c r="G8" s="22" t="s">
        <v>53</v>
      </c>
      <c r="H8" s="22" t="s">
        <v>54</v>
      </c>
      <c r="I8" s="22"/>
    </row>
    <row r="9" spans="1:19" x14ac:dyDescent="0.3">
      <c r="A9" t="str" cm="1">
        <f t="array" ref="A9">_xlfn.IFS(Append1[[#This Row],[weekday cnt]]=0,"Weekend",Append1[[#This Row],[weekday cnt]]=6,"Weekend",Append1[[#This Row],[weekday cnt]]&gt;0,"Weekday")</f>
        <v>Weekend</v>
      </c>
      <c r="B9" s="5">
        <v>1</v>
      </c>
      <c r="C9" s="5">
        <v>2</v>
      </c>
      <c r="D9" s="5">
        <v>3</v>
      </c>
      <c r="F9" s="23" t="s">
        <v>22</v>
      </c>
      <c r="G9" s="27">
        <f>DSUM(Table9[#All],2,F8:F9)</f>
        <v>2219</v>
      </c>
      <c r="H9" s="27">
        <f>DAVERAGE(Table9[#All],2,F8:F9)</f>
        <v>3.3119402985074626</v>
      </c>
      <c r="I9" s="27" t="s">
        <v>59</v>
      </c>
      <c r="S9" s="2"/>
    </row>
    <row r="10" spans="1:19" x14ac:dyDescent="0.3">
      <c r="A10" t="str" cm="1">
        <f t="array" ref="A10">_xlfn.IFS(Append1[[#This Row],[weekday cnt]]=0,"Weekend",Append1[[#This Row],[weekday cnt]]=6,"Weekend",Append1[[#This Row],[weekday cnt]]&gt;0,"Weekday")</f>
        <v>Weekend</v>
      </c>
      <c r="B10" s="4">
        <v>1</v>
      </c>
      <c r="C10" s="4">
        <v>7</v>
      </c>
      <c r="D10" s="4">
        <v>8</v>
      </c>
    </row>
    <row r="11" spans="1:19" x14ac:dyDescent="0.3">
      <c r="A11" t="str" cm="1">
        <f t="array" ref="A11">_xlfn.IFS(Append1[[#This Row],[weekday cnt]]=0,"Weekend",Append1[[#This Row],[weekday cnt]]=6,"Weekend",Append1[[#This Row],[weekday cnt]]&gt;0,"Weekday")</f>
        <v>Weekend</v>
      </c>
      <c r="B11" s="5">
        <v>8</v>
      </c>
      <c r="C11" s="5">
        <v>6</v>
      </c>
      <c r="D11" s="5">
        <v>14</v>
      </c>
    </row>
    <row r="12" spans="1:19" x14ac:dyDescent="0.3">
      <c r="A12" t="str" cm="1">
        <f t="array" ref="A12">_xlfn.IFS(Append1[[#This Row],[weekday cnt]]=0,"Weekend",Append1[[#This Row],[weekday cnt]]=6,"Weekend",Append1[[#This Row],[weekday cnt]]&gt;0,"Weekday")</f>
        <v>Weekend</v>
      </c>
      <c r="B12" s="4">
        <v>12</v>
      </c>
      <c r="C12" s="4">
        <v>24</v>
      </c>
      <c r="D12" s="4">
        <v>36</v>
      </c>
      <c r="F12" s="55" t="s">
        <v>56</v>
      </c>
      <c r="G12" s="55"/>
      <c r="H12" s="55"/>
      <c r="I12" s="26" t="s">
        <v>41</v>
      </c>
    </row>
    <row r="13" spans="1:19" x14ac:dyDescent="0.3">
      <c r="A13" t="str" cm="1">
        <f t="array" ref="A13">_xlfn.IFS(Append1[[#This Row],[weekday cnt]]=0,"Weekend",Append1[[#This Row],[weekday cnt]]=6,"Weekend",Append1[[#This Row],[weekday cnt]]&gt;0,"Weekday")</f>
        <v>Weekend</v>
      </c>
      <c r="B13" s="5">
        <v>26</v>
      </c>
      <c r="C13" s="5">
        <v>30</v>
      </c>
      <c r="D13" s="5">
        <v>56</v>
      </c>
      <c r="F13" s="23" t="s">
        <v>26</v>
      </c>
      <c r="G13" s="23" t="s">
        <v>53</v>
      </c>
      <c r="H13" s="23" t="s">
        <v>54</v>
      </c>
      <c r="I13" s="22"/>
    </row>
    <row r="14" spans="1:19" x14ac:dyDescent="0.3">
      <c r="A14" t="str" cm="1">
        <f t="array" ref="A14">_xlfn.IFS(Append1[[#This Row],[weekday cnt]]=0,"Weekend",Append1[[#This Row],[weekday cnt]]=6,"Weekend",Append1[[#This Row],[weekday cnt]]&gt;0,"Weekday")</f>
        <v>Weekend</v>
      </c>
      <c r="B14" s="4">
        <v>29</v>
      </c>
      <c r="C14" s="4">
        <v>55</v>
      </c>
      <c r="D14" s="4">
        <v>84</v>
      </c>
      <c r="F14" s="23" t="s">
        <v>40</v>
      </c>
      <c r="G14" s="27">
        <f>DSUM(Table9[#All],3,F13:F14)</f>
        <v>13167</v>
      </c>
      <c r="H14" s="27">
        <f>DAVERAGE(Table9[#All],3,F13:F14)</f>
        <v>39.9</v>
      </c>
      <c r="I14" s="27" t="s">
        <v>59</v>
      </c>
    </row>
    <row r="15" spans="1:19" x14ac:dyDescent="0.3">
      <c r="A15" t="str" cm="1">
        <f t="array" ref="A15">_xlfn.IFS(Append1[[#This Row],[weekday cnt]]=0,"Weekend",Append1[[#This Row],[weekday cnt]]=6,"Weekend",Append1[[#This Row],[weekday cnt]]&gt;0,"Weekday")</f>
        <v>Weekend</v>
      </c>
      <c r="B15" s="5">
        <v>47</v>
      </c>
      <c r="C15" s="5">
        <v>47</v>
      </c>
      <c r="D15" s="5">
        <v>94</v>
      </c>
      <c r="F15" s="22" t="s">
        <v>26</v>
      </c>
      <c r="G15" s="22" t="s">
        <v>53</v>
      </c>
      <c r="H15" s="22" t="s">
        <v>54</v>
      </c>
      <c r="I15" s="22"/>
    </row>
    <row r="16" spans="1:19" x14ac:dyDescent="0.3">
      <c r="A16" t="str" cm="1">
        <f t="array" ref="A16">_xlfn.IFS(Append1[[#This Row],[weekday cnt]]=0,"Weekend",Append1[[#This Row],[weekday cnt]]=6,"Weekend",Append1[[#This Row],[weekday cnt]]&gt;0,"Weekday")</f>
        <v>Weekend</v>
      </c>
      <c r="B16" s="4">
        <v>35</v>
      </c>
      <c r="C16" s="4">
        <v>71</v>
      </c>
      <c r="D16" s="4">
        <v>106</v>
      </c>
      <c r="F16" s="23" t="s">
        <v>22</v>
      </c>
      <c r="G16" s="27">
        <f>DSUM(Table9[#All],3,F15:F16)</f>
        <v>40216</v>
      </c>
      <c r="H16" s="27">
        <f>DAVERAGE(Table9[#All],3,F15:F16)</f>
        <v>60.023880597014923</v>
      </c>
      <c r="I16" s="27" t="s">
        <v>58</v>
      </c>
    </row>
    <row r="17" spans="1:9" x14ac:dyDescent="0.3">
      <c r="A17" t="str" cm="1">
        <f t="array" ref="A17">_xlfn.IFS(Append1[[#This Row],[weekday cnt]]=0,"Weekend",Append1[[#This Row],[weekday cnt]]=6,"Weekend",Append1[[#This Row],[weekday cnt]]&gt;0,"Weekday")</f>
        <v>Weekend</v>
      </c>
      <c r="B17" s="5">
        <v>40</v>
      </c>
      <c r="C17" s="5">
        <v>70</v>
      </c>
      <c r="D17" s="5">
        <v>110</v>
      </c>
    </row>
    <row r="18" spans="1:9" x14ac:dyDescent="0.3">
      <c r="A18" t="str" cm="1">
        <f t="array" ref="A18">_xlfn.IFS(Append1[[#This Row],[weekday cnt]]=0,"Weekend",Append1[[#This Row],[weekday cnt]]=6,"Weekend",Append1[[#This Row],[weekday cnt]]&gt;0,"Weekday")</f>
        <v>Weekend</v>
      </c>
      <c r="B18" s="4">
        <v>41</v>
      </c>
      <c r="C18" s="4">
        <v>52</v>
      </c>
      <c r="D18" s="4">
        <v>93</v>
      </c>
    </row>
    <row r="19" spans="1:9" x14ac:dyDescent="0.3">
      <c r="A19" t="str" cm="1">
        <f t="array" ref="A19">_xlfn.IFS(Append1[[#This Row],[weekday cnt]]=0,"Weekend",Append1[[#This Row],[weekday cnt]]=6,"Weekend",Append1[[#This Row],[weekday cnt]]&gt;0,"Weekday")</f>
        <v>Weekend</v>
      </c>
      <c r="B19" s="5">
        <v>15</v>
      </c>
      <c r="C19" s="5">
        <v>52</v>
      </c>
      <c r="D19" s="5">
        <v>67</v>
      </c>
      <c r="F19" s="55" t="s">
        <v>57</v>
      </c>
      <c r="G19" s="55"/>
      <c r="H19" s="55"/>
      <c r="I19" s="26" t="s">
        <v>41</v>
      </c>
    </row>
    <row r="20" spans="1:9" x14ac:dyDescent="0.3">
      <c r="A20" t="str" cm="1">
        <f t="array" ref="A20">_xlfn.IFS(Append1[[#This Row],[weekday cnt]]=0,"Weekend",Append1[[#This Row],[weekday cnt]]=6,"Weekend",Append1[[#This Row],[weekday cnt]]&gt;0,"Weekday")</f>
        <v>Weekend</v>
      </c>
      <c r="B20" s="4">
        <v>9</v>
      </c>
      <c r="C20" s="4">
        <v>26</v>
      </c>
      <c r="D20" s="4">
        <v>35</v>
      </c>
      <c r="F20" s="23" t="s">
        <v>26</v>
      </c>
      <c r="G20" s="23" t="s">
        <v>53</v>
      </c>
      <c r="H20" s="23" t="s">
        <v>54</v>
      </c>
      <c r="I20" s="22"/>
    </row>
    <row r="21" spans="1:9" x14ac:dyDescent="0.3">
      <c r="A21" t="str" cm="1">
        <f t="array" ref="A21">_xlfn.IFS(Append1[[#This Row],[weekday cnt]]=0,"Weekend",Append1[[#This Row],[weekday cnt]]=6,"Weekend",Append1[[#This Row],[weekday cnt]]&gt;0,"Weekday")</f>
        <v>Weekend</v>
      </c>
      <c r="B21" s="5">
        <v>6</v>
      </c>
      <c r="C21" s="5">
        <v>31</v>
      </c>
      <c r="D21" s="5">
        <v>37</v>
      </c>
      <c r="F21" s="23" t="s">
        <v>40</v>
      </c>
      <c r="G21" s="27">
        <f>DSUM(Table9[#All],4,F20:F21)</f>
        <v>15869</v>
      </c>
      <c r="H21" s="27">
        <f>DAVERAGE(Table9[#All],4,F20:F21)</f>
        <v>48.087878787878786</v>
      </c>
      <c r="I21" s="27" t="s">
        <v>59</v>
      </c>
    </row>
    <row r="22" spans="1:9" x14ac:dyDescent="0.3">
      <c r="A22" t="str" cm="1">
        <f t="array" ref="A22">_xlfn.IFS(Append1[[#This Row],[weekday cnt]]=0,"Weekend",Append1[[#This Row],[weekday cnt]]=6,"Weekend",Append1[[#This Row],[weekday cnt]]&gt;0,"Weekday")</f>
        <v>Weekend</v>
      </c>
      <c r="B22" s="4">
        <v>11</v>
      </c>
      <c r="C22" s="4">
        <v>25</v>
      </c>
      <c r="D22" s="4">
        <v>36</v>
      </c>
      <c r="F22" s="22" t="s">
        <v>26</v>
      </c>
      <c r="G22" s="22" t="s">
        <v>53</v>
      </c>
      <c r="H22" s="22" t="s">
        <v>54</v>
      </c>
      <c r="I22" s="22"/>
    </row>
    <row r="23" spans="1:9" x14ac:dyDescent="0.3">
      <c r="A23" t="str" cm="1">
        <f t="array" ref="A23">_xlfn.IFS(Append1[[#This Row],[weekday cnt]]=0,"Weekend",Append1[[#This Row],[weekday cnt]]=6,"Weekend",Append1[[#This Row],[weekday cnt]]&gt;0,"Weekday")</f>
        <v>Weekend</v>
      </c>
      <c r="B23" s="5">
        <v>3</v>
      </c>
      <c r="C23" s="5">
        <v>31</v>
      </c>
      <c r="D23" s="5">
        <v>34</v>
      </c>
      <c r="F23" s="23" t="s">
        <v>22</v>
      </c>
      <c r="G23" s="27">
        <f>DSUM(Table9[#All],4,F22:F23)</f>
        <v>42435</v>
      </c>
      <c r="H23" s="27">
        <f>DAVERAGE(Table9[#All],4,F22:F23)</f>
        <v>63.335820895522389</v>
      </c>
      <c r="I23" s="27" t="s">
        <v>58</v>
      </c>
    </row>
    <row r="24" spans="1:9" x14ac:dyDescent="0.3">
      <c r="A24" t="str" cm="1">
        <f t="array" ref="A24">_xlfn.IFS(Append1[[#This Row],[weekday cnt]]=0,"Weekend",Append1[[#This Row],[weekday cnt]]=6,"Weekend",Append1[[#This Row],[weekday cnt]]&gt;0,"Weekday")</f>
        <v>Weekend</v>
      </c>
      <c r="B24" s="4">
        <v>11</v>
      </c>
      <c r="C24" s="4">
        <v>17</v>
      </c>
      <c r="D24" s="4">
        <v>28</v>
      </c>
    </row>
    <row r="25" spans="1:9" x14ac:dyDescent="0.3">
      <c r="A25" t="str" cm="1">
        <f t="array" ref="A25">_xlfn.IFS(Append1[[#This Row],[weekday cnt]]=0,"Weekend",Append1[[#This Row],[weekday cnt]]=6,"Weekend",Append1[[#This Row],[weekday cnt]]&gt;0,"Weekday")</f>
        <v>Weekend</v>
      </c>
      <c r="B25" s="5">
        <v>15</v>
      </c>
      <c r="C25" s="5">
        <v>24</v>
      </c>
      <c r="D25" s="5">
        <v>39</v>
      </c>
    </row>
    <row r="26" spans="1:9" x14ac:dyDescent="0.3">
      <c r="A26" t="str" cm="1">
        <f t="array" ref="A26">_xlfn.IFS(Append1[[#This Row],[weekday cnt]]=0,"Weekend",Append1[[#This Row],[weekday cnt]]=6,"Weekend",Append1[[#This Row],[weekday cnt]]&gt;0,"Weekday")</f>
        <v>Weekend</v>
      </c>
      <c r="B26" s="4">
        <v>4</v>
      </c>
      <c r="C26" s="4">
        <v>13</v>
      </c>
      <c r="D26" s="4">
        <v>17</v>
      </c>
    </row>
    <row r="27" spans="1:9" x14ac:dyDescent="0.3">
      <c r="A27" t="str" cm="1">
        <f t="array" ref="A27">_xlfn.IFS(Append1[[#This Row],[weekday cnt]]=0,"Weekend",Append1[[#This Row],[weekday cnt]]=6,"Weekend",Append1[[#This Row],[weekday cnt]]&gt;0,"Weekday")</f>
        <v>Weekend</v>
      </c>
      <c r="B27" s="5">
        <v>1</v>
      </c>
      <c r="C27" s="5">
        <v>16</v>
      </c>
      <c r="D27" s="5">
        <v>17</v>
      </c>
    </row>
    <row r="28" spans="1:9" x14ac:dyDescent="0.3">
      <c r="A28" t="str" cm="1">
        <f t="array" ref="A28">_xlfn.IFS(Append1[[#This Row],[weekday cnt]]=0,"Weekend",Append1[[#This Row],[weekday cnt]]=6,"Weekend",Append1[[#This Row],[weekday cnt]]&gt;0,"Weekday")</f>
        <v>Weekend</v>
      </c>
      <c r="B28" s="4">
        <v>1</v>
      </c>
      <c r="C28" s="4">
        <v>8</v>
      </c>
      <c r="D28" s="4">
        <v>9</v>
      </c>
    </row>
    <row r="29" spans="1:9" x14ac:dyDescent="0.3">
      <c r="A29" t="str" cm="1">
        <f t="array" ref="A29">_xlfn.IFS(Append1[[#This Row],[weekday cnt]]=0,"Weekend",Append1[[#This Row],[weekday cnt]]=6,"Weekend",Append1[[#This Row],[weekday cnt]]&gt;0,"Weekday")</f>
        <v>Weekend</v>
      </c>
      <c r="B29" s="5">
        <v>2</v>
      </c>
      <c r="C29" s="5">
        <v>4</v>
      </c>
      <c r="D29" s="5">
        <v>6</v>
      </c>
    </row>
    <row r="30" spans="1:9" x14ac:dyDescent="0.3">
      <c r="A30" t="str" cm="1">
        <f t="array" ref="A30">_xlfn.IFS(Append1[[#This Row],[weekday cnt]]=0,"Weekend",Append1[[#This Row],[weekday cnt]]=6,"Weekend",Append1[[#This Row],[weekday cnt]]&gt;0,"Weekday")</f>
        <v>Weekend</v>
      </c>
      <c r="B30" s="4">
        <v>2</v>
      </c>
      <c r="C30" s="4">
        <v>1</v>
      </c>
      <c r="D30" s="4">
        <v>3</v>
      </c>
    </row>
    <row r="31" spans="1:9" x14ac:dyDescent="0.3">
      <c r="A31" t="str" cm="1">
        <f t="array" ref="A31">_xlfn.IFS(Append1[[#This Row],[weekday cnt]]=0,"Weekend",Append1[[#This Row],[weekday cnt]]=6,"Weekend",Append1[[#This Row],[weekday cnt]]&gt;0,"Weekday")</f>
        <v>Weekend</v>
      </c>
      <c r="B31" s="5">
        <v>0</v>
      </c>
      <c r="C31" s="5">
        <v>2</v>
      </c>
      <c r="D31" s="5">
        <v>2</v>
      </c>
    </row>
    <row r="32" spans="1:9" x14ac:dyDescent="0.3">
      <c r="A32" t="str" cm="1">
        <f t="array" ref="A32">_xlfn.IFS(Append1[[#This Row],[weekday cnt]]=0,"Weekend",Append1[[#This Row],[weekday cnt]]=6,"Weekend",Append1[[#This Row],[weekday cnt]]&gt;0,"Weekday")</f>
        <v>Weekend</v>
      </c>
      <c r="B32" s="4">
        <v>0</v>
      </c>
      <c r="C32" s="4">
        <v>1</v>
      </c>
      <c r="D32" s="4">
        <v>1</v>
      </c>
    </row>
    <row r="33" spans="1:4" x14ac:dyDescent="0.3">
      <c r="A33" t="str" cm="1">
        <f t="array" ref="A33">_xlfn.IFS(Append1[[#This Row],[weekday cnt]]=0,"Weekend",Append1[[#This Row],[weekday cnt]]=6,"Weekend",Append1[[#This Row],[weekday cnt]]&gt;0,"Weekday")</f>
        <v>Weekend</v>
      </c>
      <c r="B33" s="5">
        <v>0</v>
      </c>
      <c r="C33" s="5">
        <v>8</v>
      </c>
      <c r="D33" s="5">
        <v>8</v>
      </c>
    </row>
    <row r="34" spans="1:4" x14ac:dyDescent="0.3">
      <c r="A34" t="str" cm="1">
        <f t="array" ref="A34">_xlfn.IFS(Append1[[#This Row],[weekday cnt]]=0,"Weekend",Append1[[#This Row],[weekday cnt]]=6,"Weekend",Append1[[#This Row],[weekday cnt]]&gt;0,"Weekday")</f>
        <v>Weekend</v>
      </c>
      <c r="B34" s="4">
        <v>1</v>
      </c>
      <c r="C34" s="4">
        <v>19</v>
      </c>
      <c r="D34" s="4">
        <v>20</v>
      </c>
    </row>
    <row r="35" spans="1:4" x14ac:dyDescent="0.3">
      <c r="A35" t="str" cm="1">
        <f t="array" ref="A35">_xlfn.IFS(Append1[[#This Row],[weekday cnt]]=0,"Weekend",Append1[[#This Row],[weekday cnt]]=6,"Weekend",Append1[[#This Row],[weekday cnt]]&gt;0,"Weekday")</f>
        <v>Weekend</v>
      </c>
      <c r="B35" s="5">
        <v>7</v>
      </c>
      <c r="C35" s="5">
        <v>46</v>
      </c>
      <c r="D35" s="5">
        <v>53</v>
      </c>
    </row>
    <row r="36" spans="1:4" x14ac:dyDescent="0.3">
      <c r="A36" t="str" cm="1">
        <f t="array" ref="A36">_xlfn.IFS(Append1[[#This Row],[weekday cnt]]=0,"Weekend",Append1[[#This Row],[weekday cnt]]=6,"Weekend",Append1[[#This Row],[weekday cnt]]&gt;0,"Weekday")</f>
        <v>Weekend</v>
      </c>
      <c r="B36" s="4">
        <v>16</v>
      </c>
      <c r="C36" s="4">
        <v>54</v>
      </c>
      <c r="D36" s="4">
        <v>70</v>
      </c>
    </row>
    <row r="37" spans="1:4" x14ac:dyDescent="0.3">
      <c r="A37" t="str" cm="1">
        <f t="array" ref="A37">_xlfn.IFS(Append1[[#This Row],[weekday cnt]]=0,"Weekend",Append1[[#This Row],[weekday cnt]]=6,"Weekend",Append1[[#This Row],[weekday cnt]]&gt;0,"Weekday")</f>
        <v>Weekend</v>
      </c>
      <c r="B37" s="5">
        <v>20</v>
      </c>
      <c r="C37" s="5">
        <v>73</v>
      </c>
      <c r="D37" s="5">
        <v>93</v>
      </c>
    </row>
    <row r="38" spans="1:4" x14ac:dyDescent="0.3">
      <c r="A38" t="str" cm="1">
        <f t="array" ref="A38">_xlfn.IFS(Append1[[#This Row],[weekday cnt]]=0,"Weekend",Append1[[#This Row],[weekday cnt]]=6,"Weekend",Append1[[#This Row],[weekday cnt]]&gt;0,"Weekday")</f>
        <v>Weekend</v>
      </c>
      <c r="B38" s="4">
        <v>11</v>
      </c>
      <c r="C38" s="4">
        <v>64</v>
      </c>
      <c r="D38" s="4">
        <v>75</v>
      </c>
    </row>
    <row r="39" spans="1:4" x14ac:dyDescent="0.3">
      <c r="A39" t="str" cm="1">
        <f t="array" ref="A39">_xlfn.IFS(Append1[[#This Row],[weekday cnt]]=0,"Weekend",Append1[[#This Row],[weekday cnt]]=6,"Weekend",Append1[[#This Row],[weekday cnt]]&gt;0,"Weekday")</f>
        <v>Weekend</v>
      </c>
      <c r="B39" s="5">
        <v>4</v>
      </c>
      <c r="C39" s="5">
        <v>55</v>
      </c>
      <c r="D39" s="5">
        <v>59</v>
      </c>
    </row>
    <row r="40" spans="1:4" x14ac:dyDescent="0.3">
      <c r="A40" t="str" cm="1">
        <f t="array" ref="A40">_xlfn.IFS(Append1[[#This Row],[weekday cnt]]=0,"Weekend",Append1[[#This Row],[weekday cnt]]=6,"Weekend",Append1[[#This Row],[weekday cnt]]&gt;0,"Weekday")</f>
        <v>Weekend</v>
      </c>
      <c r="B40" s="4">
        <v>19</v>
      </c>
      <c r="C40" s="4">
        <v>55</v>
      </c>
      <c r="D40" s="4">
        <v>74</v>
      </c>
    </row>
    <row r="41" spans="1:4" x14ac:dyDescent="0.3">
      <c r="A41" t="str" cm="1">
        <f t="array" ref="A41">_xlfn.IFS(Append1[[#This Row],[weekday cnt]]=0,"Weekend",Append1[[#This Row],[weekday cnt]]=6,"Weekend",Append1[[#This Row],[weekday cnt]]&gt;0,"Weekday")</f>
        <v>Weekend</v>
      </c>
      <c r="B41" s="5">
        <v>9</v>
      </c>
      <c r="C41" s="5">
        <v>67</v>
      </c>
      <c r="D41" s="5">
        <v>76</v>
      </c>
    </row>
    <row r="42" spans="1:4" x14ac:dyDescent="0.3">
      <c r="A42" t="str" cm="1">
        <f t="array" ref="A42">_xlfn.IFS(Append1[[#This Row],[weekday cnt]]=0,"Weekend",Append1[[#This Row],[weekday cnt]]=6,"Weekend",Append1[[#This Row],[weekday cnt]]&gt;0,"Weekday")</f>
        <v>Weekend</v>
      </c>
      <c r="B42" s="4">
        <v>7</v>
      </c>
      <c r="C42" s="4">
        <v>58</v>
      </c>
      <c r="D42" s="4">
        <v>65</v>
      </c>
    </row>
    <row r="43" spans="1:4" x14ac:dyDescent="0.3">
      <c r="A43" t="str" cm="1">
        <f t="array" ref="A43">_xlfn.IFS(Append1[[#This Row],[weekday cnt]]=0,"Weekend",Append1[[#This Row],[weekday cnt]]=6,"Weekend",Append1[[#This Row],[weekday cnt]]&gt;0,"Weekday")</f>
        <v>Weekend</v>
      </c>
      <c r="B43" s="5">
        <v>10</v>
      </c>
      <c r="C43" s="5">
        <v>43</v>
      </c>
      <c r="D43" s="5">
        <v>53</v>
      </c>
    </row>
    <row r="44" spans="1:4" x14ac:dyDescent="0.3">
      <c r="A44" t="str" cm="1">
        <f t="array" ref="A44">_xlfn.IFS(Append1[[#This Row],[weekday cnt]]=0,"Weekend",Append1[[#This Row],[weekday cnt]]=6,"Weekend",Append1[[#This Row],[weekday cnt]]&gt;0,"Weekday")</f>
        <v>Weekend</v>
      </c>
      <c r="B44" s="4">
        <v>1</v>
      </c>
      <c r="C44" s="4">
        <v>29</v>
      </c>
      <c r="D44" s="4">
        <v>30</v>
      </c>
    </row>
    <row r="45" spans="1:4" x14ac:dyDescent="0.3">
      <c r="A45" t="str" cm="1">
        <f t="array" ref="A45">_xlfn.IFS(Append1[[#This Row],[weekday cnt]]=0,"Weekend",Append1[[#This Row],[weekday cnt]]=6,"Weekend",Append1[[#This Row],[weekday cnt]]&gt;0,"Weekday")</f>
        <v>Weekend</v>
      </c>
      <c r="B45" s="5">
        <v>5</v>
      </c>
      <c r="C45" s="5">
        <v>17</v>
      </c>
      <c r="D45" s="5">
        <v>22</v>
      </c>
    </row>
    <row r="46" spans="1:4" x14ac:dyDescent="0.3">
      <c r="A46" t="str" cm="1">
        <f t="array" ref="A46">_xlfn.IFS(Append1[[#This Row],[weekday cnt]]=0,"Weekend",Append1[[#This Row],[weekday cnt]]=6,"Weekend",Append1[[#This Row],[weekday cnt]]&gt;0,"Weekday")</f>
        <v>Weekend</v>
      </c>
      <c r="B46" s="4">
        <v>11</v>
      </c>
      <c r="C46" s="4">
        <v>20</v>
      </c>
      <c r="D46" s="4">
        <v>31</v>
      </c>
    </row>
    <row r="47" spans="1:4" x14ac:dyDescent="0.3">
      <c r="A47" t="str" cm="1">
        <f t="array" ref="A47">_xlfn.IFS(Append1[[#This Row],[weekday cnt]]=0,"Weekend",Append1[[#This Row],[weekday cnt]]=6,"Weekend",Append1[[#This Row],[weekday cnt]]&gt;0,"Weekday")</f>
        <v>Weekend</v>
      </c>
      <c r="B47" s="5">
        <v>0</v>
      </c>
      <c r="C47" s="5">
        <v>9</v>
      </c>
      <c r="D47" s="5">
        <v>9</v>
      </c>
    </row>
    <row r="48" spans="1:4" x14ac:dyDescent="0.3">
      <c r="A48" t="str" cm="1">
        <f t="array" ref="A48">_xlfn.IFS(Append1[[#This Row],[weekday cnt]]=0,"Weekend",Append1[[#This Row],[weekday cnt]]=6,"Weekend",Append1[[#This Row],[weekday cnt]]&gt;0,"Weekday")</f>
        <v>Weekend</v>
      </c>
      <c r="B48" s="4">
        <v>0</v>
      </c>
      <c r="C48" s="4">
        <v>8</v>
      </c>
      <c r="D48" s="4">
        <v>8</v>
      </c>
    </row>
    <row r="49" spans="1:4" x14ac:dyDescent="0.3">
      <c r="A49" t="str" cm="1">
        <f t="array" ref="A49">_xlfn.IFS(Append1[[#This Row],[weekday cnt]]=0,"Weekend",Append1[[#This Row],[weekday cnt]]=6,"Weekend",Append1[[#This Row],[weekday cnt]]&gt;0,"Weekday")</f>
        <v>Weekday</v>
      </c>
      <c r="B49" s="5">
        <v>0</v>
      </c>
      <c r="C49" s="5">
        <v>5</v>
      </c>
      <c r="D49" s="5">
        <v>5</v>
      </c>
    </row>
    <row r="50" spans="1:4" x14ac:dyDescent="0.3">
      <c r="A50" t="str" cm="1">
        <f t="array" ref="A50">_xlfn.IFS(Append1[[#This Row],[weekday cnt]]=0,"Weekend",Append1[[#This Row],[weekday cnt]]=6,"Weekend",Append1[[#This Row],[weekday cnt]]&gt;0,"Weekday")</f>
        <v>Weekday</v>
      </c>
      <c r="B50" s="4">
        <v>0</v>
      </c>
      <c r="C50" s="4">
        <v>2</v>
      </c>
      <c r="D50" s="4">
        <v>2</v>
      </c>
    </row>
    <row r="51" spans="1:4" x14ac:dyDescent="0.3">
      <c r="A51" t="str" cm="1">
        <f t="array" ref="A51">_xlfn.IFS(Append1[[#This Row],[weekday cnt]]=0,"Weekend",Append1[[#This Row],[weekday cnt]]=6,"Weekend",Append1[[#This Row],[weekday cnt]]&gt;0,"Weekday")</f>
        <v>Weekday</v>
      </c>
      <c r="B51" s="5">
        <v>0</v>
      </c>
      <c r="C51" s="5">
        <v>1</v>
      </c>
      <c r="D51" s="5">
        <v>1</v>
      </c>
    </row>
    <row r="52" spans="1:4" x14ac:dyDescent="0.3">
      <c r="A52" t="str" cm="1">
        <f t="array" ref="A52">_xlfn.IFS(Append1[[#This Row],[weekday cnt]]=0,"Weekend",Append1[[#This Row],[weekday cnt]]=6,"Weekend",Append1[[#This Row],[weekday cnt]]&gt;0,"Weekday")</f>
        <v>Weekday</v>
      </c>
      <c r="B52" s="4">
        <v>0</v>
      </c>
      <c r="C52" s="4">
        <v>3</v>
      </c>
      <c r="D52" s="4">
        <v>3</v>
      </c>
    </row>
    <row r="53" spans="1:4" x14ac:dyDescent="0.3">
      <c r="A53" t="str" cm="1">
        <f t="array" ref="A53">_xlfn.IFS(Append1[[#This Row],[weekday cnt]]=0,"Weekend",Append1[[#This Row],[weekday cnt]]=6,"Weekend",Append1[[#This Row],[weekday cnt]]&gt;0,"Weekday")</f>
        <v>Weekday</v>
      </c>
      <c r="B53" s="5">
        <v>0</v>
      </c>
      <c r="C53" s="5">
        <v>30</v>
      </c>
      <c r="D53" s="5">
        <v>30</v>
      </c>
    </row>
    <row r="54" spans="1:4" x14ac:dyDescent="0.3">
      <c r="A54" t="str" cm="1">
        <f t="array" ref="A54">_xlfn.IFS(Append1[[#This Row],[weekday cnt]]=0,"Weekend",Append1[[#This Row],[weekday cnt]]=6,"Weekend",Append1[[#This Row],[weekday cnt]]&gt;0,"Weekday")</f>
        <v>Weekday</v>
      </c>
      <c r="B54" s="4">
        <v>1</v>
      </c>
      <c r="C54" s="4">
        <v>63</v>
      </c>
      <c r="D54" s="4">
        <v>64</v>
      </c>
    </row>
    <row r="55" spans="1:4" x14ac:dyDescent="0.3">
      <c r="A55" t="str" cm="1">
        <f t="array" ref="A55">_xlfn.IFS(Append1[[#This Row],[weekday cnt]]=0,"Weekend",Append1[[#This Row],[weekday cnt]]=6,"Weekend",Append1[[#This Row],[weekday cnt]]&gt;0,"Weekday")</f>
        <v>Weekday</v>
      </c>
      <c r="B55" s="5">
        <v>1</v>
      </c>
      <c r="C55" s="5">
        <v>153</v>
      </c>
      <c r="D55" s="5">
        <v>154</v>
      </c>
    </row>
    <row r="56" spans="1:4" x14ac:dyDescent="0.3">
      <c r="A56" t="str" cm="1">
        <f t="array" ref="A56">_xlfn.IFS(Append1[[#This Row],[weekday cnt]]=0,"Weekend",Append1[[#This Row],[weekday cnt]]=6,"Weekend",Append1[[#This Row],[weekday cnt]]&gt;0,"Weekday")</f>
        <v>Weekday</v>
      </c>
      <c r="B56" s="4">
        <v>7</v>
      </c>
      <c r="C56" s="4">
        <v>81</v>
      </c>
      <c r="D56" s="4">
        <v>88</v>
      </c>
    </row>
    <row r="57" spans="1:4" x14ac:dyDescent="0.3">
      <c r="A57" t="str" cm="1">
        <f t="array" ref="A57">_xlfn.IFS(Append1[[#This Row],[weekday cnt]]=0,"Weekend",Append1[[#This Row],[weekday cnt]]=6,"Weekend",Append1[[#This Row],[weekday cnt]]&gt;0,"Weekday")</f>
        <v>Weekday</v>
      </c>
      <c r="B57" s="5">
        <v>11</v>
      </c>
      <c r="C57" s="5">
        <v>33</v>
      </c>
      <c r="D57" s="5">
        <v>44</v>
      </c>
    </row>
    <row r="58" spans="1:4" x14ac:dyDescent="0.3">
      <c r="A58" t="str" cm="1">
        <f t="array" ref="A58">_xlfn.IFS(Append1[[#This Row],[weekday cnt]]=0,"Weekend",Append1[[#This Row],[weekday cnt]]=6,"Weekend",Append1[[#This Row],[weekday cnt]]&gt;0,"Weekday")</f>
        <v>Weekday</v>
      </c>
      <c r="B58" s="4">
        <v>10</v>
      </c>
      <c r="C58" s="4">
        <v>41</v>
      </c>
      <c r="D58" s="4">
        <v>51</v>
      </c>
    </row>
    <row r="59" spans="1:4" x14ac:dyDescent="0.3">
      <c r="A59" t="str" cm="1">
        <f t="array" ref="A59">_xlfn.IFS(Append1[[#This Row],[weekday cnt]]=0,"Weekend",Append1[[#This Row],[weekday cnt]]=6,"Weekend",Append1[[#This Row],[weekday cnt]]&gt;0,"Weekday")</f>
        <v>Weekday</v>
      </c>
      <c r="B59" s="5">
        <v>13</v>
      </c>
      <c r="C59" s="5">
        <v>48</v>
      </c>
      <c r="D59" s="5">
        <v>61</v>
      </c>
    </row>
    <row r="60" spans="1:4" x14ac:dyDescent="0.3">
      <c r="A60" t="str" cm="1">
        <f t="array" ref="A60">_xlfn.IFS(Append1[[#This Row],[weekday cnt]]=0,"Weekend",Append1[[#This Row],[weekday cnt]]=6,"Weekend",Append1[[#This Row],[weekday cnt]]&gt;0,"Weekday")</f>
        <v>Weekday</v>
      </c>
      <c r="B60" s="4">
        <v>8</v>
      </c>
      <c r="C60" s="4">
        <v>53</v>
      </c>
      <c r="D60" s="4">
        <v>61</v>
      </c>
    </row>
    <row r="61" spans="1:4" x14ac:dyDescent="0.3">
      <c r="A61" t="str" cm="1">
        <f t="array" ref="A61">_xlfn.IFS(Append1[[#This Row],[weekday cnt]]=0,"Weekend",Append1[[#This Row],[weekday cnt]]=6,"Weekend",Append1[[#This Row],[weekday cnt]]&gt;0,"Weekday")</f>
        <v>Weekday</v>
      </c>
      <c r="B61" s="5">
        <v>11</v>
      </c>
      <c r="C61" s="5">
        <v>66</v>
      </c>
      <c r="D61" s="5">
        <v>77</v>
      </c>
    </row>
    <row r="62" spans="1:4" x14ac:dyDescent="0.3">
      <c r="A62" t="str" cm="1">
        <f t="array" ref="A62">_xlfn.IFS(Append1[[#This Row],[weekday cnt]]=0,"Weekend",Append1[[#This Row],[weekday cnt]]=6,"Weekend",Append1[[#This Row],[weekday cnt]]&gt;0,"Weekday")</f>
        <v>Weekday</v>
      </c>
      <c r="B62" s="4">
        <v>14</v>
      </c>
      <c r="C62" s="4">
        <v>58</v>
      </c>
      <c r="D62" s="4">
        <v>72</v>
      </c>
    </row>
    <row r="63" spans="1:4" x14ac:dyDescent="0.3">
      <c r="A63" t="str" cm="1">
        <f t="array" ref="A63">_xlfn.IFS(Append1[[#This Row],[weekday cnt]]=0,"Weekend",Append1[[#This Row],[weekday cnt]]=6,"Weekend",Append1[[#This Row],[weekday cnt]]&gt;0,"Weekday")</f>
        <v>Weekday</v>
      </c>
      <c r="B63" s="5">
        <v>9</v>
      </c>
      <c r="C63" s="5">
        <v>67</v>
      </c>
      <c r="D63" s="5">
        <v>76</v>
      </c>
    </row>
    <row r="64" spans="1:4" x14ac:dyDescent="0.3">
      <c r="A64" t="str" cm="1">
        <f t="array" ref="A64">_xlfn.IFS(Append1[[#This Row],[weekday cnt]]=0,"Weekend",Append1[[#This Row],[weekday cnt]]=6,"Weekend",Append1[[#This Row],[weekday cnt]]&gt;0,"Weekday")</f>
        <v>Weekday</v>
      </c>
      <c r="B64" s="4">
        <v>11</v>
      </c>
      <c r="C64" s="4">
        <v>146</v>
      </c>
      <c r="D64" s="4">
        <v>157</v>
      </c>
    </row>
    <row r="65" spans="1:4" x14ac:dyDescent="0.3">
      <c r="A65" t="str" cm="1">
        <f t="array" ref="A65">_xlfn.IFS(Append1[[#This Row],[weekday cnt]]=0,"Weekend",Append1[[#This Row],[weekday cnt]]=6,"Weekend",Append1[[#This Row],[weekday cnt]]&gt;0,"Weekday")</f>
        <v>Weekday</v>
      </c>
      <c r="B65" s="5">
        <v>9</v>
      </c>
      <c r="C65" s="5">
        <v>148</v>
      </c>
      <c r="D65" s="5">
        <v>157</v>
      </c>
    </row>
    <row r="66" spans="1:4" x14ac:dyDescent="0.3">
      <c r="A66" t="str" cm="1">
        <f t="array" ref="A66">_xlfn.IFS(Append1[[#This Row],[weekday cnt]]=0,"Weekend",Append1[[#This Row],[weekday cnt]]=6,"Weekend",Append1[[#This Row],[weekday cnt]]&gt;0,"Weekday")</f>
        <v>Weekday</v>
      </c>
      <c r="B66" s="4">
        <v>8</v>
      </c>
      <c r="C66" s="4">
        <v>102</v>
      </c>
      <c r="D66" s="4">
        <v>110</v>
      </c>
    </row>
    <row r="67" spans="1:4" x14ac:dyDescent="0.3">
      <c r="A67" t="str" cm="1">
        <f t="array" ref="A67">_xlfn.IFS(Append1[[#This Row],[weekday cnt]]=0,"Weekend",Append1[[#This Row],[weekday cnt]]=6,"Weekend",Append1[[#This Row],[weekday cnt]]&gt;0,"Weekday")</f>
        <v>Weekday</v>
      </c>
      <c r="B67" s="5">
        <v>3</v>
      </c>
      <c r="C67" s="5">
        <v>49</v>
      </c>
      <c r="D67" s="5">
        <v>52</v>
      </c>
    </row>
    <row r="68" spans="1:4" x14ac:dyDescent="0.3">
      <c r="A68" t="str" cm="1">
        <f t="array" ref="A68">_xlfn.IFS(Append1[[#This Row],[weekday cnt]]=0,"Weekend",Append1[[#This Row],[weekday cnt]]=6,"Weekend",Append1[[#This Row],[weekday cnt]]&gt;0,"Weekday")</f>
        <v>Weekday</v>
      </c>
      <c r="B68" s="4">
        <v>3</v>
      </c>
      <c r="C68" s="4">
        <v>49</v>
      </c>
      <c r="D68" s="4">
        <v>52</v>
      </c>
    </row>
    <row r="69" spans="1:4" x14ac:dyDescent="0.3">
      <c r="A69" t="str" cm="1">
        <f t="array" ref="A69">_xlfn.IFS(Append1[[#This Row],[weekday cnt]]=0,"Weekend",Append1[[#This Row],[weekday cnt]]=6,"Weekend",Append1[[#This Row],[weekday cnt]]&gt;0,"Weekday")</f>
        <v>Weekday</v>
      </c>
      <c r="B69" s="5">
        <v>0</v>
      </c>
      <c r="C69" s="5">
        <v>20</v>
      </c>
      <c r="D69" s="5">
        <v>20</v>
      </c>
    </row>
    <row r="70" spans="1:4" x14ac:dyDescent="0.3">
      <c r="A70" t="str" cm="1">
        <f t="array" ref="A70">_xlfn.IFS(Append1[[#This Row],[weekday cnt]]=0,"Weekend",Append1[[#This Row],[weekday cnt]]=6,"Weekend",Append1[[#This Row],[weekday cnt]]&gt;0,"Weekday")</f>
        <v>Weekday</v>
      </c>
      <c r="B70" s="4">
        <v>1</v>
      </c>
      <c r="C70" s="4">
        <v>11</v>
      </c>
      <c r="D70" s="4">
        <v>12</v>
      </c>
    </row>
    <row r="71" spans="1:4" x14ac:dyDescent="0.3">
      <c r="A71" t="str" cm="1">
        <f t="array" ref="A71">_xlfn.IFS(Append1[[#This Row],[weekday cnt]]=0,"Weekend",Append1[[#This Row],[weekday cnt]]=6,"Weekend",Append1[[#This Row],[weekday cnt]]&gt;0,"Weekday")</f>
        <v>Weekday</v>
      </c>
      <c r="B71" s="5">
        <v>0</v>
      </c>
      <c r="C71" s="5">
        <v>5</v>
      </c>
      <c r="D71" s="5">
        <v>5</v>
      </c>
    </row>
    <row r="72" spans="1:4" x14ac:dyDescent="0.3">
      <c r="A72" t="str" cm="1">
        <f t="array" ref="A72">_xlfn.IFS(Append1[[#This Row],[weekday cnt]]=0,"Weekend",Append1[[#This Row],[weekday cnt]]=6,"Weekend",Append1[[#This Row],[weekday cnt]]&gt;0,"Weekday")</f>
        <v>Weekday</v>
      </c>
      <c r="B72" s="4">
        <v>0</v>
      </c>
      <c r="C72" s="4">
        <v>2</v>
      </c>
      <c r="D72" s="4">
        <v>2</v>
      </c>
    </row>
    <row r="73" spans="1:4" x14ac:dyDescent="0.3">
      <c r="A73" t="str" cm="1">
        <f t="array" ref="A73">_xlfn.IFS(Append1[[#This Row],[weekday cnt]]=0,"Weekend",Append1[[#This Row],[weekday cnt]]=6,"Weekend",Append1[[#This Row],[weekday cnt]]&gt;0,"Weekday")</f>
        <v>Weekday</v>
      </c>
      <c r="B73" s="5">
        <v>0</v>
      </c>
      <c r="C73" s="5">
        <v>1</v>
      </c>
      <c r="D73" s="5">
        <v>1</v>
      </c>
    </row>
    <row r="74" spans="1:4" x14ac:dyDescent="0.3">
      <c r="A74" t="str" cm="1">
        <f t="array" ref="A74">_xlfn.IFS(Append1[[#This Row],[weekday cnt]]=0,"Weekend",Append1[[#This Row],[weekday cnt]]=6,"Weekend",Append1[[#This Row],[weekday cnt]]&gt;0,"Weekday")</f>
        <v>Weekday</v>
      </c>
      <c r="B74" s="4">
        <v>0</v>
      </c>
      <c r="C74" s="4">
        <v>2</v>
      </c>
      <c r="D74" s="4">
        <v>2</v>
      </c>
    </row>
    <row r="75" spans="1:4" x14ac:dyDescent="0.3">
      <c r="A75" t="str" cm="1">
        <f t="array" ref="A75">_xlfn.IFS(Append1[[#This Row],[weekday cnt]]=0,"Weekend",Append1[[#This Row],[weekday cnt]]=6,"Weekend",Append1[[#This Row],[weekday cnt]]&gt;0,"Weekday")</f>
        <v>Weekday</v>
      </c>
      <c r="B75" s="5">
        <v>0</v>
      </c>
      <c r="C75" s="5">
        <v>4</v>
      </c>
      <c r="D75" s="5">
        <v>4</v>
      </c>
    </row>
    <row r="76" spans="1:4" x14ac:dyDescent="0.3">
      <c r="A76" t="str" cm="1">
        <f t="array" ref="A76">_xlfn.IFS(Append1[[#This Row],[weekday cnt]]=0,"Weekend",Append1[[#This Row],[weekday cnt]]=6,"Weekend",Append1[[#This Row],[weekday cnt]]&gt;0,"Weekday")</f>
        <v>Weekday</v>
      </c>
      <c r="B76" s="4">
        <v>0</v>
      </c>
      <c r="C76" s="4">
        <v>36</v>
      </c>
      <c r="D76" s="4">
        <v>36</v>
      </c>
    </row>
    <row r="77" spans="1:4" x14ac:dyDescent="0.3">
      <c r="A77" t="str" cm="1">
        <f t="array" ref="A77">_xlfn.IFS(Append1[[#This Row],[weekday cnt]]=0,"Weekend",Append1[[#This Row],[weekday cnt]]=6,"Weekend",Append1[[#This Row],[weekday cnt]]&gt;0,"Weekday")</f>
        <v>Weekday</v>
      </c>
      <c r="B77" s="5">
        <v>2</v>
      </c>
      <c r="C77" s="5">
        <v>92</v>
      </c>
      <c r="D77" s="5">
        <v>94</v>
      </c>
    </row>
    <row r="78" spans="1:4" x14ac:dyDescent="0.3">
      <c r="A78" t="str" cm="1">
        <f t="array" ref="A78">_xlfn.IFS(Append1[[#This Row],[weekday cnt]]=0,"Weekend",Append1[[#This Row],[weekday cnt]]=6,"Weekend",Append1[[#This Row],[weekday cnt]]&gt;0,"Weekday")</f>
        <v>Weekday</v>
      </c>
      <c r="B78" s="4">
        <v>2</v>
      </c>
      <c r="C78" s="4">
        <v>177</v>
      </c>
      <c r="D78" s="4">
        <v>179</v>
      </c>
    </row>
    <row r="79" spans="1:4" x14ac:dyDescent="0.3">
      <c r="A79" t="str" cm="1">
        <f t="array" ref="A79">_xlfn.IFS(Append1[[#This Row],[weekday cnt]]=0,"Weekend",Append1[[#This Row],[weekday cnt]]=6,"Weekend",Append1[[#This Row],[weekday cnt]]&gt;0,"Weekday")</f>
        <v>Weekday</v>
      </c>
      <c r="B79" s="5">
        <v>2</v>
      </c>
      <c r="C79" s="5">
        <v>98</v>
      </c>
      <c r="D79" s="5">
        <v>100</v>
      </c>
    </row>
    <row r="80" spans="1:4" x14ac:dyDescent="0.3">
      <c r="A80" t="str" cm="1">
        <f t="array" ref="A80">_xlfn.IFS(Append1[[#This Row],[weekday cnt]]=0,"Weekend",Append1[[#This Row],[weekday cnt]]=6,"Weekend",Append1[[#This Row],[weekday cnt]]&gt;0,"Weekday")</f>
        <v>Weekday</v>
      </c>
      <c r="B80" s="4">
        <v>5</v>
      </c>
      <c r="C80" s="4">
        <v>37</v>
      </c>
      <c r="D80" s="4">
        <v>42</v>
      </c>
    </row>
    <row r="81" spans="1:4" x14ac:dyDescent="0.3">
      <c r="A81" t="str" cm="1">
        <f t="array" ref="A81">_xlfn.IFS(Append1[[#This Row],[weekday cnt]]=0,"Weekend",Append1[[#This Row],[weekday cnt]]=6,"Weekend",Append1[[#This Row],[weekday cnt]]&gt;0,"Weekday")</f>
        <v>Weekday</v>
      </c>
      <c r="B81" s="5">
        <v>7</v>
      </c>
      <c r="C81" s="5">
        <v>50</v>
      </c>
      <c r="D81" s="5">
        <v>57</v>
      </c>
    </row>
    <row r="82" spans="1:4" x14ac:dyDescent="0.3">
      <c r="A82" t="str" cm="1">
        <f t="array" ref="A82">_xlfn.IFS(Append1[[#This Row],[weekday cnt]]=0,"Weekend",Append1[[#This Row],[weekday cnt]]=6,"Weekend",Append1[[#This Row],[weekday cnt]]&gt;0,"Weekday")</f>
        <v>Weekday</v>
      </c>
      <c r="B82" s="4">
        <v>12</v>
      </c>
      <c r="C82" s="4">
        <v>66</v>
      </c>
      <c r="D82" s="4">
        <v>78</v>
      </c>
    </row>
    <row r="83" spans="1:4" x14ac:dyDescent="0.3">
      <c r="A83" t="str" cm="1">
        <f t="array" ref="A83">_xlfn.IFS(Append1[[#This Row],[weekday cnt]]=0,"Weekend",Append1[[#This Row],[weekday cnt]]=6,"Weekend",Append1[[#This Row],[weekday cnt]]&gt;0,"Weekday")</f>
        <v>Weekday</v>
      </c>
      <c r="B83" s="5">
        <v>18</v>
      </c>
      <c r="C83" s="5">
        <v>79</v>
      </c>
      <c r="D83" s="5">
        <v>97</v>
      </c>
    </row>
    <row r="84" spans="1:4" x14ac:dyDescent="0.3">
      <c r="A84" t="str" cm="1">
        <f t="array" ref="A84">_xlfn.IFS(Append1[[#This Row],[weekday cnt]]=0,"Weekend",Append1[[#This Row],[weekday cnt]]=6,"Weekend",Append1[[#This Row],[weekday cnt]]&gt;0,"Weekday")</f>
        <v>Weekday</v>
      </c>
      <c r="B84" s="4">
        <v>9</v>
      </c>
      <c r="C84" s="4">
        <v>54</v>
      </c>
      <c r="D84" s="4">
        <v>63</v>
      </c>
    </row>
    <row r="85" spans="1:4" x14ac:dyDescent="0.3">
      <c r="A85" t="str" cm="1">
        <f t="array" ref="A85">_xlfn.IFS(Append1[[#This Row],[weekday cnt]]=0,"Weekend",Append1[[#This Row],[weekday cnt]]=6,"Weekend",Append1[[#This Row],[weekday cnt]]&gt;0,"Weekday")</f>
        <v>Weekday</v>
      </c>
      <c r="B85" s="5">
        <v>17</v>
      </c>
      <c r="C85" s="5">
        <v>48</v>
      </c>
      <c r="D85" s="5">
        <v>65</v>
      </c>
    </row>
    <row r="86" spans="1:4" x14ac:dyDescent="0.3">
      <c r="A86" t="str" cm="1">
        <f t="array" ref="A86">_xlfn.IFS(Append1[[#This Row],[weekday cnt]]=0,"Weekend",Append1[[#This Row],[weekday cnt]]=6,"Weekend",Append1[[#This Row],[weekday cnt]]&gt;0,"Weekday")</f>
        <v>Weekday</v>
      </c>
      <c r="B86" s="4">
        <v>15</v>
      </c>
      <c r="C86" s="4">
        <v>68</v>
      </c>
      <c r="D86" s="4">
        <v>83</v>
      </c>
    </row>
    <row r="87" spans="1:4" x14ac:dyDescent="0.3">
      <c r="A87" t="str" cm="1">
        <f t="array" ref="A87">_xlfn.IFS(Append1[[#This Row],[weekday cnt]]=0,"Weekend",Append1[[#This Row],[weekday cnt]]=6,"Weekend",Append1[[#This Row],[weekday cnt]]&gt;0,"Weekday")</f>
        <v>Weekday</v>
      </c>
      <c r="B87" s="5">
        <v>10</v>
      </c>
      <c r="C87" s="5">
        <v>202</v>
      </c>
      <c r="D87" s="5">
        <v>212</v>
      </c>
    </row>
    <row r="88" spans="1:4" x14ac:dyDescent="0.3">
      <c r="A88" t="str" cm="1">
        <f t="array" ref="A88">_xlfn.IFS(Append1[[#This Row],[weekday cnt]]=0,"Weekend",Append1[[#This Row],[weekday cnt]]=6,"Weekend",Append1[[#This Row],[weekday cnt]]&gt;0,"Weekday")</f>
        <v>Weekday</v>
      </c>
      <c r="B88" s="4">
        <v>3</v>
      </c>
      <c r="C88" s="4">
        <v>179</v>
      </c>
      <c r="D88" s="4">
        <v>182</v>
      </c>
    </row>
    <row r="89" spans="1:4" x14ac:dyDescent="0.3">
      <c r="A89" t="str" cm="1">
        <f t="array" ref="A89">_xlfn.IFS(Append1[[#This Row],[weekday cnt]]=0,"Weekend",Append1[[#This Row],[weekday cnt]]=6,"Weekend",Append1[[#This Row],[weekday cnt]]&gt;0,"Weekday")</f>
        <v>Weekday</v>
      </c>
      <c r="B89" s="5">
        <v>2</v>
      </c>
      <c r="C89" s="5">
        <v>110</v>
      </c>
      <c r="D89" s="5">
        <v>112</v>
      </c>
    </row>
    <row r="90" spans="1:4" x14ac:dyDescent="0.3">
      <c r="A90" t="str" cm="1">
        <f t="array" ref="A90">_xlfn.IFS(Append1[[#This Row],[weekday cnt]]=0,"Weekend",Append1[[#This Row],[weekday cnt]]=6,"Weekend",Append1[[#This Row],[weekday cnt]]&gt;0,"Weekday")</f>
        <v>Weekday</v>
      </c>
      <c r="B90" s="4">
        <v>1</v>
      </c>
      <c r="C90" s="4">
        <v>53</v>
      </c>
      <c r="D90" s="4">
        <v>54</v>
      </c>
    </row>
    <row r="91" spans="1:4" x14ac:dyDescent="0.3">
      <c r="A91" t="str" cm="1">
        <f t="array" ref="A91">_xlfn.IFS(Append1[[#This Row],[weekday cnt]]=0,"Weekend",Append1[[#This Row],[weekday cnt]]=6,"Weekend",Append1[[#This Row],[weekday cnt]]&gt;0,"Weekday")</f>
        <v>Weekday</v>
      </c>
      <c r="B91" s="5">
        <v>0</v>
      </c>
      <c r="C91" s="5">
        <v>48</v>
      </c>
      <c r="D91" s="5">
        <v>48</v>
      </c>
    </row>
    <row r="92" spans="1:4" x14ac:dyDescent="0.3">
      <c r="A92" t="str" cm="1">
        <f t="array" ref="A92">_xlfn.IFS(Append1[[#This Row],[weekday cnt]]=0,"Weekend",Append1[[#This Row],[weekday cnt]]=6,"Weekend",Append1[[#This Row],[weekday cnt]]&gt;0,"Weekday")</f>
        <v>Weekday</v>
      </c>
      <c r="B92" s="4">
        <v>1</v>
      </c>
      <c r="C92" s="4">
        <v>34</v>
      </c>
      <c r="D92" s="4">
        <v>35</v>
      </c>
    </row>
    <row r="93" spans="1:4" x14ac:dyDescent="0.3">
      <c r="A93" t="str" cm="1">
        <f t="array" ref="A93">_xlfn.IFS(Append1[[#This Row],[weekday cnt]]=0,"Weekend",Append1[[#This Row],[weekday cnt]]=6,"Weekend",Append1[[#This Row],[weekday cnt]]&gt;0,"Weekday")</f>
        <v>Weekday</v>
      </c>
      <c r="B93" s="5">
        <v>2</v>
      </c>
      <c r="C93" s="5">
        <v>9</v>
      </c>
      <c r="D93" s="5">
        <v>11</v>
      </c>
    </row>
    <row r="94" spans="1:4" x14ac:dyDescent="0.3">
      <c r="A94" t="str" cm="1">
        <f t="array" ref="A94">_xlfn.IFS(Append1[[#This Row],[weekday cnt]]=0,"Weekend",Append1[[#This Row],[weekday cnt]]=6,"Weekend",Append1[[#This Row],[weekday cnt]]&gt;0,"Weekday")</f>
        <v>Weekday</v>
      </c>
      <c r="B94" s="4">
        <v>0</v>
      </c>
      <c r="C94" s="4">
        <v>6</v>
      </c>
      <c r="D94" s="4">
        <v>6</v>
      </c>
    </row>
    <row r="95" spans="1:4" x14ac:dyDescent="0.3">
      <c r="A95" t="str" cm="1">
        <f t="array" ref="A95">_xlfn.IFS(Append1[[#This Row],[weekday cnt]]=0,"Weekend",Append1[[#This Row],[weekday cnt]]=6,"Weekend",Append1[[#This Row],[weekday cnt]]&gt;0,"Weekday")</f>
        <v>Weekday</v>
      </c>
      <c r="B95" s="5">
        <v>0</v>
      </c>
      <c r="C95" s="5">
        <v>6</v>
      </c>
      <c r="D95" s="5">
        <v>6</v>
      </c>
    </row>
    <row r="96" spans="1:4" x14ac:dyDescent="0.3">
      <c r="A96" t="str" cm="1">
        <f t="array" ref="A96">_xlfn.IFS(Append1[[#This Row],[weekday cnt]]=0,"Weekend",Append1[[#This Row],[weekday cnt]]=6,"Weekend",Append1[[#This Row],[weekday cnt]]&gt;0,"Weekday")</f>
        <v>Weekday</v>
      </c>
      <c r="B96" s="4">
        <v>0</v>
      </c>
      <c r="C96" s="4">
        <v>2</v>
      </c>
      <c r="D96" s="4">
        <v>2</v>
      </c>
    </row>
    <row r="97" spans="1:4" x14ac:dyDescent="0.3">
      <c r="A97" t="str" cm="1">
        <f t="array" ref="A97">_xlfn.IFS(Append1[[#This Row],[weekday cnt]]=0,"Weekend",Append1[[#This Row],[weekday cnt]]=6,"Weekend",Append1[[#This Row],[weekday cnt]]&gt;0,"Weekday")</f>
        <v>Weekday</v>
      </c>
      <c r="B97" s="5">
        <v>0</v>
      </c>
      <c r="C97" s="5">
        <v>2</v>
      </c>
      <c r="D97" s="5">
        <v>2</v>
      </c>
    </row>
    <row r="98" spans="1:4" x14ac:dyDescent="0.3">
      <c r="A98" t="str" cm="1">
        <f t="array" ref="A98">_xlfn.IFS(Append1[[#This Row],[weekday cnt]]=0,"Weekend",Append1[[#This Row],[weekday cnt]]=6,"Weekend",Append1[[#This Row],[weekday cnt]]&gt;0,"Weekday")</f>
        <v>Weekday</v>
      </c>
      <c r="B98" s="4">
        <v>0</v>
      </c>
      <c r="C98" s="4">
        <v>3</v>
      </c>
      <c r="D98" s="4">
        <v>3</v>
      </c>
    </row>
    <row r="99" spans="1:4" x14ac:dyDescent="0.3">
      <c r="A99" t="str" cm="1">
        <f t="array" ref="A99">_xlfn.IFS(Append1[[#This Row],[weekday cnt]]=0,"Weekend",Append1[[#This Row],[weekday cnt]]=6,"Weekend",Append1[[#This Row],[weekday cnt]]&gt;0,"Weekday")</f>
        <v>Weekday</v>
      </c>
      <c r="B99" s="5">
        <v>0</v>
      </c>
      <c r="C99" s="5">
        <v>33</v>
      </c>
      <c r="D99" s="5">
        <v>33</v>
      </c>
    </row>
    <row r="100" spans="1:4" x14ac:dyDescent="0.3">
      <c r="A100" t="str" cm="1">
        <f t="array" ref="A100">_xlfn.IFS(Append1[[#This Row],[weekday cnt]]=0,"Weekend",Append1[[#This Row],[weekday cnt]]=6,"Weekend",Append1[[#This Row],[weekday cnt]]&gt;0,"Weekday")</f>
        <v>Weekday</v>
      </c>
      <c r="B100" s="4">
        <v>1</v>
      </c>
      <c r="C100" s="4">
        <v>87</v>
      </c>
      <c r="D100" s="4">
        <v>88</v>
      </c>
    </row>
    <row r="101" spans="1:4" x14ac:dyDescent="0.3">
      <c r="A101" t="str" cm="1">
        <f t="array" ref="A101">_xlfn.IFS(Append1[[#This Row],[weekday cnt]]=0,"Weekend",Append1[[#This Row],[weekday cnt]]=6,"Weekend",Append1[[#This Row],[weekday cnt]]&gt;0,"Weekday")</f>
        <v>Weekday</v>
      </c>
      <c r="B101" s="5">
        <v>3</v>
      </c>
      <c r="C101" s="5">
        <v>192</v>
      </c>
      <c r="D101" s="5">
        <v>195</v>
      </c>
    </row>
    <row r="102" spans="1:4" x14ac:dyDescent="0.3">
      <c r="A102" t="str" cm="1">
        <f t="array" ref="A102">_xlfn.IFS(Append1[[#This Row],[weekday cnt]]=0,"Weekend",Append1[[#This Row],[weekday cnt]]=6,"Weekend",Append1[[#This Row],[weekday cnt]]&gt;0,"Weekday")</f>
        <v>Weekday</v>
      </c>
      <c r="B102" s="4">
        <v>6</v>
      </c>
      <c r="C102" s="4">
        <v>109</v>
      </c>
      <c r="D102" s="4">
        <v>115</v>
      </c>
    </row>
    <row r="103" spans="1:4" x14ac:dyDescent="0.3">
      <c r="A103" t="str" cm="1">
        <f t="array" ref="A103">_xlfn.IFS(Append1[[#This Row],[weekday cnt]]=0,"Weekend",Append1[[#This Row],[weekday cnt]]=6,"Weekend",Append1[[#This Row],[weekday cnt]]&gt;0,"Weekday")</f>
        <v>Weekday</v>
      </c>
      <c r="B103" s="5">
        <v>4</v>
      </c>
      <c r="C103" s="5">
        <v>53</v>
      </c>
      <c r="D103" s="5">
        <v>57</v>
      </c>
    </row>
    <row r="104" spans="1:4" x14ac:dyDescent="0.3">
      <c r="A104" t="str" cm="1">
        <f t="array" ref="A104">_xlfn.IFS(Append1[[#This Row],[weekday cnt]]=0,"Weekend",Append1[[#This Row],[weekday cnt]]=6,"Weekend",Append1[[#This Row],[weekday cnt]]&gt;0,"Weekday")</f>
        <v>Weekday</v>
      </c>
      <c r="B104" s="4">
        <v>12</v>
      </c>
      <c r="C104" s="4">
        <v>34</v>
      </c>
      <c r="D104" s="4">
        <v>46</v>
      </c>
    </row>
    <row r="105" spans="1:4" x14ac:dyDescent="0.3">
      <c r="A105" t="str" cm="1">
        <f t="array" ref="A105">_xlfn.IFS(Append1[[#This Row],[weekday cnt]]=0,"Weekend",Append1[[#This Row],[weekday cnt]]=6,"Weekend",Append1[[#This Row],[weekday cnt]]&gt;0,"Weekday")</f>
        <v>Weekday</v>
      </c>
      <c r="B105" s="5">
        <v>5</v>
      </c>
      <c r="C105" s="5">
        <v>74</v>
      </c>
      <c r="D105" s="5">
        <v>79</v>
      </c>
    </row>
    <row r="106" spans="1:4" x14ac:dyDescent="0.3">
      <c r="A106" t="str" cm="1">
        <f t="array" ref="A106">_xlfn.IFS(Append1[[#This Row],[weekday cnt]]=0,"Weekend",Append1[[#This Row],[weekday cnt]]=6,"Weekend",Append1[[#This Row],[weekday cnt]]&gt;0,"Weekday")</f>
        <v>Weekday</v>
      </c>
      <c r="B106" s="4">
        <v>6</v>
      </c>
      <c r="C106" s="4">
        <v>65</v>
      </c>
      <c r="D106" s="4">
        <v>71</v>
      </c>
    </row>
    <row r="107" spans="1:4" x14ac:dyDescent="0.3">
      <c r="A107" t="str" cm="1">
        <f t="array" ref="A107">_xlfn.IFS(Append1[[#This Row],[weekday cnt]]=0,"Weekend",Append1[[#This Row],[weekday cnt]]=6,"Weekend",Append1[[#This Row],[weekday cnt]]&gt;0,"Weekday")</f>
        <v>Weekday</v>
      </c>
      <c r="B107" s="5">
        <v>10</v>
      </c>
      <c r="C107" s="5">
        <v>52</v>
      </c>
      <c r="D107" s="5">
        <v>62</v>
      </c>
    </row>
    <row r="108" spans="1:4" x14ac:dyDescent="0.3">
      <c r="A108" t="str" cm="1">
        <f t="array" ref="A108">_xlfn.IFS(Append1[[#This Row],[weekday cnt]]=0,"Weekend",Append1[[#This Row],[weekday cnt]]=6,"Weekend",Append1[[#This Row],[weekday cnt]]&gt;0,"Weekday")</f>
        <v>Weekday</v>
      </c>
      <c r="B108" s="4">
        <v>7</v>
      </c>
      <c r="C108" s="4">
        <v>55</v>
      </c>
      <c r="D108" s="4">
        <v>62</v>
      </c>
    </row>
    <row r="109" spans="1:4" x14ac:dyDescent="0.3">
      <c r="A109" t="str" cm="1">
        <f t="array" ref="A109">_xlfn.IFS(Append1[[#This Row],[weekday cnt]]=0,"Weekend",Append1[[#This Row],[weekday cnt]]=6,"Weekend",Append1[[#This Row],[weekday cnt]]&gt;0,"Weekday")</f>
        <v>Weekday</v>
      </c>
      <c r="B109" s="5">
        <v>4</v>
      </c>
      <c r="C109" s="5">
        <v>85</v>
      </c>
      <c r="D109" s="5">
        <v>89</v>
      </c>
    </row>
    <row r="110" spans="1:4" x14ac:dyDescent="0.3">
      <c r="A110" t="str" cm="1">
        <f t="array" ref="A110">_xlfn.IFS(Append1[[#This Row],[weekday cnt]]=0,"Weekend",Append1[[#This Row],[weekday cnt]]=6,"Weekend",Append1[[#This Row],[weekday cnt]]&gt;0,"Weekday")</f>
        <v>Weekday</v>
      </c>
      <c r="B110" s="4">
        <v>4</v>
      </c>
      <c r="C110" s="4">
        <v>186</v>
      </c>
      <c r="D110" s="4">
        <v>190</v>
      </c>
    </row>
    <row r="111" spans="1:4" x14ac:dyDescent="0.3">
      <c r="A111" t="str" cm="1">
        <f t="array" ref="A111">_xlfn.IFS(Append1[[#This Row],[weekday cnt]]=0,"Weekend",Append1[[#This Row],[weekday cnt]]=6,"Weekend",Append1[[#This Row],[weekday cnt]]&gt;0,"Weekday")</f>
        <v>Weekday</v>
      </c>
      <c r="B111" s="5">
        <v>3</v>
      </c>
      <c r="C111" s="5">
        <v>166</v>
      </c>
      <c r="D111" s="5">
        <v>169</v>
      </c>
    </row>
    <row r="112" spans="1:4" x14ac:dyDescent="0.3">
      <c r="A112" t="str" cm="1">
        <f t="array" ref="A112">_xlfn.IFS(Append1[[#This Row],[weekday cnt]]=0,"Weekend",Append1[[#This Row],[weekday cnt]]=6,"Weekend",Append1[[#This Row],[weekday cnt]]&gt;0,"Weekday")</f>
        <v>Weekday</v>
      </c>
      <c r="B112" s="4">
        <v>5</v>
      </c>
      <c r="C112" s="4">
        <v>127</v>
      </c>
      <c r="D112" s="4">
        <v>132</v>
      </c>
    </row>
    <row r="113" spans="1:4" x14ac:dyDescent="0.3">
      <c r="A113" t="str" cm="1">
        <f t="array" ref="A113">_xlfn.IFS(Append1[[#This Row],[weekday cnt]]=0,"Weekend",Append1[[#This Row],[weekday cnt]]=6,"Weekend",Append1[[#This Row],[weekday cnt]]&gt;0,"Weekday")</f>
        <v>Weekday</v>
      </c>
      <c r="B113" s="5">
        <v>7</v>
      </c>
      <c r="C113" s="5">
        <v>82</v>
      </c>
      <c r="D113" s="5">
        <v>89</v>
      </c>
    </row>
    <row r="114" spans="1:4" x14ac:dyDescent="0.3">
      <c r="A114" t="str" cm="1">
        <f t="array" ref="A114">_xlfn.IFS(Append1[[#This Row],[weekday cnt]]=0,"Weekend",Append1[[#This Row],[weekday cnt]]=6,"Weekend",Append1[[#This Row],[weekday cnt]]&gt;0,"Weekday")</f>
        <v>Weekday</v>
      </c>
      <c r="B114" s="4">
        <v>3</v>
      </c>
      <c r="C114" s="4">
        <v>40</v>
      </c>
      <c r="D114" s="4">
        <v>43</v>
      </c>
    </row>
    <row r="115" spans="1:4" x14ac:dyDescent="0.3">
      <c r="A115" t="str" cm="1">
        <f t="array" ref="A115">_xlfn.IFS(Append1[[#This Row],[weekday cnt]]=0,"Weekend",Append1[[#This Row],[weekday cnt]]=6,"Weekend",Append1[[#This Row],[weekday cnt]]&gt;0,"Weekday")</f>
        <v>Weekday</v>
      </c>
      <c r="B115" s="5">
        <v>1</v>
      </c>
      <c r="C115" s="5">
        <v>41</v>
      </c>
      <c r="D115" s="5">
        <v>42</v>
      </c>
    </row>
    <row r="116" spans="1:4" x14ac:dyDescent="0.3">
      <c r="A116" t="str" cm="1">
        <f t="array" ref="A116">_xlfn.IFS(Append1[[#This Row],[weekday cnt]]=0,"Weekend",Append1[[#This Row],[weekday cnt]]=6,"Weekend",Append1[[#This Row],[weekday cnt]]&gt;0,"Weekday")</f>
        <v>Weekday</v>
      </c>
      <c r="B116" s="4">
        <v>1</v>
      </c>
      <c r="C116" s="4">
        <v>18</v>
      </c>
      <c r="D116" s="4">
        <v>19</v>
      </c>
    </row>
    <row r="117" spans="1:4" x14ac:dyDescent="0.3">
      <c r="A117" t="str" cm="1">
        <f t="array" ref="A117">_xlfn.IFS(Append1[[#This Row],[weekday cnt]]=0,"Weekend",Append1[[#This Row],[weekday cnt]]=6,"Weekend",Append1[[#This Row],[weekday cnt]]&gt;0,"Weekday")</f>
        <v>Weekday</v>
      </c>
      <c r="B117" s="5">
        <v>0</v>
      </c>
      <c r="C117" s="5">
        <v>11</v>
      </c>
      <c r="D117" s="5">
        <v>11</v>
      </c>
    </row>
    <row r="118" spans="1:4" x14ac:dyDescent="0.3">
      <c r="A118" t="str" cm="1">
        <f t="array" ref="A118">_xlfn.IFS(Append1[[#This Row],[weekday cnt]]=0,"Weekend",Append1[[#This Row],[weekday cnt]]=6,"Weekend",Append1[[#This Row],[weekday cnt]]&gt;0,"Weekday")</f>
        <v>Weekday</v>
      </c>
      <c r="B118" s="4">
        <v>0</v>
      </c>
      <c r="C118" s="4">
        <v>4</v>
      </c>
      <c r="D118" s="4">
        <v>4</v>
      </c>
    </row>
    <row r="119" spans="1:4" x14ac:dyDescent="0.3">
      <c r="A119" t="str" cm="1">
        <f t="array" ref="A119">_xlfn.IFS(Append1[[#This Row],[weekday cnt]]=0,"Weekend",Append1[[#This Row],[weekday cnt]]=6,"Weekend",Append1[[#This Row],[weekday cnt]]&gt;0,"Weekday")</f>
        <v>Weekday</v>
      </c>
      <c r="B119" s="5">
        <v>0</v>
      </c>
      <c r="C119" s="5">
        <v>2</v>
      </c>
      <c r="D119" s="5">
        <v>2</v>
      </c>
    </row>
    <row r="120" spans="1:4" x14ac:dyDescent="0.3">
      <c r="A120" t="str" cm="1">
        <f t="array" ref="A120">_xlfn.IFS(Append1[[#This Row],[weekday cnt]]=0,"Weekend",Append1[[#This Row],[weekday cnt]]=6,"Weekend",Append1[[#This Row],[weekday cnt]]&gt;0,"Weekday")</f>
        <v>Weekday</v>
      </c>
      <c r="B120" s="4">
        <v>0</v>
      </c>
      <c r="C120" s="4">
        <v>1</v>
      </c>
      <c r="D120" s="4">
        <v>1</v>
      </c>
    </row>
    <row r="121" spans="1:4" x14ac:dyDescent="0.3">
      <c r="A121" t="str" cm="1">
        <f t="array" ref="A121">_xlfn.IFS(Append1[[#This Row],[weekday cnt]]=0,"Weekend",Append1[[#This Row],[weekday cnt]]=6,"Weekend",Append1[[#This Row],[weekday cnt]]&gt;0,"Weekday")</f>
        <v>Weekday</v>
      </c>
      <c r="B121" s="5">
        <v>0</v>
      </c>
      <c r="C121" s="5">
        <v>4</v>
      </c>
      <c r="D121" s="5">
        <v>4</v>
      </c>
    </row>
    <row r="122" spans="1:4" x14ac:dyDescent="0.3">
      <c r="A122" t="str" cm="1">
        <f t="array" ref="A122">_xlfn.IFS(Append1[[#This Row],[weekday cnt]]=0,"Weekend",Append1[[#This Row],[weekday cnt]]=6,"Weekend",Append1[[#This Row],[weekday cnt]]&gt;0,"Weekday")</f>
        <v>Weekday</v>
      </c>
      <c r="B122" s="4">
        <v>0</v>
      </c>
      <c r="C122" s="4">
        <v>36</v>
      </c>
      <c r="D122" s="4">
        <v>36</v>
      </c>
    </row>
    <row r="123" spans="1:4" x14ac:dyDescent="0.3">
      <c r="A123" t="str" cm="1">
        <f t="array" ref="A123">_xlfn.IFS(Append1[[#This Row],[weekday cnt]]=0,"Weekend",Append1[[#This Row],[weekday cnt]]=6,"Weekend",Append1[[#This Row],[weekday cnt]]&gt;0,"Weekday")</f>
        <v>Weekday</v>
      </c>
      <c r="B123" s="5">
        <v>0</v>
      </c>
      <c r="C123" s="5">
        <v>95</v>
      </c>
      <c r="D123" s="5">
        <v>95</v>
      </c>
    </row>
    <row r="124" spans="1:4" x14ac:dyDescent="0.3">
      <c r="A124" t="str" cm="1">
        <f t="array" ref="A124">_xlfn.IFS(Append1[[#This Row],[weekday cnt]]=0,"Weekend",Append1[[#This Row],[weekday cnt]]=6,"Weekend",Append1[[#This Row],[weekday cnt]]&gt;0,"Weekday")</f>
        <v>Weekday</v>
      </c>
      <c r="B124" s="4">
        <v>3</v>
      </c>
      <c r="C124" s="4">
        <v>216</v>
      </c>
      <c r="D124" s="4">
        <v>219</v>
      </c>
    </row>
    <row r="125" spans="1:4" x14ac:dyDescent="0.3">
      <c r="A125" t="str" cm="1">
        <f t="array" ref="A125">_xlfn.IFS(Append1[[#This Row],[weekday cnt]]=0,"Weekend",Append1[[#This Row],[weekday cnt]]=6,"Weekend",Append1[[#This Row],[weekday cnt]]&gt;0,"Weekday")</f>
        <v>Weekday</v>
      </c>
      <c r="B125" s="5">
        <v>6</v>
      </c>
      <c r="C125" s="5">
        <v>116</v>
      </c>
      <c r="D125" s="5">
        <v>122</v>
      </c>
    </row>
    <row r="126" spans="1:4" x14ac:dyDescent="0.3">
      <c r="A126" t="str" cm="1">
        <f t="array" ref="A126">_xlfn.IFS(Append1[[#This Row],[weekday cnt]]=0,"Weekend",Append1[[#This Row],[weekday cnt]]=6,"Weekend",Append1[[#This Row],[weekday cnt]]&gt;0,"Weekday")</f>
        <v>Weekday</v>
      </c>
      <c r="B126" s="4">
        <v>3</v>
      </c>
      <c r="C126" s="4">
        <v>42</v>
      </c>
      <c r="D126" s="4">
        <v>45</v>
      </c>
    </row>
    <row r="127" spans="1:4" x14ac:dyDescent="0.3">
      <c r="A127" t="str" cm="1">
        <f t="array" ref="A127">_xlfn.IFS(Append1[[#This Row],[weekday cnt]]=0,"Weekend",Append1[[#This Row],[weekday cnt]]=6,"Weekend",Append1[[#This Row],[weekday cnt]]&gt;0,"Weekday")</f>
        <v>Weekday</v>
      </c>
      <c r="B127" s="5">
        <v>2</v>
      </c>
      <c r="C127" s="5">
        <v>57</v>
      </c>
      <c r="D127" s="5">
        <v>59</v>
      </c>
    </row>
    <row r="128" spans="1:4" x14ac:dyDescent="0.3">
      <c r="A128" t="str" cm="1">
        <f t="array" ref="A128">_xlfn.IFS(Append1[[#This Row],[weekday cnt]]=0,"Weekend",Append1[[#This Row],[weekday cnt]]=6,"Weekend",Append1[[#This Row],[weekday cnt]]&gt;0,"Weekday")</f>
        <v>Weekday</v>
      </c>
      <c r="B128" s="4">
        <v>6</v>
      </c>
      <c r="C128" s="4">
        <v>78</v>
      </c>
      <c r="D128" s="4">
        <v>84</v>
      </c>
    </row>
    <row r="129" spans="1:4" x14ac:dyDescent="0.3">
      <c r="A129" t="str" cm="1">
        <f t="array" ref="A129">_xlfn.IFS(Append1[[#This Row],[weekday cnt]]=0,"Weekend",Append1[[#This Row],[weekday cnt]]=6,"Weekend",Append1[[#This Row],[weekday cnt]]&gt;0,"Weekday")</f>
        <v>Weekday</v>
      </c>
      <c r="B129" s="5">
        <v>12</v>
      </c>
      <c r="C129" s="5">
        <v>55</v>
      </c>
      <c r="D129" s="5">
        <v>67</v>
      </c>
    </row>
    <row r="130" spans="1:4" x14ac:dyDescent="0.3">
      <c r="A130" t="str" cm="1">
        <f t="array" ref="A130">_xlfn.IFS(Append1[[#This Row],[weekday cnt]]=0,"Weekend",Append1[[#This Row],[weekday cnt]]=6,"Weekend",Append1[[#This Row],[weekday cnt]]&gt;0,"Weekday")</f>
        <v>Weekday</v>
      </c>
      <c r="B130" s="4">
        <v>11</v>
      </c>
      <c r="C130" s="4">
        <v>59</v>
      </c>
      <c r="D130" s="4">
        <v>70</v>
      </c>
    </row>
    <row r="131" spans="1:4" x14ac:dyDescent="0.3">
      <c r="A131" t="str" cm="1">
        <f t="array" ref="A131">_xlfn.IFS(Append1[[#This Row],[weekday cnt]]=0,"Weekend",Append1[[#This Row],[weekday cnt]]=6,"Weekend",Append1[[#This Row],[weekday cnt]]&gt;0,"Weekday")</f>
        <v>Weekday</v>
      </c>
      <c r="B131" s="5">
        <v>8</v>
      </c>
      <c r="C131" s="5">
        <v>54</v>
      </c>
      <c r="D131" s="5">
        <v>62</v>
      </c>
    </row>
    <row r="132" spans="1:4" x14ac:dyDescent="0.3">
      <c r="A132" t="str" cm="1">
        <f t="array" ref="A132">_xlfn.IFS(Append1[[#This Row],[weekday cnt]]=0,"Weekend",Append1[[#This Row],[weekday cnt]]=6,"Weekend",Append1[[#This Row],[weekday cnt]]&gt;0,"Weekday")</f>
        <v>Weekday</v>
      </c>
      <c r="B132" s="4">
        <v>12</v>
      </c>
      <c r="C132" s="4">
        <v>74</v>
      </c>
      <c r="D132" s="4">
        <v>86</v>
      </c>
    </row>
    <row r="133" spans="1:4" x14ac:dyDescent="0.3">
      <c r="A133" t="str" cm="1">
        <f t="array" ref="A133">_xlfn.IFS(Append1[[#This Row],[weekday cnt]]=0,"Weekend",Append1[[#This Row],[weekday cnt]]=6,"Weekend",Append1[[#This Row],[weekday cnt]]&gt;0,"Weekday")</f>
        <v>Weekday</v>
      </c>
      <c r="B133" s="5">
        <v>9</v>
      </c>
      <c r="C133" s="5">
        <v>163</v>
      </c>
      <c r="D133" s="5">
        <v>172</v>
      </c>
    </row>
    <row r="134" spans="1:4" x14ac:dyDescent="0.3">
      <c r="A134" t="str" cm="1">
        <f t="array" ref="A134">_xlfn.IFS(Append1[[#This Row],[weekday cnt]]=0,"Weekend",Append1[[#This Row],[weekday cnt]]=6,"Weekend",Append1[[#This Row],[weekday cnt]]&gt;0,"Weekday")</f>
        <v>Weekday</v>
      </c>
      <c r="B134" s="4">
        <v>5</v>
      </c>
      <c r="C134" s="4">
        <v>158</v>
      </c>
      <c r="D134" s="4">
        <v>163</v>
      </c>
    </row>
    <row r="135" spans="1:4" x14ac:dyDescent="0.3">
      <c r="A135" t="str" cm="1">
        <f t="array" ref="A135">_xlfn.IFS(Append1[[#This Row],[weekday cnt]]=0,"Weekend",Append1[[#This Row],[weekday cnt]]=6,"Weekend",Append1[[#This Row],[weekday cnt]]&gt;0,"Weekday")</f>
        <v>Weekday</v>
      </c>
      <c r="B135" s="5">
        <v>3</v>
      </c>
      <c r="C135" s="5">
        <v>109</v>
      </c>
      <c r="D135" s="5">
        <v>112</v>
      </c>
    </row>
    <row r="136" spans="1:4" x14ac:dyDescent="0.3">
      <c r="A136" t="str" cm="1">
        <f t="array" ref="A136">_xlfn.IFS(Append1[[#This Row],[weekday cnt]]=0,"Weekend",Append1[[#This Row],[weekday cnt]]=6,"Weekend",Append1[[#This Row],[weekday cnt]]&gt;0,"Weekday")</f>
        <v>Weekday</v>
      </c>
      <c r="B136" s="4">
        <v>3</v>
      </c>
      <c r="C136" s="4">
        <v>66</v>
      </c>
      <c r="D136" s="4">
        <v>69</v>
      </c>
    </row>
    <row r="137" spans="1:4" x14ac:dyDescent="0.3">
      <c r="A137" t="str" cm="1">
        <f t="array" ref="A137">_xlfn.IFS(Append1[[#This Row],[weekday cnt]]=0,"Weekend",Append1[[#This Row],[weekday cnt]]=6,"Weekend",Append1[[#This Row],[weekday cnt]]&gt;0,"Weekday")</f>
        <v>Weekday</v>
      </c>
      <c r="B137" s="5">
        <v>0</v>
      </c>
      <c r="C137" s="5">
        <v>48</v>
      </c>
      <c r="D137" s="5">
        <v>48</v>
      </c>
    </row>
    <row r="138" spans="1:4" x14ac:dyDescent="0.3">
      <c r="A138" t="str" cm="1">
        <f t="array" ref="A138">_xlfn.IFS(Append1[[#This Row],[weekday cnt]]=0,"Weekend",Append1[[#This Row],[weekday cnt]]=6,"Weekend",Append1[[#This Row],[weekday cnt]]&gt;0,"Weekday")</f>
        <v>Weekday</v>
      </c>
      <c r="B138" s="4">
        <v>1</v>
      </c>
      <c r="C138" s="4">
        <v>51</v>
      </c>
      <c r="D138" s="4">
        <v>52</v>
      </c>
    </row>
    <row r="139" spans="1:4" x14ac:dyDescent="0.3">
      <c r="A139" t="str" cm="1">
        <f t="array" ref="A139">_xlfn.IFS(Append1[[#This Row],[weekday cnt]]=0,"Weekend",Append1[[#This Row],[weekday cnt]]=6,"Weekend",Append1[[#This Row],[weekday cnt]]&gt;0,"Weekday")</f>
        <v>Weekday</v>
      </c>
      <c r="B139" s="5">
        <v>4</v>
      </c>
      <c r="C139" s="5">
        <v>19</v>
      </c>
      <c r="D139" s="5">
        <v>23</v>
      </c>
    </row>
    <row r="140" spans="1:4" x14ac:dyDescent="0.3">
      <c r="A140" t="str" cm="1">
        <f t="array" ref="A140">_xlfn.IFS(Append1[[#This Row],[weekday cnt]]=0,"Weekend",Append1[[#This Row],[weekday cnt]]=6,"Weekend",Append1[[#This Row],[weekday cnt]]&gt;0,"Weekday")</f>
        <v>Weekday</v>
      </c>
      <c r="B140" s="4">
        <v>4</v>
      </c>
      <c r="C140" s="4">
        <v>13</v>
      </c>
      <c r="D140" s="4">
        <v>17</v>
      </c>
    </row>
    <row r="141" spans="1:4" x14ac:dyDescent="0.3">
      <c r="A141" t="str" cm="1">
        <f t="array" ref="A141">_xlfn.IFS(Append1[[#This Row],[weekday cnt]]=0,"Weekend",Append1[[#This Row],[weekday cnt]]=6,"Weekend",Append1[[#This Row],[weekday cnt]]&gt;0,"Weekday")</f>
        <v>Weekday</v>
      </c>
      <c r="B141" s="5">
        <v>2</v>
      </c>
      <c r="C141" s="5">
        <v>5</v>
      </c>
      <c r="D141" s="5">
        <v>7</v>
      </c>
    </row>
    <row r="142" spans="1:4" x14ac:dyDescent="0.3">
      <c r="A142" t="str" cm="1">
        <f t="array" ref="A142">_xlfn.IFS(Append1[[#This Row],[weekday cnt]]=0,"Weekend",Append1[[#This Row],[weekday cnt]]=6,"Weekend",Append1[[#This Row],[weekday cnt]]&gt;0,"Weekday")</f>
        <v>Weekday</v>
      </c>
      <c r="B142" s="4">
        <v>0</v>
      </c>
      <c r="C142" s="4">
        <v>1</v>
      </c>
      <c r="D142" s="4">
        <v>1</v>
      </c>
    </row>
    <row r="143" spans="1:4" x14ac:dyDescent="0.3">
      <c r="A143" t="str" cm="1">
        <f t="array" ref="A143">_xlfn.IFS(Append1[[#This Row],[weekday cnt]]=0,"Weekend",Append1[[#This Row],[weekday cnt]]=6,"Weekend",Append1[[#This Row],[weekday cnt]]&gt;0,"Weekday")</f>
        <v>Weekday</v>
      </c>
      <c r="B143" s="5">
        <v>0</v>
      </c>
      <c r="C143" s="5">
        <v>1</v>
      </c>
      <c r="D143" s="5">
        <v>1</v>
      </c>
    </row>
    <row r="144" spans="1:4" x14ac:dyDescent="0.3">
      <c r="A144" t="str" cm="1">
        <f t="array" ref="A144">_xlfn.IFS(Append1[[#This Row],[weekday cnt]]=0,"Weekend",Append1[[#This Row],[weekday cnt]]=6,"Weekend",Append1[[#This Row],[weekday cnt]]&gt;0,"Weekday")</f>
        <v>Weekday</v>
      </c>
      <c r="B144" s="4">
        <v>0</v>
      </c>
      <c r="C144" s="4">
        <v>5</v>
      </c>
      <c r="D144" s="4">
        <v>5</v>
      </c>
    </row>
    <row r="145" spans="1:4" x14ac:dyDescent="0.3">
      <c r="A145" t="str" cm="1">
        <f t="array" ref="A145">_xlfn.IFS(Append1[[#This Row],[weekday cnt]]=0,"Weekend",Append1[[#This Row],[weekday cnt]]=6,"Weekend",Append1[[#This Row],[weekday cnt]]&gt;0,"Weekday")</f>
        <v>Weekday</v>
      </c>
      <c r="B145" s="5">
        <v>8</v>
      </c>
      <c r="C145" s="5">
        <v>26</v>
      </c>
      <c r="D145" s="5">
        <v>34</v>
      </c>
    </row>
    <row r="146" spans="1:4" x14ac:dyDescent="0.3">
      <c r="A146" t="str" cm="1">
        <f t="array" ref="A146">_xlfn.IFS(Append1[[#This Row],[weekday cnt]]=0,"Weekend",Append1[[#This Row],[weekday cnt]]=6,"Weekend",Append1[[#This Row],[weekday cnt]]&gt;0,"Weekday")</f>
        <v>Weekday</v>
      </c>
      <c r="B146" s="4">
        <v>8</v>
      </c>
      <c r="C146" s="4">
        <v>76</v>
      </c>
      <c r="D146" s="4">
        <v>84</v>
      </c>
    </row>
    <row r="147" spans="1:4" x14ac:dyDescent="0.3">
      <c r="A147" t="str" cm="1">
        <f t="array" ref="A147">_xlfn.IFS(Append1[[#This Row],[weekday cnt]]=0,"Weekend",Append1[[#This Row],[weekday cnt]]=6,"Weekend",Append1[[#This Row],[weekday cnt]]&gt;0,"Weekday")</f>
        <v>Weekday</v>
      </c>
      <c r="B147" s="5">
        <v>20</v>
      </c>
      <c r="C147" s="5">
        <v>190</v>
      </c>
      <c r="D147" s="5">
        <v>210</v>
      </c>
    </row>
    <row r="148" spans="1:4" x14ac:dyDescent="0.3">
      <c r="A148" t="str" cm="1">
        <f t="array" ref="A148">_xlfn.IFS(Append1[[#This Row],[weekday cnt]]=0,"Weekend",Append1[[#This Row],[weekday cnt]]=6,"Weekend",Append1[[#This Row],[weekday cnt]]&gt;0,"Weekday")</f>
        <v>Weekday</v>
      </c>
      <c r="B148" s="4">
        <v>9</v>
      </c>
      <c r="C148" s="4">
        <v>125</v>
      </c>
      <c r="D148" s="4">
        <v>134</v>
      </c>
    </row>
    <row r="149" spans="1:4" x14ac:dyDescent="0.3">
      <c r="A149" t="str" cm="1">
        <f t="array" ref="A149">_xlfn.IFS(Append1[[#This Row],[weekday cnt]]=0,"Weekend",Append1[[#This Row],[weekday cnt]]=6,"Weekend",Append1[[#This Row],[weekday cnt]]&gt;0,"Weekday")</f>
        <v>Weekday</v>
      </c>
      <c r="B149" s="5">
        <v>16</v>
      </c>
      <c r="C149" s="5">
        <v>47</v>
      </c>
      <c r="D149" s="5">
        <v>63</v>
      </c>
    </row>
    <row r="150" spans="1:4" x14ac:dyDescent="0.3">
      <c r="A150" t="str" cm="1">
        <f t="array" ref="A150">_xlfn.IFS(Append1[[#This Row],[weekday cnt]]=0,"Weekend",Append1[[#This Row],[weekday cnt]]=6,"Weekend",Append1[[#This Row],[weekday cnt]]&gt;0,"Weekday")</f>
        <v>Weekday</v>
      </c>
      <c r="B150" s="4">
        <v>19</v>
      </c>
      <c r="C150" s="4">
        <v>48</v>
      </c>
      <c r="D150" s="4">
        <v>67</v>
      </c>
    </row>
    <row r="151" spans="1:4" x14ac:dyDescent="0.3">
      <c r="A151" t="str" cm="1">
        <f t="array" ref="A151">_xlfn.IFS(Append1[[#This Row],[weekday cnt]]=0,"Weekend",Append1[[#This Row],[weekday cnt]]=6,"Weekend",Append1[[#This Row],[weekday cnt]]&gt;0,"Weekday")</f>
        <v>Weekday</v>
      </c>
      <c r="B151" s="5">
        <v>9</v>
      </c>
      <c r="C151" s="5">
        <v>50</v>
      </c>
      <c r="D151" s="5">
        <v>59</v>
      </c>
    </row>
    <row r="152" spans="1:4" x14ac:dyDescent="0.3">
      <c r="A152" t="str" cm="1">
        <f t="array" ref="A152">_xlfn.IFS(Append1[[#This Row],[weekday cnt]]=0,"Weekend",Append1[[#This Row],[weekday cnt]]=6,"Weekend",Append1[[#This Row],[weekday cnt]]&gt;0,"Weekday")</f>
        <v>Weekday</v>
      </c>
      <c r="B152" s="4">
        <v>9</v>
      </c>
      <c r="C152" s="4">
        <v>64</v>
      </c>
      <c r="D152" s="4">
        <v>73</v>
      </c>
    </row>
    <row r="153" spans="1:4" x14ac:dyDescent="0.3">
      <c r="A153" t="str" cm="1">
        <f t="array" ref="A153">_xlfn.IFS(Append1[[#This Row],[weekday cnt]]=0,"Weekend",Append1[[#This Row],[weekday cnt]]=6,"Weekend",Append1[[#This Row],[weekday cnt]]&gt;0,"Weekday")</f>
        <v>Weekday</v>
      </c>
      <c r="B153" s="5">
        <v>7</v>
      </c>
      <c r="C153" s="5">
        <v>43</v>
      </c>
      <c r="D153" s="5">
        <v>50</v>
      </c>
    </row>
    <row r="154" spans="1:4" x14ac:dyDescent="0.3">
      <c r="A154" t="str" cm="1">
        <f t="array" ref="A154">_xlfn.IFS(Append1[[#This Row],[weekday cnt]]=0,"Weekend",Append1[[#This Row],[weekday cnt]]=6,"Weekend",Append1[[#This Row],[weekday cnt]]&gt;0,"Weekday")</f>
        <v>Weekday</v>
      </c>
      <c r="B154" s="4">
        <v>9</v>
      </c>
      <c r="C154" s="4">
        <v>63</v>
      </c>
      <c r="D154" s="4">
        <v>72</v>
      </c>
    </row>
    <row r="155" spans="1:4" x14ac:dyDescent="0.3">
      <c r="A155" t="str" cm="1">
        <f t="array" ref="A155">_xlfn.IFS(Append1[[#This Row],[weekday cnt]]=0,"Weekend",Append1[[#This Row],[weekday cnt]]=6,"Weekend",Append1[[#This Row],[weekday cnt]]&gt;0,"Weekday")</f>
        <v>Weekday</v>
      </c>
      <c r="B155" s="5">
        <v>5</v>
      </c>
      <c r="C155" s="5">
        <v>82</v>
      </c>
      <c r="D155" s="5">
        <v>87</v>
      </c>
    </row>
    <row r="156" spans="1:4" x14ac:dyDescent="0.3">
      <c r="A156" t="str" cm="1">
        <f t="array" ref="A156">_xlfn.IFS(Append1[[#This Row],[weekday cnt]]=0,"Weekend",Append1[[#This Row],[weekday cnt]]=6,"Weekend",Append1[[#This Row],[weekday cnt]]&gt;0,"Weekday")</f>
        <v>Weekday</v>
      </c>
      <c r="B156" s="4">
        <v>9</v>
      </c>
      <c r="C156" s="4">
        <v>178</v>
      </c>
      <c r="D156" s="4">
        <v>187</v>
      </c>
    </row>
    <row r="157" spans="1:4" x14ac:dyDescent="0.3">
      <c r="A157" t="str" cm="1">
        <f t="array" ref="A157">_xlfn.IFS(Append1[[#This Row],[weekday cnt]]=0,"Weekend",Append1[[#This Row],[weekday cnt]]=6,"Weekend",Append1[[#This Row],[weekday cnt]]&gt;0,"Weekday")</f>
        <v>Weekday</v>
      </c>
      <c r="B157" s="5">
        <v>7</v>
      </c>
      <c r="C157" s="5">
        <v>116</v>
      </c>
      <c r="D157" s="5">
        <v>123</v>
      </c>
    </row>
    <row r="158" spans="1:4" x14ac:dyDescent="0.3">
      <c r="A158" t="str" cm="1">
        <f t="array" ref="A158">_xlfn.IFS(Append1[[#This Row],[weekday cnt]]=0,"Weekend",Append1[[#This Row],[weekday cnt]]=6,"Weekend",Append1[[#This Row],[weekday cnt]]&gt;0,"Weekday")</f>
        <v>Weekday</v>
      </c>
      <c r="B158" s="4">
        <v>3</v>
      </c>
      <c r="C158" s="4">
        <v>92</v>
      </c>
      <c r="D158" s="4">
        <v>95</v>
      </c>
    </row>
    <row r="159" spans="1:4" x14ac:dyDescent="0.3">
      <c r="A159" t="str" cm="1">
        <f t="array" ref="A159">_xlfn.IFS(Append1[[#This Row],[weekday cnt]]=0,"Weekend",Append1[[#This Row],[weekday cnt]]=6,"Weekend",Append1[[#This Row],[weekday cnt]]&gt;0,"Weekday")</f>
        <v>Weekday</v>
      </c>
      <c r="B159" s="5">
        <v>1</v>
      </c>
      <c r="C159" s="5">
        <v>50</v>
      </c>
      <c r="D159" s="5">
        <v>51</v>
      </c>
    </row>
    <row r="160" spans="1:4" x14ac:dyDescent="0.3">
      <c r="A160" t="str" cm="1">
        <f t="array" ref="A160">_xlfn.IFS(Append1[[#This Row],[weekday cnt]]=0,"Weekend",Append1[[#This Row],[weekday cnt]]=6,"Weekend",Append1[[#This Row],[weekday cnt]]&gt;0,"Weekday")</f>
        <v>Weekday</v>
      </c>
      <c r="B160" s="4">
        <v>0</v>
      </c>
      <c r="C160" s="4">
        <v>39</v>
      </c>
      <c r="D160" s="4">
        <v>39</v>
      </c>
    </row>
    <row r="161" spans="1:4" x14ac:dyDescent="0.3">
      <c r="A161" t="str" cm="1">
        <f t="array" ref="A161">_xlfn.IFS(Append1[[#This Row],[weekday cnt]]=0,"Weekend",Append1[[#This Row],[weekday cnt]]=6,"Weekend",Append1[[#This Row],[weekday cnt]]&gt;0,"Weekday")</f>
        <v>Weekday</v>
      </c>
      <c r="B161" s="5">
        <v>2</v>
      </c>
      <c r="C161" s="5">
        <v>34</v>
      </c>
      <c r="D161" s="5">
        <v>36</v>
      </c>
    </row>
    <row r="162" spans="1:4" x14ac:dyDescent="0.3">
      <c r="A162" t="str" cm="1">
        <f t="array" ref="A162">_xlfn.IFS(Append1[[#This Row],[weekday cnt]]=0,"Weekend",Append1[[#This Row],[weekday cnt]]=6,"Weekend",Append1[[#This Row],[weekday cnt]]&gt;0,"Weekday")</f>
        <v>Weekday</v>
      </c>
      <c r="B162" s="4">
        <v>1</v>
      </c>
      <c r="C162" s="4">
        <v>14</v>
      </c>
      <c r="D162" s="4">
        <v>15</v>
      </c>
    </row>
    <row r="163" spans="1:4" x14ac:dyDescent="0.3">
      <c r="A163" t="str" cm="1">
        <f t="array" ref="A163">_xlfn.IFS(Append1[[#This Row],[weekday cnt]]=0,"Weekend",Append1[[#This Row],[weekday cnt]]=6,"Weekend",Append1[[#This Row],[weekday cnt]]&gt;0,"Weekday")</f>
        <v>Weekend</v>
      </c>
      <c r="B163" s="5">
        <v>1</v>
      </c>
      <c r="C163" s="5">
        <v>24</v>
      </c>
      <c r="D163" s="5">
        <v>25</v>
      </c>
    </row>
    <row r="164" spans="1:4" x14ac:dyDescent="0.3">
      <c r="A164" t="str" cm="1">
        <f t="array" ref="A164">_xlfn.IFS(Append1[[#This Row],[weekday cnt]]=0,"Weekend",Append1[[#This Row],[weekday cnt]]=6,"Weekend",Append1[[#This Row],[weekday cnt]]&gt;0,"Weekday")</f>
        <v>Weekend</v>
      </c>
      <c r="B164" s="4">
        <v>1</v>
      </c>
      <c r="C164" s="4">
        <v>15</v>
      </c>
      <c r="D164" s="4">
        <v>16</v>
      </c>
    </row>
    <row r="165" spans="1:4" x14ac:dyDescent="0.3">
      <c r="A165" t="str" cm="1">
        <f t="array" ref="A165">_xlfn.IFS(Append1[[#This Row],[weekday cnt]]=0,"Weekend",Append1[[#This Row],[weekday cnt]]=6,"Weekend",Append1[[#This Row],[weekday cnt]]&gt;0,"Weekday")</f>
        <v>Weekend</v>
      </c>
      <c r="B165" s="5">
        <v>3</v>
      </c>
      <c r="C165" s="5">
        <v>13</v>
      </c>
      <c r="D165" s="5">
        <v>16</v>
      </c>
    </row>
    <row r="166" spans="1:4" x14ac:dyDescent="0.3">
      <c r="A166" t="str" cm="1">
        <f t="array" ref="A166">_xlfn.IFS(Append1[[#This Row],[weekday cnt]]=0,"Weekend",Append1[[#This Row],[weekday cnt]]=6,"Weekend",Append1[[#This Row],[weekday cnt]]&gt;0,"Weekday")</f>
        <v>Weekend</v>
      </c>
      <c r="B166" s="4">
        <v>0</v>
      </c>
      <c r="C166" s="4">
        <v>7</v>
      </c>
      <c r="D166" s="4">
        <v>7</v>
      </c>
    </row>
    <row r="167" spans="1:4" x14ac:dyDescent="0.3">
      <c r="A167" t="str" cm="1">
        <f t="array" ref="A167">_xlfn.IFS(Append1[[#This Row],[weekday cnt]]=0,"Weekend",Append1[[#This Row],[weekday cnt]]=6,"Weekend",Append1[[#This Row],[weekday cnt]]&gt;0,"Weekday")</f>
        <v>Weekend</v>
      </c>
      <c r="B167" s="5">
        <v>0</v>
      </c>
      <c r="C167" s="5">
        <v>1</v>
      </c>
      <c r="D167" s="5">
        <v>1</v>
      </c>
    </row>
    <row r="168" spans="1:4" x14ac:dyDescent="0.3">
      <c r="A168" t="str" cm="1">
        <f t="array" ref="A168">_xlfn.IFS(Append1[[#This Row],[weekday cnt]]=0,"Weekend",Append1[[#This Row],[weekday cnt]]=6,"Weekend",Append1[[#This Row],[weekday cnt]]&gt;0,"Weekday")</f>
        <v>Weekend</v>
      </c>
      <c r="B168" s="4">
        <v>0</v>
      </c>
      <c r="C168" s="4">
        <v>5</v>
      </c>
      <c r="D168" s="4">
        <v>5</v>
      </c>
    </row>
    <row r="169" spans="1:4" x14ac:dyDescent="0.3">
      <c r="A169" t="str" cm="1">
        <f t="array" ref="A169">_xlfn.IFS(Append1[[#This Row],[weekday cnt]]=0,"Weekend",Append1[[#This Row],[weekday cnt]]=6,"Weekend",Append1[[#This Row],[weekday cnt]]&gt;0,"Weekday")</f>
        <v>Weekend</v>
      </c>
      <c r="B169" s="5">
        <v>0</v>
      </c>
      <c r="C169" s="5">
        <v>2</v>
      </c>
      <c r="D169" s="5">
        <v>2</v>
      </c>
    </row>
    <row r="170" spans="1:4" x14ac:dyDescent="0.3">
      <c r="A170" t="str" cm="1">
        <f t="array" ref="A170">_xlfn.IFS(Append1[[#This Row],[weekday cnt]]=0,"Weekend",Append1[[#This Row],[weekday cnt]]=6,"Weekend",Append1[[#This Row],[weekday cnt]]&gt;0,"Weekday")</f>
        <v>Weekend</v>
      </c>
      <c r="B170" s="4">
        <v>1</v>
      </c>
      <c r="C170" s="4">
        <v>8</v>
      </c>
      <c r="D170" s="4">
        <v>9</v>
      </c>
    </row>
    <row r="171" spans="1:4" x14ac:dyDescent="0.3">
      <c r="A171" t="str" cm="1">
        <f t="array" ref="A171">_xlfn.IFS(Append1[[#This Row],[weekday cnt]]=0,"Weekend",Append1[[#This Row],[weekday cnt]]=6,"Weekend",Append1[[#This Row],[weekday cnt]]&gt;0,"Weekday")</f>
        <v>Weekend</v>
      </c>
      <c r="B171" s="5">
        <v>0</v>
      </c>
      <c r="C171" s="5">
        <v>15</v>
      </c>
      <c r="D171" s="5">
        <v>15</v>
      </c>
    </row>
    <row r="172" spans="1:4" x14ac:dyDescent="0.3">
      <c r="A172" t="str" cm="1">
        <f t="array" ref="A172">_xlfn.IFS(Append1[[#This Row],[weekday cnt]]=0,"Weekend",Append1[[#This Row],[weekday cnt]]=6,"Weekend",Append1[[#This Row],[weekday cnt]]&gt;0,"Weekday")</f>
        <v>Weekend</v>
      </c>
      <c r="B172" s="4">
        <v>0</v>
      </c>
      <c r="C172" s="4">
        <v>20</v>
      </c>
      <c r="D172" s="4">
        <v>20</v>
      </c>
    </row>
    <row r="173" spans="1:4" x14ac:dyDescent="0.3">
      <c r="A173" t="str" cm="1">
        <f t="array" ref="A173">_xlfn.IFS(Append1[[#This Row],[weekday cnt]]=0,"Weekend",Append1[[#This Row],[weekday cnt]]=6,"Weekend",Append1[[#This Row],[weekday cnt]]&gt;0,"Weekday")</f>
        <v>Weekend</v>
      </c>
      <c r="B173" s="5">
        <v>5</v>
      </c>
      <c r="C173" s="5">
        <v>56</v>
      </c>
      <c r="D173" s="5">
        <v>61</v>
      </c>
    </row>
    <row r="174" spans="1:4" x14ac:dyDescent="0.3">
      <c r="A174" t="str" cm="1">
        <f t="array" ref="A174">_xlfn.IFS(Append1[[#This Row],[weekday cnt]]=0,"Weekend",Append1[[#This Row],[weekday cnt]]=6,"Weekend",Append1[[#This Row],[weekday cnt]]&gt;0,"Weekday")</f>
        <v>Weekend</v>
      </c>
      <c r="B174" s="4">
        <v>2</v>
      </c>
      <c r="C174" s="4">
        <v>60</v>
      </c>
      <c r="D174" s="4">
        <v>62</v>
      </c>
    </row>
    <row r="175" spans="1:4" x14ac:dyDescent="0.3">
      <c r="A175" t="str" cm="1">
        <f t="array" ref="A175">_xlfn.IFS(Append1[[#This Row],[weekday cnt]]=0,"Weekend",Append1[[#This Row],[weekday cnt]]=6,"Weekend",Append1[[#This Row],[weekday cnt]]&gt;0,"Weekday")</f>
        <v>Weekend</v>
      </c>
      <c r="B175" s="5">
        <v>8</v>
      </c>
      <c r="C175" s="5">
        <v>90</v>
      </c>
      <c r="D175" s="5">
        <v>98</v>
      </c>
    </row>
    <row r="176" spans="1:4" x14ac:dyDescent="0.3">
      <c r="A176" t="str" cm="1">
        <f t="array" ref="A176">_xlfn.IFS(Append1[[#This Row],[weekday cnt]]=0,"Weekend",Append1[[#This Row],[weekday cnt]]=6,"Weekend",Append1[[#This Row],[weekday cnt]]&gt;0,"Weekday")</f>
        <v>Weekend</v>
      </c>
      <c r="B176" s="4">
        <v>7</v>
      </c>
      <c r="C176" s="4">
        <v>95</v>
      </c>
      <c r="D176" s="4">
        <v>102</v>
      </c>
    </row>
    <row r="177" spans="1:4" x14ac:dyDescent="0.3">
      <c r="A177" t="str" cm="1">
        <f t="array" ref="A177">_xlfn.IFS(Append1[[#This Row],[weekday cnt]]=0,"Weekend",Append1[[#This Row],[weekday cnt]]=6,"Weekend",Append1[[#This Row],[weekday cnt]]&gt;0,"Weekday")</f>
        <v>Weekend</v>
      </c>
      <c r="B177" s="5">
        <v>12</v>
      </c>
      <c r="C177" s="5">
        <v>83</v>
      </c>
      <c r="D177" s="5">
        <v>95</v>
      </c>
    </row>
    <row r="178" spans="1:4" x14ac:dyDescent="0.3">
      <c r="A178" t="str" cm="1">
        <f t="array" ref="A178">_xlfn.IFS(Append1[[#This Row],[weekday cnt]]=0,"Weekend",Append1[[#This Row],[weekday cnt]]=6,"Weekend",Append1[[#This Row],[weekday cnt]]&gt;0,"Weekday")</f>
        <v>Weekend</v>
      </c>
      <c r="B178" s="4">
        <v>5</v>
      </c>
      <c r="C178" s="4">
        <v>69</v>
      </c>
      <c r="D178" s="4">
        <v>74</v>
      </c>
    </row>
    <row r="179" spans="1:4" x14ac:dyDescent="0.3">
      <c r="A179" t="str" cm="1">
        <f t="array" ref="A179">_xlfn.IFS(Append1[[#This Row],[weekday cnt]]=0,"Weekend",Append1[[#This Row],[weekday cnt]]=6,"Weekend",Append1[[#This Row],[weekday cnt]]&gt;0,"Weekday")</f>
        <v>Weekend</v>
      </c>
      <c r="B179" s="5">
        <v>8</v>
      </c>
      <c r="C179" s="5">
        <v>68</v>
      </c>
      <c r="D179" s="5">
        <v>76</v>
      </c>
    </row>
    <row r="180" spans="1:4" x14ac:dyDescent="0.3">
      <c r="A180" t="str" cm="1">
        <f t="array" ref="A180">_xlfn.IFS(Append1[[#This Row],[weekday cnt]]=0,"Weekend",Append1[[#This Row],[weekday cnt]]=6,"Weekend",Append1[[#This Row],[weekday cnt]]&gt;0,"Weekday")</f>
        <v>Weekend</v>
      </c>
      <c r="B180" s="4">
        <v>5</v>
      </c>
      <c r="C180" s="4">
        <v>64</v>
      </c>
      <c r="D180" s="4">
        <v>69</v>
      </c>
    </row>
    <row r="181" spans="1:4" x14ac:dyDescent="0.3">
      <c r="A181" t="str" cm="1">
        <f t="array" ref="A181">_xlfn.IFS(Append1[[#This Row],[weekday cnt]]=0,"Weekend",Append1[[#This Row],[weekday cnt]]=6,"Weekend",Append1[[#This Row],[weekday cnt]]&gt;0,"Weekday")</f>
        <v>Weekend</v>
      </c>
      <c r="B181" s="5">
        <v>3</v>
      </c>
      <c r="C181" s="5">
        <v>52</v>
      </c>
      <c r="D181" s="5">
        <v>55</v>
      </c>
    </row>
    <row r="182" spans="1:4" x14ac:dyDescent="0.3">
      <c r="A182" t="str" cm="1">
        <f t="array" ref="A182">_xlfn.IFS(Append1[[#This Row],[weekday cnt]]=0,"Weekend",Append1[[#This Row],[weekday cnt]]=6,"Weekend",Append1[[#This Row],[weekday cnt]]&gt;0,"Weekday")</f>
        <v>Weekend</v>
      </c>
      <c r="B182" s="4">
        <v>4</v>
      </c>
      <c r="C182" s="4">
        <v>26</v>
      </c>
      <c r="D182" s="4">
        <v>30</v>
      </c>
    </row>
    <row r="183" spans="1:4" x14ac:dyDescent="0.3">
      <c r="A183" t="str" cm="1">
        <f t="array" ref="A183">_xlfn.IFS(Append1[[#This Row],[weekday cnt]]=0,"Weekend",Append1[[#This Row],[weekday cnt]]=6,"Weekend",Append1[[#This Row],[weekday cnt]]&gt;0,"Weekday")</f>
        <v>Weekend</v>
      </c>
      <c r="B183" s="5">
        <v>0</v>
      </c>
      <c r="C183" s="5">
        <v>28</v>
      </c>
      <c r="D183" s="5">
        <v>28</v>
      </c>
    </row>
    <row r="184" spans="1:4" x14ac:dyDescent="0.3">
      <c r="A184" t="str" cm="1">
        <f t="array" ref="A184">_xlfn.IFS(Append1[[#This Row],[weekday cnt]]=0,"Weekend",Append1[[#This Row],[weekday cnt]]=6,"Weekend",Append1[[#This Row],[weekday cnt]]&gt;0,"Weekday")</f>
        <v>Weekend</v>
      </c>
      <c r="B184" s="4">
        <v>2</v>
      </c>
      <c r="C184" s="4">
        <v>35</v>
      </c>
      <c r="D184" s="4">
        <v>37</v>
      </c>
    </row>
    <row r="185" spans="1:4" x14ac:dyDescent="0.3">
      <c r="A185" t="str" cm="1">
        <f t="array" ref="A185">_xlfn.IFS(Append1[[#This Row],[weekday cnt]]=0,"Weekend",Append1[[#This Row],[weekday cnt]]=6,"Weekend",Append1[[#This Row],[weekday cnt]]&gt;0,"Weekday")</f>
        <v>Weekend</v>
      </c>
      <c r="B185" s="5">
        <v>1</v>
      </c>
      <c r="C185" s="5">
        <v>33</v>
      </c>
      <c r="D185" s="5">
        <v>34</v>
      </c>
    </row>
    <row r="186" spans="1:4" x14ac:dyDescent="0.3">
      <c r="A186" t="str" cm="1">
        <f t="array" ref="A186">_xlfn.IFS(Append1[[#This Row],[weekday cnt]]=0,"Weekend",Append1[[#This Row],[weekday cnt]]=6,"Weekend",Append1[[#This Row],[weekday cnt]]&gt;0,"Weekday")</f>
        <v>Weekend</v>
      </c>
      <c r="B186" s="4">
        <v>0</v>
      </c>
      <c r="C186" s="4">
        <v>22</v>
      </c>
      <c r="D186" s="4">
        <v>22</v>
      </c>
    </row>
    <row r="187" spans="1:4" x14ac:dyDescent="0.3">
      <c r="A187" t="str" cm="1">
        <f t="array" ref="A187">_xlfn.IFS(Append1[[#This Row],[weekday cnt]]=0,"Weekend",Append1[[#This Row],[weekday cnt]]=6,"Weekend",Append1[[#This Row],[weekday cnt]]&gt;0,"Weekday")</f>
        <v>Weekend</v>
      </c>
      <c r="B187" s="5">
        <v>1</v>
      </c>
      <c r="C187" s="5">
        <v>24</v>
      </c>
      <c r="D187" s="5">
        <v>25</v>
      </c>
    </row>
    <row r="188" spans="1:4" x14ac:dyDescent="0.3">
      <c r="A188" t="str" cm="1">
        <f t="array" ref="A188">_xlfn.IFS(Append1[[#This Row],[weekday cnt]]=0,"Weekend",Append1[[#This Row],[weekday cnt]]=6,"Weekend",Append1[[#This Row],[weekday cnt]]&gt;0,"Weekday")</f>
        <v>Weekend</v>
      </c>
      <c r="B188" s="4">
        <v>0</v>
      </c>
      <c r="C188" s="4">
        <v>12</v>
      </c>
      <c r="D188" s="4">
        <v>12</v>
      </c>
    </row>
    <row r="189" spans="1:4" x14ac:dyDescent="0.3">
      <c r="A189" t="str" cm="1">
        <f t="array" ref="A189">_xlfn.IFS(Append1[[#This Row],[weekday cnt]]=0,"Weekend",Append1[[#This Row],[weekday cnt]]=6,"Weekend",Append1[[#This Row],[weekday cnt]]&gt;0,"Weekday")</f>
        <v>Weekend</v>
      </c>
      <c r="B189" s="5">
        <v>0</v>
      </c>
      <c r="C189" s="5">
        <v>11</v>
      </c>
      <c r="D189" s="5">
        <v>11</v>
      </c>
    </row>
    <row r="190" spans="1:4" x14ac:dyDescent="0.3">
      <c r="A190" t="str" cm="1">
        <f t="array" ref="A190">_xlfn.IFS(Append1[[#This Row],[weekday cnt]]=0,"Weekend",Append1[[#This Row],[weekday cnt]]=6,"Weekend",Append1[[#This Row],[weekday cnt]]&gt;0,"Weekday")</f>
        <v>Weekend</v>
      </c>
      <c r="B190" s="4">
        <v>0</v>
      </c>
      <c r="C190" s="4">
        <v>4</v>
      </c>
      <c r="D190" s="4">
        <v>4</v>
      </c>
    </row>
    <row r="191" spans="1:4" x14ac:dyDescent="0.3">
      <c r="A191" t="str" cm="1">
        <f t="array" ref="A191">_xlfn.IFS(Append1[[#This Row],[weekday cnt]]=0,"Weekend",Append1[[#This Row],[weekday cnt]]=6,"Weekend",Append1[[#This Row],[weekday cnt]]&gt;0,"Weekday")</f>
        <v>Weekend</v>
      </c>
      <c r="B191" s="5">
        <v>0</v>
      </c>
      <c r="C191" s="5">
        <v>1</v>
      </c>
      <c r="D191" s="5">
        <v>1</v>
      </c>
    </row>
    <row r="192" spans="1:4" x14ac:dyDescent="0.3">
      <c r="A192" t="str" cm="1">
        <f t="array" ref="A192">_xlfn.IFS(Append1[[#This Row],[weekday cnt]]=0,"Weekend",Append1[[#This Row],[weekday cnt]]=6,"Weekend",Append1[[#This Row],[weekday cnt]]&gt;0,"Weekday")</f>
        <v>Weekend</v>
      </c>
      <c r="B192" s="4">
        <v>0</v>
      </c>
      <c r="C192" s="4">
        <v>1</v>
      </c>
      <c r="D192" s="4">
        <v>1</v>
      </c>
    </row>
    <row r="193" spans="1:4" x14ac:dyDescent="0.3">
      <c r="A193" t="str" cm="1">
        <f t="array" ref="A193">_xlfn.IFS(Append1[[#This Row],[weekday cnt]]=0,"Weekend",Append1[[#This Row],[weekday cnt]]=6,"Weekend",Append1[[#This Row],[weekday cnt]]&gt;0,"Weekday")</f>
        <v>Weekend</v>
      </c>
      <c r="B193" s="5">
        <v>0</v>
      </c>
      <c r="C193" s="5">
        <v>1</v>
      </c>
      <c r="D193" s="5">
        <v>1</v>
      </c>
    </row>
    <row r="194" spans="1:4" x14ac:dyDescent="0.3">
      <c r="A194" t="str" cm="1">
        <f t="array" ref="A194">_xlfn.IFS(Append1[[#This Row],[weekday cnt]]=0,"Weekend",Append1[[#This Row],[weekday cnt]]=6,"Weekend",Append1[[#This Row],[weekday cnt]]&gt;0,"Weekday")</f>
        <v>Weekend</v>
      </c>
      <c r="B194" s="4">
        <v>1</v>
      </c>
      <c r="C194" s="4">
        <v>5</v>
      </c>
      <c r="D194" s="4">
        <v>6</v>
      </c>
    </row>
    <row r="195" spans="1:4" x14ac:dyDescent="0.3">
      <c r="A195" t="str" cm="1">
        <f t="array" ref="A195">_xlfn.IFS(Append1[[#This Row],[weekday cnt]]=0,"Weekend",Append1[[#This Row],[weekday cnt]]=6,"Weekend",Append1[[#This Row],[weekday cnt]]&gt;0,"Weekday")</f>
        <v>Weekend</v>
      </c>
      <c r="B195" s="5">
        <v>0</v>
      </c>
      <c r="C195" s="5">
        <v>10</v>
      </c>
      <c r="D195" s="5">
        <v>10</v>
      </c>
    </row>
    <row r="196" spans="1:4" x14ac:dyDescent="0.3">
      <c r="A196" t="str" cm="1">
        <f t="array" ref="A196">_xlfn.IFS(Append1[[#This Row],[weekday cnt]]=0,"Weekend",Append1[[#This Row],[weekday cnt]]=6,"Weekend",Append1[[#This Row],[weekday cnt]]&gt;0,"Weekday")</f>
        <v>Weekend</v>
      </c>
      <c r="B196" s="4">
        <v>0</v>
      </c>
      <c r="C196" s="4">
        <v>19</v>
      </c>
      <c r="D196" s="4">
        <v>19</v>
      </c>
    </row>
    <row r="197" spans="1:4" x14ac:dyDescent="0.3">
      <c r="A197" t="str" cm="1">
        <f t="array" ref="A197">_xlfn.IFS(Append1[[#This Row],[weekday cnt]]=0,"Weekend",Append1[[#This Row],[weekday cnt]]=6,"Weekend",Append1[[#This Row],[weekday cnt]]&gt;0,"Weekday")</f>
        <v>Weekend</v>
      </c>
      <c r="B197" s="5">
        <v>0</v>
      </c>
      <c r="C197" s="5">
        <v>49</v>
      </c>
      <c r="D197" s="5">
        <v>49</v>
      </c>
    </row>
    <row r="198" spans="1:4" x14ac:dyDescent="0.3">
      <c r="A198" t="str" cm="1">
        <f t="array" ref="A198">_xlfn.IFS(Append1[[#This Row],[weekday cnt]]=0,"Weekend",Append1[[#This Row],[weekday cnt]]=6,"Weekend",Append1[[#This Row],[weekday cnt]]&gt;0,"Weekday")</f>
        <v>Weekend</v>
      </c>
      <c r="B198" s="4">
        <v>2</v>
      </c>
      <c r="C198" s="4">
        <v>47</v>
      </c>
      <c r="D198" s="4">
        <v>49</v>
      </c>
    </row>
    <row r="199" spans="1:4" x14ac:dyDescent="0.3">
      <c r="A199" t="str" cm="1">
        <f t="array" ref="A199">_xlfn.IFS(Append1[[#This Row],[weekday cnt]]=0,"Weekend",Append1[[#This Row],[weekday cnt]]=6,"Weekend",Append1[[#This Row],[weekday cnt]]&gt;0,"Weekday")</f>
        <v>Weekend</v>
      </c>
      <c r="B199" s="5">
        <v>4</v>
      </c>
      <c r="C199" s="5">
        <v>79</v>
      </c>
      <c r="D199" s="5">
        <v>83</v>
      </c>
    </row>
    <row r="200" spans="1:4" x14ac:dyDescent="0.3">
      <c r="A200" t="str" cm="1">
        <f t="array" ref="A200">_xlfn.IFS(Append1[[#This Row],[weekday cnt]]=0,"Weekend",Append1[[#This Row],[weekday cnt]]=6,"Weekend",Append1[[#This Row],[weekday cnt]]&gt;0,"Weekday")</f>
        <v>Weekend</v>
      </c>
      <c r="B200" s="4">
        <v>6</v>
      </c>
      <c r="C200" s="4">
        <v>69</v>
      </c>
      <c r="D200" s="4">
        <v>75</v>
      </c>
    </row>
    <row r="201" spans="1:4" x14ac:dyDescent="0.3">
      <c r="A201" t="str" cm="1">
        <f t="array" ref="A201">_xlfn.IFS(Append1[[#This Row],[weekday cnt]]=0,"Weekend",Append1[[#This Row],[weekday cnt]]=6,"Weekend",Append1[[#This Row],[weekday cnt]]&gt;0,"Weekday")</f>
        <v>Weekend</v>
      </c>
      <c r="B201" s="5">
        <v>8</v>
      </c>
      <c r="C201" s="5">
        <v>64</v>
      </c>
      <c r="D201" s="5">
        <v>72</v>
      </c>
    </row>
    <row r="202" spans="1:4" x14ac:dyDescent="0.3">
      <c r="A202" t="str" cm="1">
        <f t="array" ref="A202">_xlfn.IFS(Append1[[#This Row],[weekday cnt]]=0,"Weekend",Append1[[#This Row],[weekday cnt]]=6,"Weekend",Append1[[#This Row],[weekday cnt]]&gt;0,"Weekday")</f>
        <v>Weekend</v>
      </c>
      <c r="B202" s="4">
        <v>5</v>
      </c>
      <c r="C202" s="4">
        <v>77</v>
      </c>
      <c r="D202" s="4">
        <v>82</v>
      </c>
    </row>
    <row r="203" spans="1:4" x14ac:dyDescent="0.3">
      <c r="A203" t="str" cm="1">
        <f t="array" ref="A203">_xlfn.IFS(Append1[[#This Row],[weekday cnt]]=0,"Weekend",Append1[[#This Row],[weekday cnt]]=6,"Weekend",Append1[[#This Row],[weekday cnt]]&gt;0,"Weekday")</f>
        <v>Weekend</v>
      </c>
      <c r="B203" s="5">
        <v>13</v>
      </c>
      <c r="C203" s="5">
        <v>79</v>
      </c>
      <c r="D203" s="5">
        <v>92</v>
      </c>
    </row>
    <row r="204" spans="1:4" x14ac:dyDescent="0.3">
      <c r="A204" t="str" cm="1">
        <f t="array" ref="A204">_xlfn.IFS(Append1[[#This Row],[weekday cnt]]=0,"Weekend",Append1[[#This Row],[weekday cnt]]=6,"Weekend",Append1[[#This Row],[weekday cnt]]&gt;0,"Weekday")</f>
        <v>Weekend</v>
      </c>
      <c r="B204" s="4">
        <v>3</v>
      </c>
      <c r="C204" s="4">
        <v>59</v>
      </c>
      <c r="D204" s="4">
        <v>62</v>
      </c>
    </row>
    <row r="205" spans="1:4" x14ac:dyDescent="0.3">
      <c r="A205" t="str" cm="1">
        <f t="array" ref="A205">_xlfn.IFS(Append1[[#This Row],[weekday cnt]]=0,"Weekend",Append1[[#This Row],[weekday cnt]]=6,"Weekend",Append1[[#This Row],[weekday cnt]]&gt;0,"Weekday")</f>
        <v>Weekend</v>
      </c>
      <c r="B205" s="5">
        <v>4</v>
      </c>
      <c r="C205" s="5">
        <v>44</v>
      </c>
      <c r="D205" s="5">
        <v>48</v>
      </c>
    </row>
    <row r="206" spans="1:4" x14ac:dyDescent="0.3">
      <c r="A206" t="str" cm="1">
        <f t="array" ref="A206">_xlfn.IFS(Append1[[#This Row],[weekday cnt]]=0,"Weekend",Append1[[#This Row],[weekday cnt]]=6,"Weekend",Append1[[#This Row],[weekday cnt]]&gt;0,"Weekday")</f>
        <v>Weekend</v>
      </c>
      <c r="B206" s="4">
        <v>1</v>
      </c>
      <c r="C206" s="4">
        <v>40</v>
      </c>
      <c r="D206" s="4">
        <v>41</v>
      </c>
    </row>
    <row r="207" spans="1:4" x14ac:dyDescent="0.3">
      <c r="A207" t="str" cm="1">
        <f t="array" ref="A207">_xlfn.IFS(Append1[[#This Row],[weekday cnt]]=0,"Weekend",Append1[[#This Row],[weekday cnt]]=6,"Weekend",Append1[[#This Row],[weekday cnt]]&gt;0,"Weekday")</f>
        <v>Weekend</v>
      </c>
      <c r="B207" s="5">
        <v>0</v>
      </c>
      <c r="C207" s="5">
        <v>38</v>
      </c>
      <c r="D207" s="5">
        <v>38</v>
      </c>
    </row>
    <row r="208" spans="1:4" x14ac:dyDescent="0.3">
      <c r="A208" t="str" cm="1">
        <f t="array" ref="A208">_xlfn.IFS(Append1[[#This Row],[weekday cnt]]=0,"Weekend",Append1[[#This Row],[weekday cnt]]=6,"Weekend",Append1[[#This Row],[weekday cnt]]&gt;0,"Weekday")</f>
        <v>Weekend</v>
      </c>
      <c r="B208" s="4">
        <v>1</v>
      </c>
      <c r="C208" s="4">
        <v>19</v>
      </c>
      <c r="D208" s="4">
        <v>20</v>
      </c>
    </row>
    <row r="209" spans="1:4" x14ac:dyDescent="0.3">
      <c r="A209" t="str" cm="1">
        <f t="array" ref="A209">_xlfn.IFS(Append1[[#This Row],[weekday cnt]]=0,"Weekend",Append1[[#This Row],[weekday cnt]]=6,"Weekend",Append1[[#This Row],[weekday cnt]]&gt;0,"Weekday")</f>
        <v>Weekend</v>
      </c>
      <c r="B209" s="5">
        <v>5</v>
      </c>
      <c r="C209" s="5">
        <v>10</v>
      </c>
      <c r="D209" s="5">
        <v>15</v>
      </c>
    </row>
    <row r="210" spans="1:4" x14ac:dyDescent="0.3">
      <c r="A210" t="str" cm="1">
        <f t="array" ref="A210">_xlfn.IFS(Append1[[#This Row],[weekday cnt]]=0,"Weekend",Append1[[#This Row],[weekday cnt]]=6,"Weekend",Append1[[#This Row],[weekday cnt]]&gt;0,"Weekday")</f>
        <v>Weekend</v>
      </c>
      <c r="B210" s="4">
        <v>0</v>
      </c>
      <c r="C210" s="4">
        <v>6</v>
      </c>
      <c r="D210" s="4">
        <v>6</v>
      </c>
    </row>
    <row r="211" spans="1:4" x14ac:dyDescent="0.3">
      <c r="A211" t="str" cm="1">
        <f t="array" ref="A211">_xlfn.IFS(Append1[[#This Row],[weekday cnt]]=0,"Weekend",Append1[[#This Row],[weekday cnt]]=6,"Weekend",Append1[[#This Row],[weekday cnt]]&gt;0,"Weekday")</f>
        <v>Weekday</v>
      </c>
      <c r="B211" s="5">
        <v>2</v>
      </c>
      <c r="C211" s="5">
        <v>3</v>
      </c>
      <c r="D211" s="5">
        <v>5</v>
      </c>
    </row>
    <row r="212" spans="1:4" x14ac:dyDescent="0.3">
      <c r="A212" t="str" cm="1">
        <f t="array" ref="A212">_xlfn.IFS(Append1[[#This Row],[weekday cnt]]=0,"Weekend",Append1[[#This Row],[weekday cnt]]=6,"Weekend",Append1[[#This Row],[weekday cnt]]&gt;0,"Weekday")</f>
        <v>Weekday</v>
      </c>
      <c r="B212" s="4">
        <v>1</v>
      </c>
      <c r="C212" s="4">
        <v>0</v>
      </c>
      <c r="D212" s="4">
        <v>1</v>
      </c>
    </row>
    <row r="213" spans="1:4" x14ac:dyDescent="0.3">
      <c r="A213" t="str" cm="1">
        <f t="array" ref="A213">_xlfn.IFS(Append1[[#This Row],[weekday cnt]]=0,"Weekend",Append1[[#This Row],[weekday cnt]]=6,"Weekend",Append1[[#This Row],[weekday cnt]]&gt;0,"Weekday")</f>
        <v>Weekday</v>
      </c>
      <c r="B213" s="5">
        <v>0</v>
      </c>
      <c r="C213" s="5">
        <v>3</v>
      </c>
      <c r="D213" s="5">
        <v>3</v>
      </c>
    </row>
    <row r="214" spans="1:4" x14ac:dyDescent="0.3">
      <c r="A214" t="str" cm="1">
        <f t="array" ref="A214">_xlfn.IFS(Append1[[#This Row],[weekday cnt]]=0,"Weekend",Append1[[#This Row],[weekday cnt]]=6,"Weekend",Append1[[#This Row],[weekday cnt]]&gt;0,"Weekday")</f>
        <v>Weekday</v>
      </c>
      <c r="B214" s="4">
        <v>0</v>
      </c>
      <c r="C214" s="4">
        <v>1</v>
      </c>
      <c r="D214" s="4">
        <v>1</v>
      </c>
    </row>
    <row r="215" spans="1:4" x14ac:dyDescent="0.3">
      <c r="A215" t="str" cm="1">
        <f t="array" ref="A215">_xlfn.IFS(Append1[[#This Row],[weekday cnt]]=0,"Weekend",Append1[[#This Row],[weekday cnt]]=6,"Weekend",Append1[[#This Row],[weekday cnt]]&gt;0,"Weekday")</f>
        <v>Weekday</v>
      </c>
      <c r="B215" s="5">
        <v>1</v>
      </c>
      <c r="C215" s="5">
        <v>2</v>
      </c>
      <c r="D215" s="5">
        <v>3</v>
      </c>
    </row>
    <row r="216" spans="1:4" x14ac:dyDescent="0.3">
      <c r="A216" t="str" cm="1">
        <f t="array" ref="A216">_xlfn.IFS(Append1[[#This Row],[weekday cnt]]=0,"Weekend",Append1[[#This Row],[weekday cnt]]=6,"Weekend",Append1[[#This Row],[weekday cnt]]&gt;0,"Weekday")</f>
        <v>Weekday</v>
      </c>
      <c r="B216" s="4">
        <v>0</v>
      </c>
      <c r="C216" s="4">
        <v>3</v>
      </c>
      <c r="D216" s="4">
        <v>3</v>
      </c>
    </row>
    <row r="217" spans="1:4" x14ac:dyDescent="0.3">
      <c r="A217" t="str" cm="1">
        <f t="array" ref="A217">_xlfn.IFS(Append1[[#This Row],[weekday cnt]]=0,"Weekend",Append1[[#This Row],[weekday cnt]]=6,"Weekend",Append1[[#This Row],[weekday cnt]]&gt;0,"Weekday")</f>
        <v>Weekday</v>
      </c>
      <c r="B217" s="5">
        <v>0</v>
      </c>
      <c r="C217" s="5">
        <v>31</v>
      </c>
      <c r="D217" s="5">
        <v>31</v>
      </c>
    </row>
    <row r="218" spans="1:4" x14ac:dyDescent="0.3">
      <c r="A218" t="str" cm="1">
        <f t="array" ref="A218">_xlfn.IFS(Append1[[#This Row],[weekday cnt]]=0,"Weekend",Append1[[#This Row],[weekday cnt]]=6,"Weekend",Append1[[#This Row],[weekday cnt]]&gt;0,"Weekday")</f>
        <v>Weekday</v>
      </c>
      <c r="B218" s="4">
        <v>2</v>
      </c>
      <c r="C218" s="4">
        <v>75</v>
      </c>
      <c r="D218" s="4">
        <v>77</v>
      </c>
    </row>
    <row r="219" spans="1:4" x14ac:dyDescent="0.3">
      <c r="A219" t="str" cm="1">
        <f t="array" ref="A219">_xlfn.IFS(Append1[[#This Row],[weekday cnt]]=0,"Weekend",Append1[[#This Row],[weekday cnt]]=6,"Weekend",Append1[[#This Row],[weekday cnt]]&gt;0,"Weekday")</f>
        <v>Weekday</v>
      </c>
      <c r="B219" s="5">
        <v>4</v>
      </c>
      <c r="C219" s="5">
        <v>184</v>
      </c>
      <c r="D219" s="5">
        <v>188</v>
      </c>
    </row>
    <row r="220" spans="1:4" x14ac:dyDescent="0.3">
      <c r="A220" t="str" cm="1">
        <f t="array" ref="A220">_xlfn.IFS(Append1[[#This Row],[weekday cnt]]=0,"Weekend",Append1[[#This Row],[weekday cnt]]=6,"Weekend",Append1[[#This Row],[weekday cnt]]&gt;0,"Weekday")</f>
        <v>Weekday</v>
      </c>
      <c r="B220" s="4">
        <v>2</v>
      </c>
      <c r="C220" s="4">
        <v>92</v>
      </c>
      <c r="D220" s="4">
        <v>94</v>
      </c>
    </row>
    <row r="221" spans="1:4" x14ac:dyDescent="0.3">
      <c r="A221" t="str" cm="1">
        <f t="array" ref="A221">_xlfn.IFS(Append1[[#This Row],[weekday cnt]]=0,"Weekend",Append1[[#This Row],[weekday cnt]]=6,"Weekend",Append1[[#This Row],[weekday cnt]]&gt;0,"Weekday")</f>
        <v>Weekday</v>
      </c>
      <c r="B221" s="5">
        <v>0</v>
      </c>
      <c r="C221" s="5">
        <v>31</v>
      </c>
      <c r="D221" s="5">
        <v>31</v>
      </c>
    </row>
    <row r="222" spans="1:4" x14ac:dyDescent="0.3">
      <c r="A222" t="str" cm="1">
        <f t="array" ref="A222">_xlfn.IFS(Append1[[#This Row],[weekday cnt]]=0,"Weekend",Append1[[#This Row],[weekday cnt]]=6,"Weekend",Append1[[#This Row],[weekday cnt]]&gt;0,"Weekday")</f>
        <v>Weekday</v>
      </c>
      <c r="B222" s="4">
        <v>2</v>
      </c>
      <c r="C222" s="4">
        <v>28</v>
      </c>
      <c r="D222" s="4">
        <v>30</v>
      </c>
    </row>
    <row r="223" spans="1:4" x14ac:dyDescent="0.3">
      <c r="A223" t="str" cm="1">
        <f t="array" ref="A223">_xlfn.IFS(Append1[[#This Row],[weekday cnt]]=0,"Weekend",Append1[[#This Row],[weekday cnt]]=6,"Weekend",Append1[[#This Row],[weekday cnt]]&gt;0,"Weekday")</f>
        <v>Weekday</v>
      </c>
      <c r="B223" s="5">
        <v>5</v>
      </c>
      <c r="C223" s="5">
        <v>47</v>
      </c>
      <c r="D223" s="5">
        <v>52</v>
      </c>
    </row>
    <row r="224" spans="1:4" x14ac:dyDescent="0.3">
      <c r="A224" t="str" cm="1">
        <f t="array" ref="A224">_xlfn.IFS(Append1[[#This Row],[weekday cnt]]=0,"Weekend",Append1[[#This Row],[weekday cnt]]=6,"Weekend",Append1[[#This Row],[weekday cnt]]&gt;0,"Weekday")</f>
        <v>Weekday</v>
      </c>
      <c r="B224" s="4">
        <v>4</v>
      </c>
      <c r="C224" s="4">
        <v>50</v>
      </c>
      <c r="D224" s="4">
        <v>54</v>
      </c>
    </row>
    <row r="225" spans="1:4" x14ac:dyDescent="0.3">
      <c r="A225" t="str" cm="1">
        <f t="array" ref="A225">_xlfn.IFS(Append1[[#This Row],[weekday cnt]]=0,"Weekend",Append1[[#This Row],[weekday cnt]]=6,"Weekend",Append1[[#This Row],[weekday cnt]]&gt;0,"Weekday")</f>
        <v>Weekday</v>
      </c>
      <c r="B225" s="5">
        <v>0</v>
      </c>
      <c r="C225" s="5">
        <v>47</v>
      </c>
      <c r="D225" s="5">
        <v>47</v>
      </c>
    </row>
    <row r="226" spans="1:4" x14ac:dyDescent="0.3">
      <c r="A226" t="str" cm="1">
        <f t="array" ref="A226">_xlfn.IFS(Append1[[#This Row],[weekday cnt]]=0,"Weekend",Append1[[#This Row],[weekday cnt]]=6,"Weekend",Append1[[#This Row],[weekday cnt]]&gt;0,"Weekday")</f>
        <v>Weekday</v>
      </c>
      <c r="B226" s="4">
        <v>2</v>
      </c>
      <c r="C226" s="4">
        <v>43</v>
      </c>
      <c r="D226" s="4">
        <v>45</v>
      </c>
    </row>
    <row r="227" spans="1:4" x14ac:dyDescent="0.3">
      <c r="A227" t="str" cm="1">
        <f t="array" ref="A227">_xlfn.IFS(Append1[[#This Row],[weekday cnt]]=0,"Weekend",Append1[[#This Row],[weekday cnt]]=6,"Weekend",Append1[[#This Row],[weekday cnt]]&gt;0,"Weekday")</f>
        <v>Weekday</v>
      </c>
      <c r="B227" s="5">
        <v>4</v>
      </c>
      <c r="C227" s="5">
        <v>70</v>
      </c>
      <c r="D227" s="5">
        <v>74</v>
      </c>
    </row>
    <row r="228" spans="1:4" x14ac:dyDescent="0.3">
      <c r="A228" t="str" cm="1">
        <f t="array" ref="A228">_xlfn.IFS(Append1[[#This Row],[weekday cnt]]=0,"Weekend",Append1[[#This Row],[weekday cnt]]=6,"Weekend",Append1[[#This Row],[weekday cnt]]&gt;0,"Weekday")</f>
        <v>Weekday</v>
      </c>
      <c r="B228" s="4">
        <v>4</v>
      </c>
      <c r="C228" s="4">
        <v>174</v>
      </c>
      <c r="D228" s="4">
        <v>178</v>
      </c>
    </row>
    <row r="229" spans="1:4" x14ac:dyDescent="0.3">
      <c r="A229" t="str" cm="1">
        <f t="array" ref="A229">_xlfn.IFS(Append1[[#This Row],[weekday cnt]]=0,"Weekend",Append1[[#This Row],[weekday cnt]]=6,"Weekend",Append1[[#This Row],[weekday cnt]]&gt;0,"Weekday")</f>
        <v>Weekday</v>
      </c>
      <c r="B229" s="5">
        <v>1</v>
      </c>
      <c r="C229" s="5">
        <v>154</v>
      </c>
      <c r="D229" s="5">
        <v>155</v>
      </c>
    </row>
    <row r="230" spans="1:4" x14ac:dyDescent="0.3">
      <c r="A230" t="str" cm="1">
        <f t="array" ref="A230">_xlfn.IFS(Append1[[#This Row],[weekday cnt]]=0,"Weekend",Append1[[#This Row],[weekday cnt]]=6,"Weekend",Append1[[#This Row],[weekday cnt]]&gt;0,"Weekday")</f>
        <v>Weekday</v>
      </c>
      <c r="B230" s="4">
        <v>3</v>
      </c>
      <c r="C230" s="4">
        <v>92</v>
      </c>
      <c r="D230" s="4">
        <v>95</v>
      </c>
    </row>
    <row r="231" spans="1:4" x14ac:dyDescent="0.3">
      <c r="A231" t="str" cm="1">
        <f t="array" ref="A231">_xlfn.IFS(Append1[[#This Row],[weekday cnt]]=0,"Weekend",Append1[[#This Row],[weekday cnt]]=6,"Weekend",Append1[[#This Row],[weekday cnt]]&gt;0,"Weekday")</f>
        <v>Weekday</v>
      </c>
      <c r="B231" s="5">
        <v>1</v>
      </c>
      <c r="C231" s="5">
        <v>73</v>
      </c>
      <c r="D231" s="5">
        <v>74</v>
      </c>
    </row>
    <row r="232" spans="1:4" x14ac:dyDescent="0.3">
      <c r="A232" t="str" cm="1">
        <f t="array" ref="A232">_xlfn.IFS(Append1[[#This Row],[weekday cnt]]=0,"Weekend",Append1[[#This Row],[weekday cnt]]=6,"Weekend",Append1[[#This Row],[weekday cnt]]&gt;0,"Weekday")</f>
        <v>Weekday</v>
      </c>
      <c r="B232" s="4">
        <v>1</v>
      </c>
      <c r="C232" s="4">
        <v>37</v>
      </c>
      <c r="D232" s="4">
        <v>38</v>
      </c>
    </row>
    <row r="233" spans="1:4" x14ac:dyDescent="0.3">
      <c r="A233" t="str" cm="1">
        <f t="array" ref="A233">_xlfn.IFS(Append1[[#This Row],[weekday cnt]]=0,"Weekend",Append1[[#This Row],[weekday cnt]]=6,"Weekend",Append1[[#This Row],[weekday cnt]]&gt;0,"Weekday")</f>
        <v>Weekday</v>
      </c>
      <c r="B233" s="5">
        <v>2</v>
      </c>
      <c r="C233" s="5">
        <v>22</v>
      </c>
      <c r="D233" s="5">
        <v>24</v>
      </c>
    </row>
    <row r="234" spans="1:4" x14ac:dyDescent="0.3">
      <c r="A234" t="str" cm="1">
        <f t="array" ref="A234">_xlfn.IFS(Append1[[#This Row],[weekday cnt]]=0,"Weekend",Append1[[#This Row],[weekday cnt]]=6,"Weekend",Append1[[#This Row],[weekday cnt]]&gt;0,"Weekday")</f>
        <v>Weekday</v>
      </c>
      <c r="B234" s="4">
        <v>0</v>
      </c>
      <c r="C234" s="4">
        <v>18</v>
      </c>
      <c r="D234" s="4">
        <v>18</v>
      </c>
    </row>
    <row r="235" spans="1:4" x14ac:dyDescent="0.3">
      <c r="A235" t="str" cm="1">
        <f t="array" ref="A235">_xlfn.IFS(Append1[[#This Row],[weekday cnt]]=0,"Weekend",Append1[[#This Row],[weekday cnt]]=6,"Weekend",Append1[[#This Row],[weekday cnt]]&gt;0,"Weekday")</f>
        <v>Weekday</v>
      </c>
      <c r="B235" s="5">
        <v>2</v>
      </c>
      <c r="C235" s="5">
        <v>10</v>
      </c>
      <c r="D235" s="5">
        <v>12</v>
      </c>
    </row>
    <row r="236" spans="1:4" x14ac:dyDescent="0.3">
      <c r="A236" t="str" cm="1">
        <f t="array" ref="A236">_xlfn.IFS(Append1[[#This Row],[weekday cnt]]=0,"Weekend",Append1[[#This Row],[weekday cnt]]=6,"Weekend",Append1[[#This Row],[weekday cnt]]&gt;0,"Weekday")</f>
        <v>Weekday</v>
      </c>
      <c r="B236" s="4">
        <v>0</v>
      </c>
      <c r="C236" s="4">
        <v>3</v>
      </c>
      <c r="D236" s="4">
        <v>3</v>
      </c>
    </row>
    <row r="237" spans="1:4" x14ac:dyDescent="0.3">
      <c r="A237" t="str" cm="1">
        <f t="array" ref="A237">_xlfn.IFS(Append1[[#This Row],[weekday cnt]]=0,"Weekend",Append1[[#This Row],[weekday cnt]]=6,"Weekend",Append1[[#This Row],[weekday cnt]]&gt;0,"Weekday")</f>
        <v>Weekday</v>
      </c>
      <c r="B237" s="5">
        <v>0</v>
      </c>
      <c r="C237" s="5">
        <v>3</v>
      </c>
      <c r="D237" s="5">
        <v>3</v>
      </c>
    </row>
    <row r="238" spans="1:4" x14ac:dyDescent="0.3">
      <c r="A238" t="str" cm="1">
        <f t="array" ref="A238">_xlfn.IFS(Append1[[#This Row],[weekday cnt]]=0,"Weekend",Append1[[#This Row],[weekday cnt]]=6,"Weekend",Append1[[#This Row],[weekday cnt]]&gt;0,"Weekday")</f>
        <v>Weekday</v>
      </c>
      <c r="B238" s="4">
        <v>0</v>
      </c>
      <c r="C238" s="4">
        <v>6</v>
      </c>
      <c r="D238" s="4">
        <v>6</v>
      </c>
    </row>
    <row r="239" spans="1:4" x14ac:dyDescent="0.3">
      <c r="A239" t="str" cm="1">
        <f t="array" ref="A239">_xlfn.IFS(Append1[[#This Row],[weekday cnt]]=0,"Weekend",Append1[[#This Row],[weekday cnt]]=6,"Weekend",Append1[[#This Row],[weekday cnt]]&gt;0,"Weekday")</f>
        <v>Weekday</v>
      </c>
      <c r="B239" s="5">
        <v>0</v>
      </c>
      <c r="C239" s="5">
        <v>27</v>
      </c>
      <c r="D239" s="5">
        <v>27</v>
      </c>
    </row>
    <row r="240" spans="1:4" x14ac:dyDescent="0.3">
      <c r="A240" t="str" cm="1">
        <f t="array" ref="A240">_xlfn.IFS(Append1[[#This Row],[weekday cnt]]=0,"Weekend",Append1[[#This Row],[weekday cnt]]=6,"Weekend",Append1[[#This Row],[weekday cnt]]&gt;0,"Weekday")</f>
        <v>Weekday</v>
      </c>
      <c r="B240" s="4">
        <v>2</v>
      </c>
      <c r="C240" s="4">
        <v>97</v>
      </c>
      <c r="D240" s="4">
        <v>99</v>
      </c>
    </row>
    <row r="241" spans="1:4" x14ac:dyDescent="0.3">
      <c r="A241" t="str" cm="1">
        <f t="array" ref="A241">_xlfn.IFS(Append1[[#This Row],[weekday cnt]]=0,"Weekend",Append1[[#This Row],[weekday cnt]]=6,"Weekend",Append1[[#This Row],[weekday cnt]]&gt;0,"Weekday")</f>
        <v>Weekday</v>
      </c>
      <c r="B241" s="5">
        <v>3</v>
      </c>
      <c r="C241" s="5">
        <v>214</v>
      </c>
      <c r="D241" s="5">
        <v>217</v>
      </c>
    </row>
    <row r="242" spans="1:4" x14ac:dyDescent="0.3">
      <c r="A242" t="str" cm="1">
        <f t="array" ref="A242">_xlfn.IFS(Append1[[#This Row],[weekday cnt]]=0,"Weekend",Append1[[#This Row],[weekday cnt]]=6,"Weekend",Append1[[#This Row],[weekday cnt]]&gt;0,"Weekday")</f>
        <v>Weekday</v>
      </c>
      <c r="B242" s="4">
        <v>3</v>
      </c>
      <c r="C242" s="4">
        <v>127</v>
      </c>
      <c r="D242" s="4">
        <v>130</v>
      </c>
    </row>
    <row r="243" spans="1:4" x14ac:dyDescent="0.3">
      <c r="A243" t="str" cm="1">
        <f t="array" ref="A243">_xlfn.IFS(Append1[[#This Row],[weekday cnt]]=0,"Weekend",Append1[[#This Row],[weekday cnt]]=6,"Weekend",Append1[[#This Row],[weekday cnt]]&gt;0,"Weekday")</f>
        <v>Weekday</v>
      </c>
      <c r="B243" s="5">
        <v>3</v>
      </c>
      <c r="C243" s="5">
        <v>51</v>
      </c>
      <c r="D243" s="5">
        <v>54</v>
      </c>
    </row>
    <row r="244" spans="1:4" x14ac:dyDescent="0.3">
      <c r="A244" t="str" cm="1">
        <f t="array" ref="A244">_xlfn.IFS(Append1[[#This Row],[weekday cnt]]=0,"Weekend",Append1[[#This Row],[weekday cnt]]=6,"Weekend",Append1[[#This Row],[weekday cnt]]&gt;0,"Weekday")</f>
        <v>Weekday</v>
      </c>
      <c r="B244" s="4">
        <v>4</v>
      </c>
      <c r="C244" s="4">
        <v>31</v>
      </c>
      <c r="D244" s="4">
        <v>35</v>
      </c>
    </row>
    <row r="245" spans="1:4" x14ac:dyDescent="0.3">
      <c r="A245" t="str" cm="1">
        <f t="array" ref="A245">_xlfn.IFS(Append1[[#This Row],[weekday cnt]]=0,"Weekend",Append1[[#This Row],[weekday cnt]]=6,"Weekend",Append1[[#This Row],[weekday cnt]]&gt;0,"Weekday")</f>
        <v>Weekday</v>
      </c>
      <c r="B245" s="5">
        <v>2</v>
      </c>
      <c r="C245" s="5">
        <v>55</v>
      </c>
      <c r="D245" s="5">
        <v>57</v>
      </c>
    </row>
    <row r="246" spans="1:4" x14ac:dyDescent="0.3">
      <c r="A246" t="str" cm="1">
        <f t="array" ref="A246">_xlfn.IFS(Append1[[#This Row],[weekday cnt]]=0,"Weekend",Append1[[#This Row],[weekday cnt]]=6,"Weekend",Append1[[#This Row],[weekday cnt]]&gt;0,"Weekday")</f>
        <v>Weekday</v>
      </c>
      <c r="B246" s="4">
        <v>6</v>
      </c>
      <c r="C246" s="4">
        <v>46</v>
      </c>
      <c r="D246" s="4">
        <v>52</v>
      </c>
    </row>
    <row r="247" spans="1:4" x14ac:dyDescent="0.3">
      <c r="A247" t="str" cm="1">
        <f t="array" ref="A247">_xlfn.IFS(Append1[[#This Row],[weekday cnt]]=0,"Weekend",Append1[[#This Row],[weekday cnt]]=6,"Weekend",Append1[[#This Row],[weekday cnt]]&gt;0,"Weekday")</f>
        <v>Weekday</v>
      </c>
      <c r="B247" s="5">
        <v>3</v>
      </c>
      <c r="C247" s="5">
        <v>60</v>
      </c>
      <c r="D247" s="5">
        <v>63</v>
      </c>
    </row>
    <row r="248" spans="1:4" x14ac:dyDescent="0.3">
      <c r="A248" t="str" cm="1">
        <f t="array" ref="A248">_xlfn.IFS(Append1[[#This Row],[weekday cnt]]=0,"Weekend",Append1[[#This Row],[weekday cnt]]=6,"Weekend",Append1[[#This Row],[weekday cnt]]&gt;0,"Weekday")</f>
        <v>Weekday</v>
      </c>
      <c r="B248" s="4">
        <v>2</v>
      </c>
      <c r="C248" s="4">
        <v>45</v>
      </c>
      <c r="D248" s="4">
        <v>47</v>
      </c>
    </row>
    <row r="249" spans="1:4" x14ac:dyDescent="0.3">
      <c r="A249" t="str" cm="1">
        <f t="array" ref="A249">_xlfn.IFS(Append1[[#This Row],[weekday cnt]]=0,"Weekend",Append1[[#This Row],[weekday cnt]]=6,"Weekend",Append1[[#This Row],[weekday cnt]]&gt;0,"Weekday")</f>
        <v>Weekday</v>
      </c>
      <c r="B249" s="5">
        <v>4</v>
      </c>
      <c r="C249" s="5">
        <v>72</v>
      </c>
      <c r="D249" s="5">
        <v>76</v>
      </c>
    </row>
    <row r="250" spans="1:4" x14ac:dyDescent="0.3">
      <c r="A250" t="str" cm="1">
        <f t="array" ref="A250">_xlfn.IFS(Append1[[#This Row],[weekday cnt]]=0,"Weekend",Append1[[#This Row],[weekday cnt]]=6,"Weekend",Append1[[#This Row],[weekday cnt]]&gt;0,"Weekday")</f>
        <v>Weekday</v>
      </c>
      <c r="B250" s="4">
        <v>6</v>
      </c>
      <c r="C250" s="4">
        <v>130</v>
      </c>
      <c r="D250" s="4">
        <v>136</v>
      </c>
    </row>
    <row r="251" spans="1:4" x14ac:dyDescent="0.3">
      <c r="A251" t="str" cm="1">
        <f t="array" ref="A251">_xlfn.IFS(Append1[[#This Row],[weekday cnt]]=0,"Weekend",Append1[[#This Row],[weekday cnt]]=6,"Weekend",Append1[[#This Row],[weekday cnt]]&gt;0,"Weekday")</f>
        <v>Weekday</v>
      </c>
      <c r="B251" s="5">
        <v>1</v>
      </c>
      <c r="C251" s="5">
        <v>94</v>
      </c>
      <c r="D251" s="5">
        <v>95</v>
      </c>
    </row>
    <row r="252" spans="1:4" x14ac:dyDescent="0.3">
      <c r="A252" t="str" cm="1">
        <f t="array" ref="A252">_xlfn.IFS(Append1[[#This Row],[weekday cnt]]=0,"Weekend",Append1[[#This Row],[weekday cnt]]=6,"Weekend",Append1[[#This Row],[weekday cnt]]&gt;0,"Weekday")</f>
        <v>Weekday</v>
      </c>
      <c r="B252" s="4">
        <v>0</v>
      </c>
      <c r="C252" s="4">
        <v>51</v>
      </c>
      <c r="D252" s="4">
        <v>51</v>
      </c>
    </row>
    <row r="253" spans="1:4" x14ac:dyDescent="0.3">
      <c r="A253" t="str" cm="1">
        <f t="array" ref="A253">_xlfn.IFS(Append1[[#This Row],[weekday cnt]]=0,"Weekend",Append1[[#This Row],[weekday cnt]]=6,"Weekend",Append1[[#This Row],[weekday cnt]]&gt;0,"Weekday")</f>
        <v>Weekday</v>
      </c>
      <c r="B253" s="5">
        <v>0</v>
      </c>
      <c r="C253" s="5">
        <v>32</v>
      </c>
      <c r="D253" s="5">
        <v>32</v>
      </c>
    </row>
    <row r="254" spans="1:4" x14ac:dyDescent="0.3">
      <c r="A254" t="str" cm="1">
        <f t="array" ref="A254">_xlfn.IFS(Append1[[#This Row],[weekday cnt]]=0,"Weekend",Append1[[#This Row],[weekday cnt]]=6,"Weekend",Append1[[#This Row],[weekday cnt]]&gt;0,"Weekday")</f>
        <v>Weekday</v>
      </c>
      <c r="B254" s="4">
        <v>0</v>
      </c>
      <c r="C254" s="4">
        <v>20</v>
      </c>
      <c r="D254" s="4">
        <v>20</v>
      </c>
    </row>
    <row r="255" spans="1:4" x14ac:dyDescent="0.3">
      <c r="A255" t="str" cm="1">
        <f t="array" ref="A255">_xlfn.IFS(Append1[[#This Row],[weekday cnt]]=0,"Weekend",Append1[[#This Row],[weekday cnt]]=6,"Weekend",Append1[[#This Row],[weekday cnt]]&gt;0,"Weekday")</f>
        <v>Weekday</v>
      </c>
      <c r="B255" s="5">
        <v>1</v>
      </c>
      <c r="C255" s="5">
        <v>28</v>
      </c>
      <c r="D255" s="5">
        <v>29</v>
      </c>
    </row>
    <row r="256" spans="1:4" x14ac:dyDescent="0.3">
      <c r="A256" t="str" cm="1">
        <f t="array" ref="A256">_xlfn.IFS(Append1[[#This Row],[weekday cnt]]=0,"Weekend",Append1[[#This Row],[weekday cnt]]=6,"Weekend",Append1[[#This Row],[weekday cnt]]&gt;0,"Weekday")</f>
        <v>Weekday</v>
      </c>
      <c r="B256" s="4">
        <v>1</v>
      </c>
      <c r="C256" s="4">
        <v>18</v>
      </c>
      <c r="D256" s="4">
        <v>19</v>
      </c>
    </row>
    <row r="257" spans="1:4" x14ac:dyDescent="0.3">
      <c r="A257" t="str" cm="1">
        <f t="array" ref="A257">_xlfn.IFS(Append1[[#This Row],[weekday cnt]]=0,"Weekend",Append1[[#This Row],[weekday cnt]]=6,"Weekend",Append1[[#This Row],[weekday cnt]]&gt;0,"Weekday")</f>
        <v>Weekday</v>
      </c>
      <c r="B257" s="5">
        <v>0</v>
      </c>
      <c r="C257" s="5">
        <v>7</v>
      </c>
      <c r="D257" s="5">
        <v>7</v>
      </c>
    </row>
    <row r="258" spans="1:4" x14ac:dyDescent="0.3">
      <c r="A258" t="str" cm="1">
        <f t="array" ref="A258">_xlfn.IFS(Append1[[#This Row],[weekday cnt]]=0,"Weekend",Append1[[#This Row],[weekday cnt]]=6,"Weekend",Append1[[#This Row],[weekday cnt]]&gt;0,"Weekday")</f>
        <v>Weekday</v>
      </c>
      <c r="B258" s="4">
        <v>0</v>
      </c>
      <c r="C258" s="4">
        <v>6</v>
      </c>
      <c r="D258" s="4">
        <v>6</v>
      </c>
    </row>
    <row r="259" spans="1:4" x14ac:dyDescent="0.3">
      <c r="A259" t="str" cm="1">
        <f t="array" ref="A259">_xlfn.IFS(Append1[[#This Row],[weekday cnt]]=0,"Weekend",Append1[[#This Row],[weekday cnt]]=6,"Weekend",Append1[[#This Row],[weekday cnt]]&gt;0,"Weekday")</f>
        <v>Weekday</v>
      </c>
      <c r="B259" s="5">
        <v>0</v>
      </c>
      <c r="C259" s="5">
        <v>1</v>
      </c>
      <c r="D259" s="5">
        <v>1</v>
      </c>
    </row>
    <row r="260" spans="1:4" x14ac:dyDescent="0.3">
      <c r="A260" t="str" cm="1">
        <f t="array" ref="A260">_xlfn.IFS(Append1[[#This Row],[weekday cnt]]=0,"Weekend",Append1[[#This Row],[weekday cnt]]=6,"Weekend",Append1[[#This Row],[weekday cnt]]&gt;0,"Weekday")</f>
        <v>Weekday</v>
      </c>
      <c r="B260" s="4">
        <v>0</v>
      </c>
      <c r="C260" s="4">
        <v>5</v>
      </c>
      <c r="D260" s="4">
        <v>5</v>
      </c>
    </row>
    <row r="261" spans="1:4" x14ac:dyDescent="0.3">
      <c r="A261" t="str" cm="1">
        <f t="array" ref="A261">_xlfn.IFS(Append1[[#This Row],[weekday cnt]]=0,"Weekend",Append1[[#This Row],[weekday cnt]]=6,"Weekend",Append1[[#This Row],[weekday cnt]]&gt;0,"Weekday")</f>
        <v>Weekday</v>
      </c>
      <c r="B261" s="5">
        <v>0</v>
      </c>
      <c r="C261" s="5">
        <v>16</v>
      </c>
      <c r="D261" s="5">
        <v>16</v>
      </c>
    </row>
    <row r="262" spans="1:4" x14ac:dyDescent="0.3">
      <c r="A262" t="str" cm="1">
        <f t="array" ref="A262">_xlfn.IFS(Append1[[#This Row],[weekday cnt]]=0,"Weekend",Append1[[#This Row],[weekday cnt]]=6,"Weekend",Append1[[#This Row],[weekday cnt]]&gt;0,"Weekday")</f>
        <v>Weekday</v>
      </c>
      <c r="B262" s="4">
        <v>0</v>
      </c>
      <c r="C262" s="4">
        <v>54</v>
      </c>
      <c r="D262" s="4">
        <v>54</v>
      </c>
    </row>
    <row r="263" spans="1:4" x14ac:dyDescent="0.3">
      <c r="A263" t="str" cm="1">
        <f t="array" ref="A263">_xlfn.IFS(Append1[[#This Row],[weekday cnt]]=0,"Weekend",Append1[[#This Row],[weekday cnt]]=6,"Weekend",Append1[[#This Row],[weekday cnt]]&gt;0,"Weekday")</f>
        <v>Weekday</v>
      </c>
      <c r="B263" s="5">
        <v>3</v>
      </c>
      <c r="C263" s="5">
        <v>125</v>
      </c>
      <c r="D263" s="5">
        <v>128</v>
      </c>
    </row>
    <row r="264" spans="1:4" x14ac:dyDescent="0.3">
      <c r="A264" t="str" cm="1">
        <f t="array" ref="A264">_xlfn.IFS(Append1[[#This Row],[weekday cnt]]=0,"Weekend",Append1[[#This Row],[weekday cnt]]=6,"Weekend",Append1[[#This Row],[weekday cnt]]&gt;0,"Weekday")</f>
        <v>Weekday</v>
      </c>
      <c r="B264" s="4">
        <v>3</v>
      </c>
      <c r="C264" s="4">
        <v>78</v>
      </c>
      <c r="D264" s="4">
        <v>81</v>
      </c>
    </row>
    <row r="265" spans="1:4" x14ac:dyDescent="0.3">
      <c r="A265" t="str" cm="1">
        <f t="array" ref="A265">_xlfn.IFS(Append1[[#This Row],[weekday cnt]]=0,"Weekend",Append1[[#This Row],[weekday cnt]]=6,"Weekend",Append1[[#This Row],[weekday cnt]]&gt;0,"Weekday")</f>
        <v>Weekday</v>
      </c>
      <c r="B265" s="5">
        <v>0</v>
      </c>
      <c r="C265" s="5">
        <v>39</v>
      </c>
      <c r="D265" s="5">
        <v>39</v>
      </c>
    </row>
    <row r="266" spans="1:4" x14ac:dyDescent="0.3">
      <c r="A266" t="str" cm="1">
        <f t="array" ref="A266">_xlfn.IFS(Append1[[#This Row],[weekday cnt]]=0,"Weekend",Append1[[#This Row],[weekday cnt]]=6,"Weekend",Append1[[#This Row],[weekday cnt]]&gt;0,"Weekday")</f>
        <v>Weekday</v>
      </c>
      <c r="B266" s="4">
        <v>3</v>
      </c>
      <c r="C266" s="4">
        <v>32</v>
      </c>
      <c r="D266" s="4">
        <v>35</v>
      </c>
    </row>
    <row r="267" spans="1:4" x14ac:dyDescent="0.3">
      <c r="A267" t="str" cm="1">
        <f t="array" ref="A267">_xlfn.IFS(Append1[[#This Row],[weekday cnt]]=0,"Weekend",Append1[[#This Row],[weekday cnt]]=6,"Weekend",Append1[[#This Row],[weekday cnt]]&gt;0,"Weekday")</f>
        <v>Weekday</v>
      </c>
      <c r="B267" s="5">
        <v>3</v>
      </c>
      <c r="C267" s="5">
        <v>52</v>
      </c>
      <c r="D267" s="5">
        <v>55</v>
      </c>
    </row>
    <row r="268" spans="1:4" x14ac:dyDescent="0.3">
      <c r="A268" t="str" cm="1">
        <f t="array" ref="A268">_xlfn.IFS(Append1[[#This Row],[weekday cnt]]=0,"Weekend",Append1[[#This Row],[weekday cnt]]=6,"Weekend",Append1[[#This Row],[weekday cnt]]&gt;0,"Weekday")</f>
        <v>Weekday</v>
      </c>
      <c r="B268" s="4">
        <v>0</v>
      </c>
      <c r="C268" s="4">
        <v>49</v>
      </c>
      <c r="D268" s="4">
        <v>49</v>
      </c>
    </row>
    <row r="269" spans="1:4" x14ac:dyDescent="0.3">
      <c r="A269" t="str" cm="1">
        <f t="array" ref="A269">_xlfn.IFS(Append1[[#This Row],[weekday cnt]]=0,"Weekend",Append1[[#This Row],[weekday cnt]]=6,"Weekend",Append1[[#This Row],[weekday cnt]]&gt;0,"Weekday")</f>
        <v>Weekday</v>
      </c>
      <c r="B269" s="5">
        <v>0</v>
      </c>
      <c r="C269" s="5">
        <v>44</v>
      </c>
      <c r="D269" s="5">
        <v>44</v>
      </c>
    </row>
    <row r="270" spans="1:4" x14ac:dyDescent="0.3">
      <c r="A270" t="str" cm="1">
        <f t="array" ref="A270">_xlfn.IFS(Append1[[#This Row],[weekday cnt]]=0,"Weekend",Append1[[#This Row],[weekday cnt]]=6,"Weekend",Append1[[#This Row],[weekday cnt]]&gt;0,"Weekday")</f>
        <v>Weekday</v>
      </c>
      <c r="B270" s="4">
        <v>1</v>
      </c>
      <c r="C270" s="4">
        <v>48</v>
      </c>
      <c r="D270" s="4">
        <v>49</v>
      </c>
    </row>
    <row r="271" spans="1:4" x14ac:dyDescent="0.3">
      <c r="A271" t="str" cm="1">
        <f t="array" ref="A271">_xlfn.IFS(Append1[[#This Row],[weekday cnt]]=0,"Weekend",Append1[[#This Row],[weekday cnt]]=6,"Weekend",Append1[[#This Row],[weekday cnt]]&gt;0,"Weekday")</f>
        <v>Weekday</v>
      </c>
      <c r="B271" s="5">
        <v>5</v>
      </c>
      <c r="C271" s="5">
        <v>63</v>
      </c>
      <c r="D271" s="5">
        <v>68</v>
      </c>
    </row>
    <row r="272" spans="1:4" x14ac:dyDescent="0.3">
      <c r="A272" t="str" cm="1">
        <f t="array" ref="A272">_xlfn.IFS(Append1[[#This Row],[weekday cnt]]=0,"Weekend",Append1[[#This Row],[weekday cnt]]=6,"Weekend",Append1[[#This Row],[weekday cnt]]&gt;0,"Weekday")</f>
        <v>Weekday</v>
      </c>
      <c r="B272" s="4">
        <v>0</v>
      </c>
      <c r="C272" s="4">
        <v>139</v>
      </c>
      <c r="D272" s="4">
        <v>139</v>
      </c>
    </row>
    <row r="273" spans="1:4" x14ac:dyDescent="0.3">
      <c r="A273" t="str" cm="1">
        <f t="array" ref="A273">_xlfn.IFS(Append1[[#This Row],[weekday cnt]]=0,"Weekend",Append1[[#This Row],[weekday cnt]]=6,"Weekend",Append1[[#This Row],[weekday cnt]]&gt;0,"Weekday")</f>
        <v>Weekday</v>
      </c>
      <c r="B273" s="5">
        <v>2</v>
      </c>
      <c r="C273" s="5">
        <v>135</v>
      </c>
      <c r="D273" s="5">
        <v>137</v>
      </c>
    </row>
    <row r="274" spans="1:4" x14ac:dyDescent="0.3">
      <c r="A274" t="str" cm="1">
        <f t="array" ref="A274">_xlfn.IFS(Append1[[#This Row],[weekday cnt]]=0,"Weekend",Append1[[#This Row],[weekday cnt]]=6,"Weekend",Append1[[#This Row],[weekday cnt]]&gt;0,"Weekday")</f>
        <v>Weekday</v>
      </c>
      <c r="B274" s="4">
        <v>1</v>
      </c>
      <c r="C274" s="4">
        <v>82</v>
      </c>
      <c r="D274" s="4">
        <v>83</v>
      </c>
    </row>
    <row r="275" spans="1:4" x14ac:dyDescent="0.3">
      <c r="A275" t="str" cm="1">
        <f t="array" ref="A275">_xlfn.IFS(Append1[[#This Row],[weekday cnt]]=0,"Weekend",Append1[[#This Row],[weekday cnt]]=6,"Weekend",Append1[[#This Row],[weekday cnt]]&gt;0,"Weekday")</f>
        <v>Weekday</v>
      </c>
      <c r="B275" s="5">
        <v>2</v>
      </c>
      <c r="C275" s="5">
        <v>54</v>
      </c>
      <c r="D275" s="5">
        <v>56</v>
      </c>
    </row>
    <row r="276" spans="1:4" x14ac:dyDescent="0.3">
      <c r="A276" t="str" cm="1">
        <f t="array" ref="A276">_xlfn.IFS(Append1[[#This Row],[weekday cnt]]=0,"Weekend",Append1[[#This Row],[weekday cnt]]=6,"Weekend",Append1[[#This Row],[weekday cnt]]&gt;0,"Weekday")</f>
        <v>Weekday</v>
      </c>
      <c r="B276" s="4">
        <v>0</v>
      </c>
      <c r="C276" s="4">
        <v>57</v>
      </c>
      <c r="D276" s="4">
        <v>57</v>
      </c>
    </row>
    <row r="277" spans="1:4" x14ac:dyDescent="0.3">
      <c r="A277" t="str" cm="1">
        <f t="array" ref="A277">_xlfn.IFS(Append1[[#This Row],[weekday cnt]]=0,"Weekend",Append1[[#This Row],[weekday cnt]]=6,"Weekend",Append1[[#This Row],[weekday cnt]]&gt;0,"Weekday")</f>
        <v>Weekday</v>
      </c>
      <c r="B277" s="5">
        <v>1</v>
      </c>
      <c r="C277" s="5">
        <v>32</v>
      </c>
      <c r="D277" s="5">
        <v>33</v>
      </c>
    </row>
    <row r="278" spans="1:4" x14ac:dyDescent="0.3">
      <c r="A278" t="str" cm="1">
        <f t="array" ref="A278">_xlfn.IFS(Append1[[#This Row],[weekday cnt]]=0,"Weekend",Append1[[#This Row],[weekday cnt]]=6,"Weekend",Append1[[#This Row],[weekday cnt]]&gt;0,"Weekday")</f>
        <v>Weekday</v>
      </c>
      <c r="B278" s="4">
        <v>1</v>
      </c>
      <c r="C278" s="4">
        <v>19</v>
      </c>
      <c r="D278" s="4">
        <v>20</v>
      </c>
    </row>
    <row r="279" spans="1:4" x14ac:dyDescent="0.3">
      <c r="A279" t="str" cm="1">
        <f t="array" ref="A279">_xlfn.IFS(Append1[[#This Row],[weekday cnt]]=0,"Weekend",Append1[[#This Row],[weekday cnt]]=6,"Weekend",Append1[[#This Row],[weekday cnt]]&gt;0,"Weekday")</f>
        <v>Weekday</v>
      </c>
      <c r="B279" s="5">
        <v>1</v>
      </c>
      <c r="C279" s="5">
        <v>6</v>
      </c>
      <c r="D279" s="5">
        <v>7</v>
      </c>
    </row>
    <row r="280" spans="1:4" x14ac:dyDescent="0.3">
      <c r="A280" t="str" cm="1">
        <f t="array" ref="A280">_xlfn.IFS(Append1[[#This Row],[weekday cnt]]=0,"Weekend",Append1[[#This Row],[weekday cnt]]=6,"Weekend",Append1[[#This Row],[weekday cnt]]&gt;0,"Weekday")</f>
        <v>Weekday</v>
      </c>
      <c r="B280" s="4">
        <v>0</v>
      </c>
      <c r="C280" s="4">
        <v>2</v>
      </c>
      <c r="D280" s="4">
        <v>2</v>
      </c>
    </row>
    <row r="281" spans="1:4" x14ac:dyDescent="0.3">
      <c r="A281" t="str" cm="1">
        <f t="array" ref="A281">_xlfn.IFS(Append1[[#This Row],[weekday cnt]]=0,"Weekend",Append1[[#This Row],[weekday cnt]]=6,"Weekend",Append1[[#This Row],[weekday cnt]]&gt;0,"Weekday")</f>
        <v>Weekday</v>
      </c>
      <c r="B281" s="5">
        <v>0</v>
      </c>
      <c r="C281" s="5">
        <v>2</v>
      </c>
      <c r="D281" s="5">
        <v>2</v>
      </c>
    </row>
    <row r="282" spans="1:4" x14ac:dyDescent="0.3">
      <c r="A282" t="str" cm="1">
        <f t="array" ref="A282">_xlfn.IFS(Append1[[#This Row],[weekday cnt]]=0,"Weekend",Append1[[#This Row],[weekday cnt]]=6,"Weekend",Append1[[#This Row],[weekday cnt]]&gt;0,"Weekday")</f>
        <v>Weekday</v>
      </c>
      <c r="B282" s="4">
        <v>0</v>
      </c>
      <c r="C282" s="4">
        <v>3</v>
      </c>
      <c r="D282" s="4">
        <v>3</v>
      </c>
    </row>
    <row r="283" spans="1:4" x14ac:dyDescent="0.3">
      <c r="A283" t="str" cm="1">
        <f t="array" ref="A283">_xlfn.IFS(Append1[[#This Row],[weekday cnt]]=0,"Weekend",Append1[[#This Row],[weekday cnt]]=6,"Weekend",Append1[[#This Row],[weekday cnt]]&gt;0,"Weekday")</f>
        <v>Weekday</v>
      </c>
      <c r="B283" s="5">
        <v>0</v>
      </c>
      <c r="C283" s="5">
        <v>4</v>
      </c>
      <c r="D283" s="5">
        <v>4</v>
      </c>
    </row>
    <row r="284" spans="1:4" x14ac:dyDescent="0.3">
      <c r="A284" t="str" cm="1">
        <f t="array" ref="A284">_xlfn.IFS(Append1[[#This Row],[weekday cnt]]=0,"Weekend",Append1[[#This Row],[weekday cnt]]=6,"Weekend",Append1[[#This Row],[weekday cnt]]&gt;0,"Weekday")</f>
        <v>Weekday</v>
      </c>
      <c r="B284" s="4">
        <v>0</v>
      </c>
      <c r="C284" s="4">
        <v>3</v>
      </c>
      <c r="D284" s="4">
        <v>3</v>
      </c>
    </row>
    <row r="285" spans="1:4" x14ac:dyDescent="0.3">
      <c r="A285" t="str" cm="1">
        <f t="array" ref="A285">_xlfn.IFS(Append1[[#This Row],[weekday cnt]]=0,"Weekend",Append1[[#This Row],[weekday cnt]]=6,"Weekend",Append1[[#This Row],[weekday cnt]]&gt;0,"Weekday")</f>
        <v>Weekday</v>
      </c>
      <c r="B285" s="5">
        <v>0</v>
      </c>
      <c r="C285" s="5">
        <v>28</v>
      </c>
      <c r="D285" s="5">
        <v>28</v>
      </c>
    </row>
    <row r="286" spans="1:4" x14ac:dyDescent="0.3">
      <c r="A286" t="str" cm="1">
        <f t="array" ref="A286">_xlfn.IFS(Append1[[#This Row],[weekday cnt]]=0,"Weekend",Append1[[#This Row],[weekday cnt]]=6,"Weekend",Append1[[#This Row],[weekday cnt]]&gt;0,"Weekday")</f>
        <v>Weekday</v>
      </c>
      <c r="B286" s="4">
        <v>0</v>
      </c>
      <c r="C286" s="4">
        <v>72</v>
      </c>
      <c r="D286" s="4">
        <v>72</v>
      </c>
    </row>
    <row r="287" spans="1:4" x14ac:dyDescent="0.3">
      <c r="A287" t="str" cm="1">
        <f t="array" ref="A287">_xlfn.IFS(Append1[[#This Row],[weekday cnt]]=0,"Weekend",Append1[[#This Row],[weekday cnt]]=6,"Weekend",Append1[[#This Row],[weekday cnt]]&gt;0,"Weekday")</f>
        <v>Weekday</v>
      </c>
      <c r="B287" s="5">
        <v>5</v>
      </c>
      <c r="C287" s="5">
        <v>197</v>
      </c>
      <c r="D287" s="5">
        <v>202</v>
      </c>
    </row>
    <row r="288" spans="1:4" x14ac:dyDescent="0.3">
      <c r="A288" t="str" cm="1">
        <f t="array" ref="A288">_xlfn.IFS(Append1[[#This Row],[weekday cnt]]=0,"Weekend",Append1[[#This Row],[weekday cnt]]=6,"Weekend",Append1[[#This Row],[weekday cnt]]&gt;0,"Weekday")</f>
        <v>Weekday</v>
      </c>
      <c r="B288" s="4">
        <v>2</v>
      </c>
      <c r="C288" s="4">
        <v>137</v>
      </c>
      <c r="D288" s="4">
        <v>139</v>
      </c>
    </row>
    <row r="289" spans="1:4" x14ac:dyDescent="0.3">
      <c r="A289" t="str" cm="1">
        <f t="array" ref="A289">_xlfn.IFS(Append1[[#This Row],[weekday cnt]]=0,"Weekend",Append1[[#This Row],[weekday cnt]]=6,"Weekend",Append1[[#This Row],[weekday cnt]]&gt;0,"Weekday")</f>
        <v>Weekday</v>
      </c>
      <c r="B289" s="5">
        <v>2</v>
      </c>
      <c r="C289" s="5">
        <v>36</v>
      </c>
      <c r="D289" s="5">
        <v>38</v>
      </c>
    </row>
    <row r="290" spans="1:4" x14ac:dyDescent="0.3">
      <c r="A290" t="str" cm="1">
        <f t="array" ref="A290">_xlfn.IFS(Append1[[#This Row],[weekday cnt]]=0,"Weekend",Append1[[#This Row],[weekday cnt]]=6,"Weekend",Append1[[#This Row],[weekday cnt]]&gt;0,"Weekday")</f>
        <v>Weekday</v>
      </c>
      <c r="B290" s="4">
        <v>4</v>
      </c>
      <c r="C290" s="4">
        <v>33</v>
      </c>
      <c r="D290" s="4">
        <v>37</v>
      </c>
    </row>
    <row r="291" spans="1:4" x14ac:dyDescent="0.3">
      <c r="A291" t="str" cm="1">
        <f t="array" ref="A291">_xlfn.IFS(Append1[[#This Row],[weekday cnt]]=0,"Weekend",Append1[[#This Row],[weekday cnt]]=6,"Weekend",Append1[[#This Row],[weekday cnt]]&gt;0,"Weekday")</f>
        <v>Weekday</v>
      </c>
      <c r="B291" s="5">
        <v>3</v>
      </c>
      <c r="C291" s="5">
        <v>49</v>
      </c>
      <c r="D291" s="5">
        <v>52</v>
      </c>
    </row>
    <row r="292" spans="1:4" x14ac:dyDescent="0.3">
      <c r="A292" t="str" cm="1">
        <f t="array" ref="A292">_xlfn.IFS(Append1[[#This Row],[weekday cnt]]=0,"Weekend",Append1[[#This Row],[weekday cnt]]=6,"Weekend",Append1[[#This Row],[weekday cnt]]&gt;0,"Weekday")</f>
        <v>Weekday</v>
      </c>
      <c r="B292" s="4">
        <v>2</v>
      </c>
      <c r="C292" s="4">
        <v>81</v>
      </c>
      <c r="D292" s="4">
        <v>83</v>
      </c>
    </row>
    <row r="293" spans="1:4" x14ac:dyDescent="0.3">
      <c r="A293" t="str" cm="1">
        <f t="array" ref="A293">_xlfn.IFS(Append1[[#This Row],[weekday cnt]]=0,"Weekend",Append1[[#This Row],[weekday cnt]]=6,"Weekend",Append1[[#This Row],[weekday cnt]]&gt;0,"Weekday")</f>
        <v>Weekday</v>
      </c>
      <c r="B293" s="5">
        <v>3</v>
      </c>
      <c r="C293" s="5">
        <v>39</v>
      </c>
      <c r="D293" s="5">
        <v>42</v>
      </c>
    </row>
    <row r="294" spans="1:4" x14ac:dyDescent="0.3">
      <c r="A294" t="str" cm="1">
        <f t="array" ref="A294">_xlfn.IFS(Append1[[#This Row],[weekday cnt]]=0,"Weekend",Append1[[#This Row],[weekday cnt]]=6,"Weekend",Append1[[#This Row],[weekday cnt]]&gt;0,"Weekday")</f>
        <v>Weekday</v>
      </c>
      <c r="B294" s="4">
        <v>5</v>
      </c>
      <c r="C294" s="4">
        <v>55</v>
      </c>
      <c r="D294" s="4">
        <v>60</v>
      </c>
    </row>
    <row r="295" spans="1:4" x14ac:dyDescent="0.3">
      <c r="A295" t="str" cm="1">
        <f t="array" ref="A295">_xlfn.IFS(Append1[[#This Row],[weekday cnt]]=0,"Weekend",Append1[[#This Row],[weekday cnt]]=6,"Weekend",Append1[[#This Row],[weekday cnt]]&gt;0,"Weekday")</f>
        <v>Weekday</v>
      </c>
      <c r="B295" s="5">
        <v>2</v>
      </c>
      <c r="C295" s="5">
        <v>76</v>
      </c>
      <c r="D295" s="5">
        <v>78</v>
      </c>
    </row>
    <row r="296" spans="1:4" x14ac:dyDescent="0.3">
      <c r="A296" t="str" cm="1">
        <f t="array" ref="A296">_xlfn.IFS(Append1[[#This Row],[weekday cnt]]=0,"Weekend",Append1[[#This Row],[weekday cnt]]=6,"Weekend",Append1[[#This Row],[weekday cnt]]&gt;0,"Weekday")</f>
        <v>Weekday</v>
      </c>
      <c r="B296" s="4">
        <v>4</v>
      </c>
      <c r="C296" s="4">
        <v>158</v>
      </c>
      <c r="D296" s="4">
        <v>162</v>
      </c>
    </row>
    <row r="297" spans="1:4" x14ac:dyDescent="0.3">
      <c r="A297" t="str" cm="1">
        <f t="array" ref="A297">_xlfn.IFS(Append1[[#This Row],[weekday cnt]]=0,"Weekend",Append1[[#This Row],[weekday cnt]]=6,"Weekend",Append1[[#This Row],[weekday cnt]]&gt;0,"Weekday")</f>
        <v>Weekday</v>
      </c>
      <c r="B297" s="5">
        <v>3</v>
      </c>
      <c r="C297" s="5">
        <v>141</v>
      </c>
      <c r="D297" s="5">
        <v>144</v>
      </c>
    </row>
    <row r="298" spans="1:4" x14ac:dyDescent="0.3">
      <c r="A298" t="str" cm="1">
        <f t="array" ref="A298">_xlfn.IFS(Append1[[#This Row],[weekday cnt]]=0,"Weekend",Append1[[#This Row],[weekday cnt]]=6,"Weekend",Append1[[#This Row],[weekday cnt]]&gt;0,"Weekday")</f>
        <v>Weekday</v>
      </c>
      <c r="B298" s="4">
        <v>1</v>
      </c>
      <c r="C298" s="4">
        <v>98</v>
      </c>
      <c r="D298" s="4">
        <v>99</v>
      </c>
    </row>
    <row r="299" spans="1:4" x14ac:dyDescent="0.3">
      <c r="A299" t="str" cm="1">
        <f t="array" ref="A299">_xlfn.IFS(Append1[[#This Row],[weekday cnt]]=0,"Weekend",Append1[[#This Row],[weekday cnt]]=6,"Weekend",Append1[[#This Row],[weekday cnt]]&gt;0,"Weekday")</f>
        <v>Weekday</v>
      </c>
      <c r="B299" s="5">
        <v>0</v>
      </c>
      <c r="C299" s="5">
        <v>64</v>
      </c>
      <c r="D299" s="5">
        <v>64</v>
      </c>
    </row>
    <row r="300" spans="1:4" x14ac:dyDescent="0.3">
      <c r="A300" t="str" cm="1">
        <f t="array" ref="A300">_xlfn.IFS(Append1[[#This Row],[weekday cnt]]=0,"Weekend",Append1[[#This Row],[weekday cnt]]=6,"Weekend",Append1[[#This Row],[weekday cnt]]&gt;0,"Weekday")</f>
        <v>Weekday</v>
      </c>
      <c r="B300" s="4">
        <v>0</v>
      </c>
      <c r="C300" s="4">
        <v>40</v>
      </c>
      <c r="D300" s="4">
        <v>40</v>
      </c>
    </row>
    <row r="301" spans="1:4" x14ac:dyDescent="0.3">
      <c r="A301" t="str" cm="1">
        <f t="array" ref="A301">_xlfn.IFS(Append1[[#This Row],[weekday cnt]]=0,"Weekend",Append1[[#This Row],[weekday cnt]]=6,"Weekend",Append1[[#This Row],[weekday cnt]]&gt;0,"Weekday")</f>
        <v>Weekday</v>
      </c>
      <c r="B301" s="5">
        <v>0</v>
      </c>
      <c r="C301" s="5">
        <v>30</v>
      </c>
      <c r="D301" s="5">
        <v>30</v>
      </c>
    </row>
    <row r="302" spans="1:4" x14ac:dyDescent="0.3">
      <c r="A302" t="str" cm="1">
        <f t="array" ref="A302">_xlfn.IFS(Append1[[#This Row],[weekday cnt]]=0,"Weekend",Append1[[#This Row],[weekday cnt]]=6,"Weekend",Append1[[#This Row],[weekday cnt]]&gt;0,"Weekday")</f>
        <v>Weekday</v>
      </c>
      <c r="B302" s="4">
        <v>1</v>
      </c>
      <c r="C302" s="4">
        <v>14</v>
      </c>
      <c r="D302" s="4">
        <v>15</v>
      </c>
    </row>
    <row r="303" spans="1:4" x14ac:dyDescent="0.3">
      <c r="A303" t="str" cm="1">
        <f t="array" ref="A303">_xlfn.IFS(Append1[[#This Row],[weekday cnt]]=0,"Weekend",Append1[[#This Row],[weekday cnt]]=6,"Weekend",Append1[[#This Row],[weekday cnt]]&gt;0,"Weekday")</f>
        <v>Weekday</v>
      </c>
      <c r="B303" s="5">
        <v>0</v>
      </c>
      <c r="C303" s="5">
        <v>14</v>
      </c>
      <c r="D303" s="5">
        <v>14</v>
      </c>
    </row>
    <row r="304" spans="1:4" x14ac:dyDescent="0.3">
      <c r="A304" t="str" cm="1">
        <f t="array" ref="A304">_xlfn.IFS(Append1[[#This Row],[weekday cnt]]=0,"Weekend",Append1[[#This Row],[weekday cnt]]=6,"Weekend",Append1[[#This Row],[weekday cnt]]&gt;0,"Weekday")</f>
        <v>Weekday</v>
      </c>
      <c r="B304" s="4">
        <v>0</v>
      </c>
      <c r="C304" s="4">
        <v>5</v>
      </c>
      <c r="D304" s="4">
        <v>5</v>
      </c>
    </row>
    <row r="305" spans="1:4" x14ac:dyDescent="0.3">
      <c r="A305" t="str" cm="1">
        <f t="array" ref="A305">_xlfn.IFS(Append1[[#This Row],[weekday cnt]]=0,"Weekend",Append1[[#This Row],[weekday cnt]]=6,"Weekend",Append1[[#This Row],[weekday cnt]]&gt;0,"Weekday")</f>
        <v>Weekday</v>
      </c>
      <c r="B305" s="5">
        <v>0</v>
      </c>
      <c r="C305" s="5">
        <v>1</v>
      </c>
      <c r="D305" s="5">
        <v>1</v>
      </c>
    </row>
    <row r="306" spans="1:4" x14ac:dyDescent="0.3">
      <c r="A306" t="str" cm="1">
        <f t="array" ref="A306">_xlfn.IFS(Append1[[#This Row],[weekday cnt]]=0,"Weekend",Append1[[#This Row],[weekday cnt]]=6,"Weekend",Append1[[#This Row],[weekday cnt]]&gt;0,"Weekday")</f>
        <v>Weekday</v>
      </c>
      <c r="B306" s="4">
        <v>0</v>
      </c>
      <c r="C306" s="4">
        <v>1</v>
      </c>
      <c r="D306" s="4">
        <v>1</v>
      </c>
    </row>
    <row r="307" spans="1:4" x14ac:dyDescent="0.3">
      <c r="A307" t="str" cm="1">
        <f t="array" ref="A307">_xlfn.IFS(Append1[[#This Row],[weekday cnt]]=0,"Weekend",Append1[[#This Row],[weekday cnt]]=6,"Weekend",Append1[[#This Row],[weekday cnt]]&gt;0,"Weekday")</f>
        <v>Weekday</v>
      </c>
      <c r="B307" s="5">
        <v>0</v>
      </c>
      <c r="C307" s="5">
        <v>8</v>
      </c>
      <c r="D307" s="5">
        <v>8</v>
      </c>
    </row>
    <row r="308" spans="1:4" x14ac:dyDescent="0.3">
      <c r="A308" t="str" cm="1">
        <f t="array" ref="A308">_xlfn.IFS(Append1[[#This Row],[weekday cnt]]=0,"Weekend",Append1[[#This Row],[weekday cnt]]=6,"Weekend",Append1[[#This Row],[weekday cnt]]&gt;0,"Weekday")</f>
        <v>Weekday</v>
      </c>
      <c r="B308" s="4">
        <v>0</v>
      </c>
      <c r="C308" s="4">
        <v>17</v>
      </c>
      <c r="D308" s="4">
        <v>17</v>
      </c>
    </row>
    <row r="309" spans="1:4" x14ac:dyDescent="0.3">
      <c r="A309" t="str" cm="1">
        <f t="array" ref="A309">_xlfn.IFS(Append1[[#This Row],[weekday cnt]]=0,"Weekend",Append1[[#This Row],[weekday cnt]]=6,"Weekend",Append1[[#This Row],[weekday cnt]]&gt;0,"Weekday")</f>
        <v>Weekday</v>
      </c>
      <c r="B309" s="5">
        <v>0</v>
      </c>
      <c r="C309" s="5">
        <v>70</v>
      </c>
      <c r="D309" s="5">
        <v>70</v>
      </c>
    </row>
    <row r="310" spans="1:4" x14ac:dyDescent="0.3">
      <c r="A310" t="str" cm="1">
        <f t="array" ref="A310">_xlfn.IFS(Append1[[#This Row],[weekday cnt]]=0,"Weekend",Append1[[#This Row],[weekday cnt]]=6,"Weekend",Append1[[#This Row],[weekday cnt]]&gt;0,"Weekday")</f>
        <v>Weekday</v>
      </c>
      <c r="B310" s="4">
        <v>2</v>
      </c>
      <c r="C310" s="4">
        <v>156</v>
      </c>
      <c r="D310" s="4">
        <v>158</v>
      </c>
    </row>
    <row r="311" spans="1:4" x14ac:dyDescent="0.3">
      <c r="A311" t="str" cm="1">
        <f t="array" ref="A311">_xlfn.IFS(Append1[[#This Row],[weekday cnt]]=0,"Weekend",Append1[[#This Row],[weekday cnt]]=6,"Weekend",Append1[[#This Row],[weekday cnt]]&gt;0,"Weekday")</f>
        <v>Weekday</v>
      </c>
      <c r="B311" s="5">
        <v>0</v>
      </c>
      <c r="C311" s="5">
        <v>117</v>
      </c>
      <c r="D311" s="5">
        <v>117</v>
      </c>
    </row>
    <row r="312" spans="1:4" x14ac:dyDescent="0.3">
      <c r="A312" t="str" cm="1">
        <f t="array" ref="A312">_xlfn.IFS(Append1[[#This Row],[weekday cnt]]=0,"Weekend",Append1[[#This Row],[weekday cnt]]=6,"Weekend",Append1[[#This Row],[weekday cnt]]&gt;0,"Weekday")</f>
        <v>Weekday</v>
      </c>
      <c r="B312" s="4">
        <v>4</v>
      </c>
      <c r="C312" s="4">
        <v>40</v>
      </c>
      <c r="D312" s="4">
        <v>44</v>
      </c>
    </row>
    <row r="313" spans="1:4" x14ac:dyDescent="0.3">
      <c r="A313" t="str" cm="1">
        <f t="array" ref="A313">_xlfn.IFS(Append1[[#This Row],[weekday cnt]]=0,"Weekend",Append1[[#This Row],[weekday cnt]]=6,"Weekend",Append1[[#This Row],[weekday cnt]]&gt;0,"Weekday")</f>
        <v>Weekday</v>
      </c>
      <c r="B313" s="5">
        <v>6</v>
      </c>
      <c r="C313" s="5">
        <v>47</v>
      </c>
      <c r="D313" s="5">
        <v>53</v>
      </c>
    </row>
    <row r="314" spans="1:4" x14ac:dyDescent="0.3">
      <c r="A314" t="str" cm="1">
        <f t="array" ref="A314">_xlfn.IFS(Append1[[#This Row],[weekday cnt]]=0,"Weekend",Append1[[#This Row],[weekday cnt]]=6,"Weekend",Append1[[#This Row],[weekday cnt]]&gt;0,"Weekday")</f>
        <v>Weekday</v>
      </c>
      <c r="B314" s="4">
        <v>2</v>
      </c>
      <c r="C314" s="4">
        <v>59</v>
      </c>
      <c r="D314" s="4">
        <v>61</v>
      </c>
    </row>
    <row r="315" spans="1:4" x14ac:dyDescent="0.3">
      <c r="A315" t="str" cm="1">
        <f t="array" ref="A315">_xlfn.IFS(Append1[[#This Row],[weekday cnt]]=0,"Weekend",Append1[[#This Row],[weekday cnt]]=6,"Weekend",Append1[[#This Row],[weekday cnt]]&gt;0,"Weekday")</f>
        <v>Weekday</v>
      </c>
      <c r="B315" s="5">
        <v>4</v>
      </c>
      <c r="C315" s="5">
        <v>73</v>
      </c>
      <c r="D315" s="5">
        <v>77</v>
      </c>
    </row>
    <row r="316" spans="1:4" x14ac:dyDescent="0.3">
      <c r="A316" t="str" cm="1">
        <f t="array" ref="A316">_xlfn.IFS(Append1[[#This Row],[weekday cnt]]=0,"Weekend",Append1[[#This Row],[weekday cnt]]=6,"Weekend",Append1[[#This Row],[weekday cnt]]&gt;0,"Weekday")</f>
        <v>Weekday</v>
      </c>
      <c r="B316" s="4">
        <v>5</v>
      </c>
      <c r="C316" s="4">
        <v>59</v>
      </c>
      <c r="D316" s="4">
        <v>64</v>
      </c>
    </row>
    <row r="317" spans="1:4" x14ac:dyDescent="0.3">
      <c r="A317" t="str" cm="1">
        <f t="array" ref="A317">_xlfn.IFS(Append1[[#This Row],[weekday cnt]]=0,"Weekend",Append1[[#This Row],[weekday cnt]]=6,"Weekend",Append1[[#This Row],[weekday cnt]]&gt;0,"Weekday")</f>
        <v>Weekday</v>
      </c>
      <c r="B317" s="5">
        <v>9</v>
      </c>
      <c r="C317" s="5">
        <v>59</v>
      </c>
      <c r="D317" s="5">
        <v>68</v>
      </c>
    </row>
    <row r="318" spans="1:4" x14ac:dyDescent="0.3">
      <c r="A318" t="str" cm="1">
        <f t="array" ref="A318">_xlfn.IFS(Append1[[#This Row],[weekday cnt]]=0,"Weekend",Append1[[#This Row],[weekday cnt]]=6,"Weekend",Append1[[#This Row],[weekday cnt]]&gt;0,"Weekday")</f>
        <v>Weekday</v>
      </c>
      <c r="B318" s="4">
        <v>3</v>
      </c>
      <c r="C318" s="4">
        <v>87</v>
      </c>
      <c r="D318" s="4">
        <v>90</v>
      </c>
    </row>
    <row r="319" spans="1:4" x14ac:dyDescent="0.3">
      <c r="A319" t="str" cm="1">
        <f t="array" ref="A319">_xlfn.IFS(Append1[[#This Row],[weekday cnt]]=0,"Weekend",Append1[[#This Row],[weekday cnt]]=6,"Weekend",Append1[[#This Row],[weekday cnt]]&gt;0,"Weekday")</f>
        <v>Weekday</v>
      </c>
      <c r="B319" s="5">
        <v>4</v>
      </c>
      <c r="C319" s="5">
        <v>155</v>
      </c>
      <c r="D319" s="5">
        <v>159</v>
      </c>
    </row>
    <row r="320" spans="1:4" x14ac:dyDescent="0.3">
      <c r="A320" t="str" cm="1">
        <f t="array" ref="A320">_xlfn.IFS(Append1[[#This Row],[weekday cnt]]=0,"Weekend",Append1[[#This Row],[weekday cnt]]=6,"Weekend",Append1[[#This Row],[weekday cnt]]&gt;0,"Weekday")</f>
        <v>Weekday</v>
      </c>
      <c r="B320" s="4">
        <v>5</v>
      </c>
      <c r="C320" s="4">
        <v>134</v>
      </c>
      <c r="D320" s="4">
        <v>139</v>
      </c>
    </row>
    <row r="321" spans="1:4" x14ac:dyDescent="0.3">
      <c r="A321" t="str" cm="1">
        <f t="array" ref="A321">_xlfn.IFS(Append1[[#This Row],[weekday cnt]]=0,"Weekend",Append1[[#This Row],[weekday cnt]]=6,"Weekend",Append1[[#This Row],[weekday cnt]]&gt;0,"Weekday")</f>
        <v>Weekday</v>
      </c>
      <c r="B321" s="5">
        <v>3</v>
      </c>
      <c r="C321" s="5">
        <v>89</v>
      </c>
      <c r="D321" s="5">
        <v>92</v>
      </c>
    </row>
    <row r="322" spans="1:4" x14ac:dyDescent="0.3">
      <c r="A322" t="str" cm="1">
        <f t="array" ref="A322">_xlfn.IFS(Append1[[#This Row],[weekday cnt]]=0,"Weekend",Append1[[#This Row],[weekday cnt]]=6,"Weekend",Append1[[#This Row],[weekday cnt]]&gt;0,"Weekday")</f>
        <v>Weekday</v>
      </c>
      <c r="B322" s="4">
        <v>0</v>
      </c>
      <c r="C322" s="4">
        <v>68</v>
      </c>
      <c r="D322" s="4">
        <v>68</v>
      </c>
    </row>
    <row r="323" spans="1:4" x14ac:dyDescent="0.3">
      <c r="A323" t="str" cm="1">
        <f t="array" ref="A323">_xlfn.IFS(Append1[[#This Row],[weekday cnt]]=0,"Weekend",Append1[[#This Row],[weekday cnt]]=6,"Weekend",Append1[[#This Row],[weekday cnt]]&gt;0,"Weekday")</f>
        <v>Weekday</v>
      </c>
      <c r="B323" s="5">
        <v>4</v>
      </c>
      <c r="C323" s="5">
        <v>48</v>
      </c>
      <c r="D323" s="5">
        <v>52</v>
      </c>
    </row>
    <row r="324" spans="1:4" x14ac:dyDescent="0.3">
      <c r="A324" t="str" cm="1">
        <f t="array" ref="A324">_xlfn.IFS(Append1[[#This Row],[weekday cnt]]=0,"Weekend",Append1[[#This Row],[weekday cnt]]=6,"Weekend",Append1[[#This Row],[weekday cnt]]&gt;0,"Weekday")</f>
        <v>Weekday</v>
      </c>
      <c r="B324" s="4">
        <v>2</v>
      </c>
      <c r="C324" s="4">
        <v>34</v>
      </c>
      <c r="D324" s="4">
        <v>36</v>
      </c>
    </row>
    <row r="325" spans="1:4" x14ac:dyDescent="0.3">
      <c r="A325" t="str" cm="1">
        <f t="array" ref="A325">_xlfn.IFS(Append1[[#This Row],[weekday cnt]]=0,"Weekend",Append1[[#This Row],[weekday cnt]]=6,"Weekend",Append1[[#This Row],[weekday cnt]]&gt;0,"Weekday")</f>
        <v>Weekday</v>
      </c>
      <c r="B325" s="5">
        <v>1</v>
      </c>
      <c r="C325" s="5">
        <v>26</v>
      </c>
      <c r="D325" s="5">
        <v>27</v>
      </c>
    </row>
    <row r="326" spans="1:4" x14ac:dyDescent="0.3">
      <c r="A326" t="str" cm="1">
        <f t="array" ref="A326">_xlfn.IFS(Append1[[#This Row],[weekday cnt]]=0,"Weekend",Append1[[#This Row],[weekday cnt]]=6,"Weekend",Append1[[#This Row],[weekday cnt]]&gt;0,"Weekday")</f>
        <v>Weekend</v>
      </c>
      <c r="B326" s="4">
        <v>3</v>
      </c>
      <c r="C326" s="4">
        <v>25</v>
      </c>
      <c r="D326" s="4">
        <v>28</v>
      </c>
    </row>
    <row r="327" spans="1:4" x14ac:dyDescent="0.3">
      <c r="A327" t="str" cm="1">
        <f t="array" ref="A327">_xlfn.IFS(Append1[[#This Row],[weekday cnt]]=0,"Weekend",Append1[[#This Row],[weekday cnt]]=6,"Weekend",Append1[[#This Row],[weekday cnt]]&gt;0,"Weekday")</f>
        <v>Weekend</v>
      </c>
      <c r="B327" s="5">
        <v>2</v>
      </c>
      <c r="C327" s="5">
        <v>18</v>
      </c>
      <c r="D327" s="5">
        <v>20</v>
      </c>
    </row>
    <row r="328" spans="1:4" x14ac:dyDescent="0.3">
      <c r="A328" t="str" cm="1">
        <f t="array" ref="A328">_xlfn.IFS(Append1[[#This Row],[weekday cnt]]=0,"Weekend",Append1[[#This Row],[weekday cnt]]=6,"Weekend",Append1[[#This Row],[weekday cnt]]&gt;0,"Weekday")</f>
        <v>Weekend</v>
      </c>
      <c r="B328" s="4">
        <v>0</v>
      </c>
      <c r="C328" s="4">
        <v>12</v>
      </c>
      <c r="D328" s="4">
        <v>12</v>
      </c>
    </row>
    <row r="329" spans="1:4" x14ac:dyDescent="0.3">
      <c r="A329" t="str" cm="1">
        <f t="array" ref="A329">_xlfn.IFS(Append1[[#This Row],[weekday cnt]]=0,"Weekend",Append1[[#This Row],[weekday cnt]]=6,"Weekend",Append1[[#This Row],[weekday cnt]]&gt;0,"Weekday")</f>
        <v>Weekend</v>
      </c>
      <c r="B329" s="5">
        <v>1</v>
      </c>
      <c r="C329" s="5">
        <v>7</v>
      </c>
      <c r="D329" s="5">
        <v>8</v>
      </c>
    </row>
    <row r="330" spans="1:4" x14ac:dyDescent="0.3">
      <c r="A330" t="str" cm="1">
        <f t="array" ref="A330">_xlfn.IFS(Append1[[#This Row],[weekday cnt]]=0,"Weekend",Append1[[#This Row],[weekday cnt]]=6,"Weekend",Append1[[#This Row],[weekday cnt]]&gt;0,"Weekday")</f>
        <v>Weekend</v>
      </c>
      <c r="B330" s="4">
        <v>0</v>
      </c>
      <c r="C330" s="4">
        <v>5</v>
      </c>
      <c r="D330" s="4">
        <v>5</v>
      </c>
    </row>
    <row r="331" spans="1:4" x14ac:dyDescent="0.3">
      <c r="A331" t="str" cm="1">
        <f t="array" ref="A331">_xlfn.IFS(Append1[[#This Row],[weekday cnt]]=0,"Weekend",Append1[[#This Row],[weekday cnt]]=6,"Weekend",Append1[[#This Row],[weekday cnt]]&gt;0,"Weekday")</f>
        <v>Weekend</v>
      </c>
      <c r="B331" s="5">
        <v>0</v>
      </c>
      <c r="C331" s="5">
        <v>1</v>
      </c>
      <c r="D331" s="5">
        <v>1</v>
      </c>
    </row>
    <row r="332" spans="1:4" x14ac:dyDescent="0.3">
      <c r="A332" t="str" cm="1">
        <f t="array" ref="A332">_xlfn.IFS(Append1[[#This Row],[weekday cnt]]=0,"Weekend",Append1[[#This Row],[weekday cnt]]=6,"Weekend",Append1[[#This Row],[weekday cnt]]&gt;0,"Weekday")</f>
        <v>Weekend</v>
      </c>
      <c r="B332" s="4">
        <v>1</v>
      </c>
      <c r="C332" s="4">
        <v>2</v>
      </c>
      <c r="D332" s="4">
        <v>3</v>
      </c>
    </row>
    <row r="333" spans="1:4" x14ac:dyDescent="0.3">
      <c r="A333" t="str" cm="1">
        <f t="array" ref="A333">_xlfn.IFS(Append1[[#This Row],[weekday cnt]]=0,"Weekend",Append1[[#This Row],[weekday cnt]]=6,"Weekend",Append1[[#This Row],[weekday cnt]]&gt;0,"Weekday")</f>
        <v>Weekend</v>
      </c>
      <c r="B333" s="5">
        <v>1</v>
      </c>
      <c r="C333" s="5">
        <v>9</v>
      </c>
      <c r="D333" s="5">
        <v>10</v>
      </c>
    </row>
    <row r="334" spans="1:4" x14ac:dyDescent="0.3">
      <c r="A334" t="str" cm="1">
        <f t="array" ref="A334">_xlfn.IFS(Append1[[#This Row],[weekday cnt]]=0,"Weekend",Append1[[#This Row],[weekday cnt]]=6,"Weekend",Append1[[#This Row],[weekday cnt]]&gt;0,"Weekday")</f>
        <v>Weekend</v>
      </c>
      <c r="B334" s="4">
        <v>1</v>
      </c>
      <c r="C334" s="4">
        <v>22</v>
      </c>
      <c r="D334" s="4">
        <v>23</v>
      </c>
    </row>
    <row r="335" spans="1:4" x14ac:dyDescent="0.3">
      <c r="A335" t="str" cm="1">
        <f t="array" ref="A335">_xlfn.IFS(Append1[[#This Row],[weekday cnt]]=0,"Weekend",Append1[[#This Row],[weekday cnt]]=6,"Weekend",Append1[[#This Row],[weekday cnt]]&gt;0,"Weekday")</f>
        <v>Weekend</v>
      </c>
      <c r="B335" s="5">
        <v>2</v>
      </c>
      <c r="C335" s="5">
        <v>31</v>
      </c>
      <c r="D335" s="5">
        <v>33</v>
      </c>
    </row>
    <row r="336" spans="1:4" x14ac:dyDescent="0.3">
      <c r="A336" t="str" cm="1">
        <f t="array" ref="A336">_xlfn.IFS(Append1[[#This Row],[weekday cnt]]=0,"Weekend",Append1[[#This Row],[weekday cnt]]=6,"Weekend",Append1[[#This Row],[weekday cnt]]&gt;0,"Weekday")</f>
        <v>Weekend</v>
      </c>
      <c r="B336" s="4">
        <v>2</v>
      </c>
      <c r="C336" s="4">
        <v>57</v>
      </c>
      <c r="D336" s="4">
        <v>59</v>
      </c>
    </row>
    <row r="337" spans="1:4" x14ac:dyDescent="0.3">
      <c r="A337" t="str" cm="1">
        <f t="array" ref="A337">_xlfn.IFS(Append1[[#This Row],[weekday cnt]]=0,"Weekend",Append1[[#This Row],[weekday cnt]]=6,"Weekend",Append1[[#This Row],[weekday cnt]]&gt;0,"Weekday")</f>
        <v>Weekend</v>
      </c>
      <c r="B337" s="5">
        <v>18</v>
      </c>
      <c r="C337" s="5">
        <v>54</v>
      </c>
      <c r="D337" s="5">
        <v>72</v>
      </c>
    </row>
    <row r="338" spans="1:4" x14ac:dyDescent="0.3">
      <c r="A338" t="str" cm="1">
        <f t="array" ref="A338">_xlfn.IFS(Append1[[#This Row],[weekday cnt]]=0,"Weekend",Append1[[#This Row],[weekday cnt]]=6,"Weekend",Append1[[#This Row],[weekday cnt]]&gt;0,"Weekday")</f>
        <v>Weekend</v>
      </c>
      <c r="B338" s="4">
        <v>15</v>
      </c>
      <c r="C338" s="4">
        <v>74</v>
      </c>
      <c r="D338" s="4">
        <v>89</v>
      </c>
    </row>
    <row r="339" spans="1:4" x14ac:dyDescent="0.3">
      <c r="A339" t="str" cm="1">
        <f t="array" ref="A339">_xlfn.IFS(Append1[[#This Row],[weekday cnt]]=0,"Weekend",Append1[[#This Row],[weekday cnt]]=6,"Weekend",Append1[[#This Row],[weekday cnt]]&gt;0,"Weekday")</f>
        <v>Weekend</v>
      </c>
      <c r="B339" s="5">
        <v>21</v>
      </c>
      <c r="C339" s="5">
        <v>80</v>
      </c>
      <c r="D339" s="5">
        <v>101</v>
      </c>
    </row>
    <row r="340" spans="1:4" x14ac:dyDescent="0.3">
      <c r="A340" t="str" cm="1">
        <f t="array" ref="A340">_xlfn.IFS(Append1[[#This Row],[weekday cnt]]=0,"Weekend",Append1[[#This Row],[weekday cnt]]=6,"Weekend",Append1[[#This Row],[weekday cnt]]&gt;0,"Weekday")</f>
        <v>Weekend</v>
      </c>
      <c r="B340" s="4">
        <v>26</v>
      </c>
      <c r="C340" s="4">
        <v>92</v>
      </c>
      <c r="D340" s="4">
        <v>118</v>
      </c>
    </row>
    <row r="341" spans="1:4" x14ac:dyDescent="0.3">
      <c r="A341" t="str" cm="1">
        <f t="array" ref="A341">_xlfn.IFS(Append1[[#This Row],[weekday cnt]]=0,"Weekend",Append1[[#This Row],[weekday cnt]]=6,"Weekend",Append1[[#This Row],[weekday cnt]]&gt;0,"Weekday")</f>
        <v>Weekend</v>
      </c>
      <c r="B341" s="5">
        <v>21</v>
      </c>
      <c r="C341" s="5">
        <v>108</v>
      </c>
      <c r="D341" s="5">
        <v>129</v>
      </c>
    </row>
    <row r="342" spans="1:4" x14ac:dyDescent="0.3">
      <c r="A342" t="str" cm="1">
        <f t="array" ref="A342">_xlfn.IFS(Append1[[#This Row],[weekday cnt]]=0,"Weekend",Append1[[#This Row],[weekday cnt]]=6,"Weekend",Append1[[#This Row],[weekday cnt]]&gt;0,"Weekday")</f>
        <v>Weekend</v>
      </c>
      <c r="B342" s="4">
        <v>33</v>
      </c>
      <c r="C342" s="4">
        <v>95</v>
      </c>
      <c r="D342" s="4">
        <v>128</v>
      </c>
    </row>
    <row r="343" spans="1:4" x14ac:dyDescent="0.3">
      <c r="A343" t="str" cm="1">
        <f t="array" ref="A343">_xlfn.IFS(Append1[[#This Row],[weekday cnt]]=0,"Weekend",Append1[[#This Row],[weekday cnt]]=6,"Weekend",Append1[[#This Row],[weekday cnt]]&gt;0,"Weekday")</f>
        <v>Weekend</v>
      </c>
      <c r="B343" s="5">
        <v>29</v>
      </c>
      <c r="C343" s="5">
        <v>54</v>
      </c>
      <c r="D343" s="5">
        <v>83</v>
      </c>
    </row>
    <row r="344" spans="1:4" x14ac:dyDescent="0.3">
      <c r="A344" t="str" cm="1">
        <f t="array" ref="A344">_xlfn.IFS(Append1[[#This Row],[weekday cnt]]=0,"Weekend",Append1[[#This Row],[weekday cnt]]=6,"Weekend",Append1[[#This Row],[weekday cnt]]&gt;0,"Weekday")</f>
        <v>Weekend</v>
      </c>
      <c r="B344" s="4">
        <v>15</v>
      </c>
      <c r="C344" s="4">
        <v>69</v>
      </c>
      <c r="D344" s="4">
        <v>84</v>
      </c>
    </row>
    <row r="345" spans="1:4" x14ac:dyDescent="0.3">
      <c r="A345" t="str" cm="1">
        <f t="array" ref="A345">_xlfn.IFS(Append1[[#This Row],[weekday cnt]]=0,"Weekend",Append1[[#This Row],[weekday cnt]]=6,"Weekend",Append1[[#This Row],[weekday cnt]]&gt;0,"Weekday")</f>
        <v>Weekend</v>
      </c>
      <c r="B345" s="5">
        <v>14</v>
      </c>
      <c r="C345" s="5">
        <v>60</v>
      </c>
      <c r="D345" s="5">
        <v>74</v>
      </c>
    </row>
    <row r="346" spans="1:4" x14ac:dyDescent="0.3">
      <c r="A346" t="str" cm="1">
        <f t="array" ref="A346">_xlfn.IFS(Append1[[#This Row],[weekday cnt]]=0,"Weekend",Append1[[#This Row],[weekday cnt]]=6,"Weekend",Append1[[#This Row],[weekday cnt]]&gt;0,"Weekday")</f>
        <v>Weekend</v>
      </c>
      <c r="B346" s="4">
        <v>6</v>
      </c>
      <c r="C346" s="4">
        <v>35</v>
      </c>
      <c r="D346" s="4">
        <v>41</v>
      </c>
    </row>
    <row r="347" spans="1:4" x14ac:dyDescent="0.3">
      <c r="A347" t="str" cm="1">
        <f t="array" ref="A347">_xlfn.IFS(Append1[[#This Row],[weekday cnt]]=0,"Weekend",Append1[[#This Row],[weekday cnt]]=6,"Weekend",Append1[[#This Row],[weekday cnt]]&gt;0,"Weekday")</f>
        <v>Weekend</v>
      </c>
      <c r="B347" s="5">
        <v>6</v>
      </c>
      <c r="C347" s="5">
        <v>51</v>
      </c>
      <c r="D347" s="5">
        <v>57</v>
      </c>
    </row>
    <row r="348" spans="1:4" x14ac:dyDescent="0.3">
      <c r="A348" t="str" cm="1">
        <f t="array" ref="A348">_xlfn.IFS(Append1[[#This Row],[weekday cnt]]=0,"Weekend",Append1[[#This Row],[weekday cnt]]=6,"Weekend",Append1[[#This Row],[weekday cnt]]&gt;0,"Weekday")</f>
        <v>Weekend</v>
      </c>
      <c r="B348" s="4">
        <v>0</v>
      </c>
      <c r="C348" s="4">
        <v>26</v>
      </c>
      <c r="D348" s="4">
        <v>26</v>
      </c>
    </row>
    <row r="349" spans="1:4" x14ac:dyDescent="0.3">
      <c r="A349" t="str" cm="1">
        <f t="array" ref="A349">_xlfn.IFS(Append1[[#This Row],[weekday cnt]]=0,"Weekend",Append1[[#This Row],[weekday cnt]]=6,"Weekend",Append1[[#This Row],[weekday cnt]]&gt;0,"Weekday")</f>
        <v>Weekend</v>
      </c>
      <c r="B349" s="5">
        <v>5</v>
      </c>
      <c r="C349" s="5">
        <v>39</v>
      </c>
      <c r="D349" s="5">
        <v>44</v>
      </c>
    </row>
    <row r="350" spans="1:4" x14ac:dyDescent="0.3">
      <c r="A350" t="str" cm="1">
        <f t="array" ref="A350">_xlfn.IFS(Append1[[#This Row],[weekday cnt]]=0,"Weekend",Append1[[#This Row],[weekday cnt]]=6,"Weekend",Append1[[#This Row],[weekday cnt]]&gt;0,"Weekday")</f>
        <v>Weekend</v>
      </c>
      <c r="B350" s="4">
        <v>6</v>
      </c>
      <c r="C350" s="4">
        <v>33</v>
      </c>
      <c r="D350" s="4">
        <v>39</v>
      </c>
    </row>
    <row r="351" spans="1:4" x14ac:dyDescent="0.3">
      <c r="A351" t="str" cm="1">
        <f t="array" ref="A351">_xlfn.IFS(Append1[[#This Row],[weekday cnt]]=0,"Weekend",Append1[[#This Row],[weekday cnt]]=6,"Weekend",Append1[[#This Row],[weekday cnt]]&gt;0,"Weekday")</f>
        <v>Weekend</v>
      </c>
      <c r="B351" s="5">
        <v>4</v>
      </c>
      <c r="C351" s="5">
        <v>19</v>
      </c>
      <c r="D351" s="5">
        <v>23</v>
      </c>
    </row>
    <row r="352" spans="1:4" x14ac:dyDescent="0.3">
      <c r="A352" t="str" cm="1">
        <f t="array" ref="A352">_xlfn.IFS(Append1[[#This Row],[weekday cnt]]=0,"Weekend",Append1[[#This Row],[weekday cnt]]=6,"Weekend",Append1[[#This Row],[weekday cnt]]&gt;0,"Weekday")</f>
        <v>Weekend</v>
      </c>
      <c r="B352" s="4">
        <v>3</v>
      </c>
      <c r="C352" s="4">
        <v>13</v>
      </c>
      <c r="D352" s="4">
        <v>16</v>
      </c>
    </row>
    <row r="353" spans="1:4" x14ac:dyDescent="0.3">
      <c r="A353" t="str" cm="1">
        <f t="array" ref="A353">_xlfn.IFS(Append1[[#This Row],[weekday cnt]]=0,"Weekend",Append1[[#This Row],[weekday cnt]]=6,"Weekend",Append1[[#This Row],[weekday cnt]]&gt;0,"Weekday")</f>
        <v>Weekend</v>
      </c>
      <c r="B353" s="5">
        <v>9</v>
      </c>
      <c r="C353" s="5">
        <v>6</v>
      </c>
      <c r="D353" s="5">
        <v>15</v>
      </c>
    </row>
    <row r="354" spans="1:4" x14ac:dyDescent="0.3">
      <c r="A354" t="str" cm="1">
        <f t="array" ref="A354">_xlfn.IFS(Append1[[#This Row],[weekday cnt]]=0,"Weekend",Append1[[#This Row],[weekday cnt]]=6,"Weekend",Append1[[#This Row],[weekday cnt]]&gt;0,"Weekday")</f>
        <v>Weekend</v>
      </c>
      <c r="B354" s="4">
        <v>0</v>
      </c>
      <c r="C354" s="4">
        <v>1</v>
      </c>
      <c r="D354" s="4">
        <v>1</v>
      </c>
    </row>
    <row r="355" spans="1:4" x14ac:dyDescent="0.3">
      <c r="A355" t="str" cm="1">
        <f t="array" ref="A355">_xlfn.IFS(Append1[[#This Row],[weekday cnt]]=0,"Weekend",Append1[[#This Row],[weekday cnt]]=6,"Weekend",Append1[[#This Row],[weekday cnt]]&gt;0,"Weekday")</f>
        <v>Weekend</v>
      </c>
      <c r="B355" s="5">
        <v>1</v>
      </c>
      <c r="C355" s="5">
        <v>1</v>
      </c>
      <c r="D355" s="5">
        <v>2</v>
      </c>
    </row>
    <row r="356" spans="1:4" x14ac:dyDescent="0.3">
      <c r="A356" t="str" cm="1">
        <f t="array" ref="A356">_xlfn.IFS(Append1[[#This Row],[weekday cnt]]=0,"Weekend",Append1[[#This Row],[weekday cnt]]=6,"Weekend",Append1[[#This Row],[weekday cnt]]&gt;0,"Weekday")</f>
        <v>Weekend</v>
      </c>
      <c r="B356" s="4">
        <v>0</v>
      </c>
      <c r="C356" s="4">
        <v>1</v>
      </c>
      <c r="D356" s="4">
        <v>1</v>
      </c>
    </row>
    <row r="357" spans="1:4" x14ac:dyDescent="0.3">
      <c r="A357" t="str" cm="1">
        <f t="array" ref="A357">_xlfn.IFS(Append1[[#This Row],[weekday cnt]]=0,"Weekend",Append1[[#This Row],[weekday cnt]]=6,"Weekend",Append1[[#This Row],[weekday cnt]]&gt;0,"Weekday")</f>
        <v>Weekend</v>
      </c>
      <c r="B357" s="5">
        <v>0</v>
      </c>
      <c r="C357" s="5">
        <v>3</v>
      </c>
      <c r="D357" s="5">
        <v>3</v>
      </c>
    </row>
    <row r="358" spans="1:4" x14ac:dyDescent="0.3">
      <c r="A358" t="str" cm="1">
        <f t="array" ref="A358">_xlfn.IFS(Append1[[#This Row],[weekday cnt]]=0,"Weekend",Append1[[#This Row],[weekday cnt]]=6,"Weekend",Append1[[#This Row],[weekday cnt]]&gt;0,"Weekday")</f>
        <v>Weekend</v>
      </c>
      <c r="B358" s="4">
        <v>0</v>
      </c>
      <c r="C358" s="4">
        <v>18</v>
      </c>
      <c r="D358" s="4">
        <v>18</v>
      </c>
    </row>
    <row r="359" spans="1:4" x14ac:dyDescent="0.3">
      <c r="A359" t="str" cm="1">
        <f t="array" ref="A359">_xlfn.IFS(Append1[[#This Row],[weekday cnt]]=0,"Weekend",Append1[[#This Row],[weekday cnt]]=6,"Weekend",Append1[[#This Row],[weekday cnt]]&gt;0,"Weekday")</f>
        <v>Weekend</v>
      </c>
      <c r="B359" s="5">
        <v>3</v>
      </c>
      <c r="C359" s="5">
        <v>29</v>
      </c>
      <c r="D359" s="5">
        <v>32</v>
      </c>
    </row>
    <row r="360" spans="1:4" x14ac:dyDescent="0.3">
      <c r="A360" t="str" cm="1">
        <f t="array" ref="A360">_xlfn.IFS(Append1[[#This Row],[weekday cnt]]=0,"Weekend",Append1[[#This Row],[weekday cnt]]=6,"Weekend",Append1[[#This Row],[weekday cnt]]&gt;0,"Weekday")</f>
        <v>Weekend</v>
      </c>
      <c r="B360" s="4">
        <v>8</v>
      </c>
      <c r="C360" s="4">
        <v>71</v>
      </c>
      <c r="D360" s="4">
        <v>79</v>
      </c>
    </row>
    <row r="361" spans="1:4" x14ac:dyDescent="0.3">
      <c r="A361" t="str" cm="1">
        <f t="array" ref="A361">_xlfn.IFS(Append1[[#This Row],[weekday cnt]]=0,"Weekend",Append1[[#This Row],[weekday cnt]]=6,"Weekend",Append1[[#This Row],[weekday cnt]]&gt;0,"Weekday")</f>
        <v>Weekend</v>
      </c>
      <c r="B361" s="5">
        <v>23</v>
      </c>
      <c r="C361" s="5">
        <v>70</v>
      </c>
      <c r="D361" s="5">
        <v>93</v>
      </c>
    </row>
    <row r="362" spans="1:4" x14ac:dyDescent="0.3">
      <c r="A362" t="str" cm="1">
        <f t="array" ref="A362">_xlfn.IFS(Append1[[#This Row],[weekday cnt]]=0,"Weekend",Append1[[#This Row],[weekday cnt]]=6,"Weekend",Append1[[#This Row],[weekday cnt]]&gt;0,"Weekday")</f>
        <v>Weekend</v>
      </c>
      <c r="B362" s="4">
        <v>29</v>
      </c>
      <c r="C362" s="4">
        <v>75</v>
      </c>
      <c r="D362" s="4">
        <v>104</v>
      </c>
    </row>
    <row r="363" spans="1:4" x14ac:dyDescent="0.3">
      <c r="A363" t="str" cm="1">
        <f t="array" ref="A363">_xlfn.IFS(Append1[[#This Row],[weekday cnt]]=0,"Weekend",Append1[[#This Row],[weekday cnt]]=6,"Weekend",Append1[[#This Row],[weekday cnt]]&gt;0,"Weekday")</f>
        <v>Weekend</v>
      </c>
      <c r="B363" s="5">
        <v>23</v>
      </c>
      <c r="C363" s="5">
        <v>95</v>
      </c>
      <c r="D363" s="5">
        <v>118</v>
      </c>
    </row>
    <row r="364" spans="1:4" x14ac:dyDescent="0.3">
      <c r="A364" t="str" cm="1">
        <f t="array" ref="A364">_xlfn.IFS(Append1[[#This Row],[weekday cnt]]=0,"Weekend",Append1[[#This Row],[weekday cnt]]=6,"Weekend",Append1[[#This Row],[weekday cnt]]&gt;0,"Weekday")</f>
        <v>Weekend</v>
      </c>
      <c r="B364" s="4">
        <v>22</v>
      </c>
      <c r="C364" s="4">
        <v>69</v>
      </c>
      <c r="D364" s="4">
        <v>91</v>
      </c>
    </row>
    <row r="365" spans="1:4" x14ac:dyDescent="0.3">
      <c r="A365" t="str" cm="1">
        <f t="array" ref="A365">_xlfn.IFS(Append1[[#This Row],[weekday cnt]]=0,"Weekend",Append1[[#This Row],[weekday cnt]]=6,"Weekend",Append1[[#This Row],[weekday cnt]]&gt;0,"Weekday")</f>
        <v>Weekend</v>
      </c>
      <c r="B365" s="5">
        <v>35</v>
      </c>
      <c r="C365" s="5">
        <v>78</v>
      </c>
      <c r="D365" s="5">
        <v>113</v>
      </c>
    </row>
    <row r="366" spans="1:4" x14ac:dyDescent="0.3">
      <c r="A366" t="str" cm="1">
        <f t="array" ref="A366">_xlfn.IFS(Append1[[#This Row],[weekday cnt]]=0,"Weekend",Append1[[#This Row],[weekday cnt]]=6,"Weekend",Append1[[#This Row],[weekday cnt]]&gt;0,"Weekday")</f>
        <v>Weekend</v>
      </c>
      <c r="B366" s="4">
        <v>22</v>
      </c>
      <c r="C366" s="4">
        <v>77</v>
      </c>
      <c r="D366" s="4">
        <v>99</v>
      </c>
    </row>
    <row r="367" spans="1:4" x14ac:dyDescent="0.3">
      <c r="A367" t="str" cm="1">
        <f t="array" ref="A367">_xlfn.IFS(Append1[[#This Row],[weekday cnt]]=0,"Weekend",Append1[[#This Row],[weekday cnt]]=6,"Weekend",Append1[[#This Row],[weekday cnt]]&gt;0,"Weekday")</f>
        <v>Weekend</v>
      </c>
      <c r="B367" s="5">
        <v>23</v>
      </c>
      <c r="C367" s="5">
        <v>82</v>
      </c>
      <c r="D367" s="5">
        <v>105</v>
      </c>
    </row>
    <row r="368" spans="1:4" x14ac:dyDescent="0.3">
      <c r="A368" t="str" cm="1">
        <f t="array" ref="A368">_xlfn.IFS(Append1[[#This Row],[weekday cnt]]=0,"Weekend",Append1[[#This Row],[weekday cnt]]=6,"Weekend",Append1[[#This Row],[weekday cnt]]&gt;0,"Weekday")</f>
        <v>Weekend</v>
      </c>
      <c r="B368" s="4">
        <v>11</v>
      </c>
      <c r="C368" s="4">
        <v>56</v>
      </c>
      <c r="D368" s="4">
        <v>67</v>
      </c>
    </row>
    <row r="369" spans="1:4" x14ac:dyDescent="0.3">
      <c r="A369" t="str" cm="1">
        <f t="array" ref="A369">_xlfn.IFS(Append1[[#This Row],[weekday cnt]]=0,"Weekend",Append1[[#This Row],[weekday cnt]]=6,"Weekend",Append1[[#This Row],[weekday cnt]]&gt;0,"Weekday")</f>
        <v>Weekend</v>
      </c>
      <c r="B369" s="5">
        <v>14</v>
      </c>
      <c r="C369" s="5">
        <v>47</v>
      </c>
      <c r="D369" s="5">
        <v>61</v>
      </c>
    </row>
    <row r="370" spans="1:4" x14ac:dyDescent="0.3">
      <c r="A370" t="str" cm="1">
        <f t="array" ref="A370">_xlfn.IFS(Append1[[#This Row],[weekday cnt]]=0,"Weekend",Append1[[#This Row],[weekday cnt]]=6,"Weekend",Append1[[#This Row],[weekday cnt]]&gt;0,"Weekday")</f>
        <v>Weekend</v>
      </c>
      <c r="B370" s="4">
        <v>7</v>
      </c>
      <c r="C370" s="4">
        <v>50</v>
      </c>
      <c r="D370" s="4">
        <v>57</v>
      </c>
    </row>
    <row r="371" spans="1:4" x14ac:dyDescent="0.3">
      <c r="A371" t="str" cm="1">
        <f t="array" ref="A371">_xlfn.IFS(Append1[[#This Row],[weekday cnt]]=0,"Weekend",Append1[[#This Row],[weekday cnt]]=6,"Weekend",Append1[[#This Row],[weekday cnt]]&gt;0,"Weekday")</f>
        <v>Weekend</v>
      </c>
      <c r="B371" s="5">
        <v>6</v>
      </c>
      <c r="C371" s="5">
        <v>22</v>
      </c>
      <c r="D371" s="5">
        <v>28</v>
      </c>
    </row>
    <row r="372" spans="1:4" x14ac:dyDescent="0.3">
      <c r="A372" t="str" cm="1">
        <f t="array" ref="A372">_xlfn.IFS(Append1[[#This Row],[weekday cnt]]=0,"Weekend",Append1[[#This Row],[weekday cnt]]=6,"Weekend",Append1[[#This Row],[weekday cnt]]&gt;0,"Weekday")</f>
        <v>Weekend</v>
      </c>
      <c r="B372" s="4">
        <v>2</v>
      </c>
      <c r="C372" s="4">
        <v>19</v>
      </c>
      <c r="D372" s="4">
        <v>21</v>
      </c>
    </row>
    <row r="373" spans="1:4" x14ac:dyDescent="0.3">
      <c r="A373" t="str" cm="1">
        <f t="array" ref="A373">_xlfn.IFS(Append1[[#This Row],[weekday cnt]]=0,"Weekend",Append1[[#This Row],[weekday cnt]]=6,"Weekend",Append1[[#This Row],[weekday cnt]]&gt;0,"Weekday")</f>
        <v>Weekend</v>
      </c>
      <c r="B373" s="5">
        <v>0</v>
      </c>
      <c r="C373" s="5">
        <v>18</v>
      </c>
      <c r="D373" s="5">
        <v>18</v>
      </c>
    </row>
    <row r="374" spans="1:4" x14ac:dyDescent="0.3">
      <c r="A374" t="str" cm="1">
        <f t="array" ref="A374">_xlfn.IFS(Append1[[#This Row],[weekday cnt]]=0,"Weekend",Append1[[#This Row],[weekday cnt]]=6,"Weekend",Append1[[#This Row],[weekday cnt]]&gt;0,"Weekday")</f>
        <v>Weekday</v>
      </c>
      <c r="B374" s="4">
        <v>1</v>
      </c>
      <c r="C374" s="4">
        <v>16</v>
      </c>
      <c r="D374" s="4">
        <v>17</v>
      </c>
    </row>
    <row r="375" spans="1:4" x14ac:dyDescent="0.3">
      <c r="A375" t="str" cm="1">
        <f t="array" ref="A375">_xlfn.IFS(Append1[[#This Row],[weekday cnt]]=0,"Weekend",Append1[[#This Row],[weekday cnt]]=6,"Weekend",Append1[[#This Row],[weekday cnt]]&gt;0,"Weekday")</f>
        <v>Weekday</v>
      </c>
      <c r="B375" s="5">
        <v>1</v>
      </c>
      <c r="C375" s="5">
        <v>15</v>
      </c>
      <c r="D375" s="5">
        <v>16</v>
      </c>
    </row>
    <row r="376" spans="1:4" x14ac:dyDescent="0.3">
      <c r="A376" t="str" cm="1">
        <f t="array" ref="A376">_xlfn.IFS(Append1[[#This Row],[weekday cnt]]=0,"Weekend",Append1[[#This Row],[weekday cnt]]=6,"Weekend",Append1[[#This Row],[weekday cnt]]&gt;0,"Weekday")</f>
        <v>Weekday</v>
      </c>
      <c r="B376" s="4">
        <v>0</v>
      </c>
      <c r="C376" s="4">
        <v>8</v>
      </c>
      <c r="D376" s="4">
        <v>8</v>
      </c>
    </row>
    <row r="377" spans="1:4" x14ac:dyDescent="0.3">
      <c r="A377" t="str" cm="1">
        <f t="array" ref="A377">_xlfn.IFS(Append1[[#This Row],[weekday cnt]]=0,"Weekend",Append1[[#This Row],[weekday cnt]]=6,"Weekend",Append1[[#This Row],[weekday cnt]]&gt;0,"Weekday")</f>
        <v>Weekday</v>
      </c>
      <c r="B377" s="5">
        <v>0</v>
      </c>
      <c r="C377" s="5">
        <v>2</v>
      </c>
      <c r="D377" s="5">
        <v>2</v>
      </c>
    </row>
    <row r="378" spans="1:4" x14ac:dyDescent="0.3">
      <c r="A378" t="str" cm="1">
        <f t="array" ref="A378">_xlfn.IFS(Append1[[#This Row],[weekday cnt]]=0,"Weekend",Append1[[#This Row],[weekday cnt]]=6,"Weekend",Append1[[#This Row],[weekday cnt]]&gt;0,"Weekday")</f>
        <v>Weekday</v>
      </c>
      <c r="B378" s="4">
        <v>1</v>
      </c>
      <c r="C378" s="4">
        <v>2</v>
      </c>
      <c r="D378" s="4">
        <v>3</v>
      </c>
    </row>
    <row r="379" spans="1:4" x14ac:dyDescent="0.3">
      <c r="A379" t="str" cm="1">
        <f t="array" ref="A379">_xlfn.IFS(Append1[[#This Row],[weekday cnt]]=0,"Weekend",Append1[[#This Row],[weekday cnt]]=6,"Weekend",Append1[[#This Row],[weekday cnt]]&gt;0,"Weekday")</f>
        <v>Weekday</v>
      </c>
      <c r="B379" s="5">
        <v>0</v>
      </c>
      <c r="C379" s="5">
        <v>1</v>
      </c>
      <c r="D379" s="5">
        <v>1</v>
      </c>
    </row>
    <row r="380" spans="1:4" x14ac:dyDescent="0.3">
      <c r="A380" t="str" cm="1">
        <f t="array" ref="A380">_xlfn.IFS(Append1[[#This Row],[weekday cnt]]=0,"Weekend",Append1[[#This Row],[weekday cnt]]=6,"Weekend",Append1[[#This Row],[weekday cnt]]&gt;0,"Weekday")</f>
        <v>Weekday</v>
      </c>
      <c r="B380" s="4">
        <v>0</v>
      </c>
      <c r="C380" s="4">
        <v>5</v>
      </c>
      <c r="D380" s="4">
        <v>5</v>
      </c>
    </row>
    <row r="381" spans="1:4" x14ac:dyDescent="0.3">
      <c r="A381" t="str" cm="1">
        <f t="array" ref="A381">_xlfn.IFS(Append1[[#This Row],[weekday cnt]]=0,"Weekend",Append1[[#This Row],[weekday cnt]]=6,"Weekend",Append1[[#This Row],[weekday cnt]]&gt;0,"Weekday")</f>
        <v>Weekday</v>
      </c>
      <c r="B381" s="5">
        <v>4</v>
      </c>
      <c r="C381" s="5">
        <v>9</v>
      </c>
      <c r="D381" s="5">
        <v>13</v>
      </c>
    </row>
    <row r="382" spans="1:4" x14ac:dyDescent="0.3">
      <c r="A382" t="str" cm="1">
        <f t="array" ref="A382">_xlfn.IFS(Append1[[#This Row],[weekday cnt]]=0,"Weekend",Append1[[#This Row],[weekday cnt]]=6,"Weekend",Append1[[#This Row],[weekday cnt]]&gt;0,"Weekday")</f>
        <v>Weekday</v>
      </c>
      <c r="B382" s="4">
        <v>3</v>
      </c>
      <c r="C382" s="4">
        <v>30</v>
      </c>
      <c r="D382" s="4">
        <v>33</v>
      </c>
    </row>
    <row r="383" spans="1:4" x14ac:dyDescent="0.3">
      <c r="A383" t="str" cm="1">
        <f t="array" ref="A383">_xlfn.IFS(Append1[[#This Row],[weekday cnt]]=0,"Weekend",Append1[[#This Row],[weekday cnt]]=6,"Weekend",Append1[[#This Row],[weekday cnt]]&gt;0,"Weekday")</f>
        <v>Weekday</v>
      </c>
      <c r="B383" s="5">
        <v>8</v>
      </c>
      <c r="C383" s="5">
        <v>39</v>
      </c>
      <c r="D383" s="5">
        <v>47</v>
      </c>
    </row>
    <row r="384" spans="1:4" x14ac:dyDescent="0.3">
      <c r="A384" t="str" cm="1">
        <f t="array" ref="A384">_xlfn.IFS(Append1[[#This Row],[weekday cnt]]=0,"Weekend",Append1[[#This Row],[weekday cnt]]=6,"Weekend",Append1[[#This Row],[weekday cnt]]&gt;0,"Weekday")</f>
        <v>Weekday</v>
      </c>
      <c r="B384" s="4">
        <v>7</v>
      </c>
      <c r="C384" s="4">
        <v>50</v>
      </c>
      <c r="D384" s="4">
        <v>57</v>
      </c>
    </row>
    <row r="385" spans="1:4" x14ac:dyDescent="0.3">
      <c r="A385" t="str" cm="1">
        <f t="array" ref="A385">_xlfn.IFS(Append1[[#This Row],[weekday cnt]]=0,"Weekend",Append1[[#This Row],[weekday cnt]]=6,"Weekend",Append1[[#This Row],[weekday cnt]]&gt;0,"Weekday")</f>
        <v>Weekday</v>
      </c>
      <c r="B385" s="5">
        <v>9</v>
      </c>
      <c r="C385" s="5">
        <v>55</v>
      </c>
      <c r="D385" s="5">
        <v>64</v>
      </c>
    </row>
    <row r="386" spans="1:4" x14ac:dyDescent="0.3">
      <c r="A386" t="str" cm="1">
        <f t="array" ref="A386">_xlfn.IFS(Append1[[#This Row],[weekday cnt]]=0,"Weekend",Append1[[#This Row],[weekday cnt]]=6,"Weekend",Append1[[#This Row],[weekday cnt]]&gt;0,"Weekday")</f>
        <v>Weekday</v>
      </c>
      <c r="B386" s="4">
        <v>10</v>
      </c>
      <c r="C386" s="4">
        <v>70</v>
      </c>
      <c r="D386" s="4">
        <v>80</v>
      </c>
    </row>
    <row r="387" spans="1:4" x14ac:dyDescent="0.3">
      <c r="A387" t="str" cm="1">
        <f t="array" ref="A387">_xlfn.IFS(Append1[[#This Row],[weekday cnt]]=0,"Weekend",Append1[[#This Row],[weekday cnt]]=6,"Weekend",Append1[[#This Row],[weekday cnt]]&gt;0,"Weekday")</f>
        <v>Weekday</v>
      </c>
      <c r="B387" s="5">
        <v>13</v>
      </c>
      <c r="C387" s="5">
        <v>80</v>
      </c>
      <c r="D387" s="5">
        <v>93</v>
      </c>
    </row>
    <row r="388" spans="1:4" x14ac:dyDescent="0.3">
      <c r="A388" t="str" cm="1">
        <f t="array" ref="A388">_xlfn.IFS(Append1[[#This Row],[weekday cnt]]=0,"Weekend",Append1[[#This Row],[weekday cnt]]=6,"Weekend",Append1[[#This Row],[weekday cnt]]&gt;0,"Weekday")</f>
        <v>Weekday</v>
      </c>
      <c r="B388" s="4">
        <v>12</v>
      </c>
      <c r="C388" s="4">
        <v>74</v>
      </c>
      <c r="D388" s="4">
        <v>86</v>
      </c>
    </row>
    <row r="389" spans="1:4" x14ac:dyDescent="0.3">
      <c r="A389" t="str" cm="1">
        <f t="array" ref="A389">_xlfn.IFS(Append1[[#This Row],[weekday cnt]]=0,"Weekend",Append1[[#This Row],[weekday cnt]]=6,"Weekend",Append1[[#This Row],[weekday cnt]]&gt;0,"Weekday")</f>
        <v>Weekday</v>
      </c>
      <c r="B389" s="5">
        <v>21</v>
      </c>
      <c r="C389" s="5">
        <v>72</v>
      </c>
      <c r="D389" s="5">
        <v>93</v>
      </c>
    </row>
    <row r="390" spans="1:4" x14ac:dyDescent="0.3">
      <c r="A390" t="str" cm="1">
        <f t="array" ref="A390">_xlfn.IFS(Append1[[#This Row],[weekday cnt]]=0,"Weekend",Append1[[#This Row],[weekday cnt]]=6,"Weekend",Append1[[#This Row],[weekday cnt]]&gt;0,"Weekday")</f>
        <v>Weekday</v>
      </c>
      <c r="B390" s="4">
        <v>6</v>
      </c>
      <c r="C390" s="4">
        <v>76</v>
      </c>
      <c r="D390" s="4">
        <v>82</v>
      </c>
    </row>
    <row r="391" spans="1:4" x14ac:dyDescent="0.3">
      <c r="A391" t="str" cm="1">
        <f t="array" ref="A391">_xlfn.IFS(Append1[[#This Row],[weekday cnt]]=0,"Weekend",Append1[[#This Row],[weekday cnt]]=6,"Weekend",Append1[[#This Row],[weekday cnt]]&gt;0,"Weekday")</f>
        <v>Weekday</v>
      </c>
      <c r="B391" s="5">
        <v>4</v>
      </c>
      <c r="C391" s="5">
        <v>67</v>
      </c>
      <c r="D391" s="5">
        <v>71</v>
      </c>
    </row>
    <row r="392" spans="1:4" x14ac:dyDescent="0.3">
      <c r="A392" t="str" cm="1">
        <f t="array" ref="A392">_xlfn.IFS(Append1[[#This Row],[weekday cnt]]=0,"Weekend",Append1[[#This Row],[weekday cnt]]=6,"Weekend",Append1[[#This Row],[weekday cnt]]&gt;0,"Weekday")</f>
        <v>Weekday</v>
      </c>
      <c r="B392" s="4">
        <v>7</v>
      </c>
      <c r="C392" s="4">
        <v>85</v>
      </c>
      <c r="D392" s="4">
        <v>92</v>
      </c>
    </row>
    <row r="393" spans="1:4" x14ac:dyDescent="0.3">
      <c r="A393" t="str" cm="1">
        <f t="array" ref="A393">_xlfn.IFS(Append1[[#This Row],[weekday cnt]]=0,"Weekend",Append1[[#This Row],[weekday cnt]]=6,"Weekend",Append1[[#This Row],[weekday cnt]]&gt;0,"Weekday")</f>
        <v>Weekday</v>
      </c>
      <c r="B393" s="5">
        <v>2</v>
      </c>
      <c r="C393" s="5">
        <v>58</v>
      </c>
      <c r="D393" s="5">
        <v>60</v>
      </c>
    </row>
    <row r="394" spans="1:4" x14ac:dyDescent="0.3">
      <c r="A394" t="str" cm="1">
        <f t="array" ref="A394">_xlfn.IFS(Append1[[#This Row],[weekday cnt]]=0,"Weekend",Append1[[#This Row],[weekday cnt]]=6,"Weekend",Append1[[#This Row],[weekday cnt]]&gt;0,"Weekday")</f>
        <v>Weekday</v>
      </c>
      <c r="B394" s="4">
        <v>4</v>
      </c>
      <c r="C394" s="4">
        <v>29</v>
      </c>
      <c r="D394" s="4">
        <v>33</v>
      </c>
    </row>
    <row r="395" spans="1:4" x14ac:dyDescent="0.3">
      <c r="A395" t="str" cm="1">
        <f t="array" ref="A395">_xlfn.IFS(Append1[[#This Row],[weekday cnt]]=0,"Weekend",Append1[[#This Row],[weekday cnt]]=6,"Weekend",Append1[[#This Row],[weekday cnt]]&gt;0,"Weekday")</f>
        <v>Weekday</v>
      </c>
      <c r="B395" s="5">
        <v>3</v>
      </c>
      <c r="C395" s="5">
        <v>24</v>
      </c>
      <c r="D395" s="5">
        <v>27</v>
      </c>
    </row>
    <row r="396" spans="1:4" x14ac:dyDescent="0.3">
      <c r="A396" t="str" cm="1">
        <f t="array" ref="A396">_xlfn.IFS(Append1[[#This Row],[weekday cnt]]=0,"Weekend",Append1[[#This Row],[weekday cnt]]=6,"Weekend",Append1[[#This Row],[weekday cnt]]&gt;0,"Weekday")</f>
        <v>Weekday</v>
      </c>
      <c r="B396" s="4">
        <v>0</v>
      </c>
      <c r="C396" s="4">
        <v>13</v>
      </c>
      <c r="D396" s="4">
        <v>13</v>
      </c>
    </row>
    <row r="397" spans="1:4" x14ac:dyDescent="0.3">
      <c r="A397" t="str" cm="1">
        <f t="array" ref="A397">_xlfn.IFS(Append1[[#This Row],[weekday cnt]]=0,"Weekend",Append1[[#This Row],[weekday cnt]]=6,"Weekend",Append1[[#This Row],[weekday cnt]]&gt;0,"Weekday")</f>
        <v>Weekday</v>
      </c>
      <c r="B397" s="5">
        <v>1</v>
      </c>
      <c r="C397" s="5">
        <v>3</v>
      </c>
      <c r="D397" s="5">
        <v>4</v>
      </c>
    </row>
    <row r="398" spans="1:4" x14ac:dyDescent="0.3">
      <c r="A398" t="str" cm="1">
        <f t="array" ref="A398">_xlfn.IFS(Append1[[#This Row],[weekday cnt]]=0,"Weekend",Append1[[#This Row],[weekday cnt]]=6,"Weekend",Append1[[#This Row],[weekday cnt]]&gt;0,"Weekday")</f>
        <v>Weekday</v>
      </c>
      <c r="B398" s="4">
        <v>0</v>
      </c>
      <c r="C398" s="4">
        <v>3</v>
      </c>
      <c r="D398" s="4">
        <v>3</v>
      </c>
    </row>
    <row r="399" spans="1:4" x14ac:dyDescent="0.3">
      <c r="A399" t="str" cm="1">
        <f t="array" ref="A399">_xlfn.IFS(Append1[[#This Row],[weekday cnt]]=0,"Weekend",Append1[[#This Row],[weekday cnt]]=6,"Weekend",Append1[[#This Row],[weekday cnt]]&gt;0,"Weekday")</f>
        <v>Weekday</v>
      </c>
      <c r="B399" s="5">
        <v>0</v>
      </c>
      <c r="C399" s="5">
        <v>22</v>
      </c>
      <c r="D399" s="5">
        <v>22</v>
      </c>
    </row>
    <row r="400" spans="1:4" x14ac:dyDescent="0.3">
      <c r="A400" t="str" cm="1">
        <f t="array" ref="A400">_xlfn.IFS(Append1[[#This Row],[weekday cnt]]=0,"Weekend",Append1[[#This Row],[weekday cnt]]=6,"Weekend",Append1[[#This Row],[weekday cnt]]&gt;0,"Weekday")</f>
        <v>Weekday</v>
      </c>
      <c r="B400" s="4">
        <v>2</v>
      </c>
      <c r="C400" s="4">
        <v>26</v>
      </c>
      <c r="D400" s="4">
        <v>28</v>
      </c>
    </row>
    <row r="401" spans="1:4" x14ac:dyDescent="0.3">
      <c r="A401" t="str" cm="1">
        <f t="array" ref="A401">_xlfn.IFS(Append1[[#This Row],[weekday cnt]]=0,"Weekend",Append1[[#This Row],[weekday cnt]]=6,"Weekend",Append1[[#This Row],[weekday cnt]]&gt;0,"Weekday")</f>
        <v>Weekday</v>
      </c>
      <c r="B401" s="5">
        <v>3</v>
      </c>
      <c r="C401" s="5">
        <v>32</v>
      </c>
      <c r="D401" s="5">
        <v>35</v>
      </c>
    </row>
    <row r="402" spans="1:4" x14ac:dyDescent="0.3">
      <c r="A402" t="str" cm="1">
        <f t="array" ref="A402">_xlfn.IFS(Append1[[#This Row],[weekday cnt]]=0,"Weekend",Append1[[#This Row],[weekday cnt]]=6,"Weekend",Append1[[#This Row],[weekday cnt]]&gt;0,"Weekday")</f>
        <v>Weekday</v>
      </c>
      <c r="B402" s="4">
        <v>0</v>
      </c>
      <c r="C402" s="4">
        <v>61</v>
      </c>
      <c r="D402" s="4">
        <v>61</v>
      </c>
    </row>
    <row r="403" spans="1:4" x14ac:dyDescent="0.3">
      <c r="A403" t="str" cm="1">
        <f t="array" ref="A403">_xlfn.IFS(Append1[[#This Row],[weekday cnt]]=0,"Weekend",Append1[[#This Row],[weekday cnt]]=6,"Weekend",Append1[[#This Row],[weekday cnt]]&gt;0,"Weekday")</f>
        <v>Weekday</v>
      </c>
      <c r="B403" s="5">
        <v>1</v>
      </c>
      <c r="C403" s="5">
        <v>124</v>
      </c>
      <c r="D403" s="5">
        <v>125</v>
      </c>
    </row>
    <row r="404" spans="1:4" x14ac:dyDescent="0.3">
      <c r="A404" t="str" cm="1">
        <f t="array" ref="A404">_xlfn.IFS(Append1[[#This Row],[weekday cnt]]=0,"Weekend",Append1[[#This Row],[weekday cnt]]=6,"Weekend",Append1[[#This Row],[weekday cnt]]&gt;0,"Weekday")</f>
        <v>Weekday</v>
      </c>
      <c r="B404" s="4">
        <v>1</v>
      </c>
      <c r="C404" s="4">
        <v>132</v>
      </c>
      <c r="D404" s="4">
        <v>133</v>
      </c>
    </row>
    <row r="405" spans="1:4" x14ac:dyDescent="0.3">
      <c r="A405" t="str" cm="1">
        <f t="array" ref="A405">_xlfn.IFS(Append1[[#This Row],[weekday cnt]]=0,"Weekend",Append1[[#This Row],[weekday cnt]]=6,"Weekend",Append1[[#This Row],[weekday cnt]]&gt;0,"Weekday")</f>
        <v>Weekday</v>
      </c>
      <c r="B405" s="5">
        <v>1</v>
      </c>
      <c r="C405" s="5">
        <v>98</v>
      </c>
      <c r="D405" s="5">
        <v>99</v>
      </c>
    </row>
    <row r="406" spans="1:4" x14ac:dyDescent="0.3">
      <c r="A406" t="str" cm="1">
        <f t="array" ref="A406">_xlfn.IFS(Append1[[#This Row],[weekday cnt]]=0,"Weekend",Append1[[#This Row],[weekday cnt]]=6,"Weekend",Append1[[#This Row],[weekday cnt]]&gt;0,"Weekday")</f>
        <v>Weekday</v>
      </c>
      <c r="B406" s="4">
        <v>0</v>
      </c>
      <c r="C406" s="4">
        <v>83</v>
      </c>
      <c r="D406" s="4">
        <v>83</v>
      </c>
    </row>
    <row r="407" spans="1:4" x14ac:dyDescent="0.3">
      <c r="A407" t="str" cm="1">
        <f t="array" ref="A407">_xlfn.IFS(Append1[[#This Row],[weekday cnt]]=0,"Weekend",Append1[[#This Row],[weekday cnt]]=6,"Weekend",Append1[[#This Row],[weekday cnt]]&gt;0,"Weekday")</f>
        <v>Weekday</v>
      </c>
      <c r="B407" s="5">
        <v>0</v>
      </c>
      <c r="C407" s="5">
        <v>41</v>
      </c>
      <c r="D407" s="5">
        <v>41</v>
      </c>
    </row>
    <row r="408" spans="1:4" x14ac:dyDescent="0.3">
      <c r="A408" t="str" cm="1">
        <f t="array" ref="A408">_xlfn.IFS(Append1[[#This Row],[weekday cnt]]=0,"Weekend",Append1[[#This Row],[weekday cnt]]=6,"Weekend",Append1[[#This Row],[weekday cnt]]&gt;0,"Weekday")</f>
        <v>Weekday</v>
      </c>
      <c r="B408" s="4">
        <v>0</v>
      </c>
      <c r="C408" s="4">
        <v>33</v>
      </c>
      <c r="D408" s="4">
        <v>33</v>
      </c>
    </row>
    <row r="409" spans="1:4" x14ac:dyDescent="0.3">
      <c r="A409" t="str" cm="1">
        <f t="array" ref="A409">_xlfn.IFS(Append1[[#This Row],[weekday cnt]]=0,"Weekend",Append1[[#This Row],[weekday cnt]]=6,"Weekend",Append1[[#This Row],[weekday cnt]]&gt;0,"Weekday")</f>
        <v>Weekday</v>
      </c>
      <c r="B409" s="5">
        <v>1</v>
      </c>
      <c r="C409" s="5">
        <v>19</v>
      </c>
      <c r="D409" s="5">
        <v>20</v>
      </c>
    </row>
    <row r="410" spans="1:4" x14ac:dyDescent="0.3">
      <c r="A410" t="str" cm="1">
        <f t="array" ref="A410">_xlfn.IFS(Append1[[#This Row],[weekday cnt]]=0,"Weekend",Append1[[#This Row],[weekday cnt]]=6,"Weekend",Append1[[#This Row],[weekday cnt]]&gt;0,"Weekday")</f>
        <v>Weekday</v>
      </c>
      <c r="B410" s="4">
        <v>0</v>
      </c>
      <c r="C410" s="4">
        <v>3</v>
      </c>
      <c r="D410" s="4">
        <v>3</v>
      </c>
    </row>
    <row r="411" spans="1:4" x14ac:dyDescent="0.3">
      <c r="A411" t="str" cm="1">
        <f t="array" ref="A411">_xlfn.IFS(Append1[[#This Row],[weekday cnt]]=0,"Weekend",Append1[[#This Row],[weekday cnt]]=6,"Weekend",Append1[[#This Row],[weekday cnt]]&gt;0,"Weekday")</f>
        <v>Weekday</v>
      </c>
      <c r="B411" s="5">
        <v>1</v>
      </c>
      <c r="C411" s="5">
        <v>6</v>
      </c>
      <c r="D411" s="5">
        <v>7</v>
      </c>
    </row>
    <row r="412" spans="1:4" x14ac:dyDescent="0.3">
      <c r="A412" t="str" cm="1">
        <f t="array" ref="A412">_xlfn.IFS(Append1[[#This Row],[weekday cnt]]=0,"Weekend",Append1[[#This Row],[weekday cnt]]=6,"Weekend",Append1[[#This Row],[weekday cnt]]&gt;0,"Weekday")</f>
        <v>Weekday</v>
      </c>
      <c r="B412" s="4">
        <v>0</v>
      </c>
      <c r="C412" s="4">
        <v>3</v>
      </c>
      <c r="D412" s="4">
        <v>3</v>
      </c>
    </row>
    <row r="413" spans="1:4" x14ac:dyDescent="0.3">
      <c r="A413" t="str" cm="1">
        <f t="array" ref="A413">_xlfn.IFS(Append1[[#This Row],[weekday cnt]]=0,"Weekend",Append1[[#This Row],[weekday cnt]]=6,"Weekend",Append1[[#This Row],[weekday cnt]]&gt;0,"Weekday")</f>
        <v>Weekday</v>
      </c>
      <c r="B413" s="5">
        <v>1</v>
      </c>
      <c r="C413" s="5">
        <v>1</v>
      </c>
      <c r="D413" s="5">
        <v>2</v>
      </c>
    </row>
    <row r="414" spans="1:4" x14ac:dyDescent="0.3">
      <c r="A414" t="str" cm="1">
        <f t="array" ref="A414">_xlfn.IFS(Append1[[#This Row],[weekday cnt]]=0,"Weekend",Append1[[#This Row],[weekday cnt]]=6,"Weekend",Append1[[#This Row],[weekday cnt]]&gt;0,"Weekday")</f>
        <v>Weekday</v>
      </c>
      <c r="B414" s="4">
        <v>0</v>
      </c>
      <c r="C414" s="4">
        <v>7</v>
      </c>
      <c r="D414" s="4">
        <v>7</v>
      </c>
    </row>
    <row r="415" spans="1:4" x14ac:dyDescent="0.3">
      <c r="A415" t="str" cm="1">
        <f t="array" ref="A415">_xlfn.IFS(Append1[[#This Row],[weekday cnt]]=0,"Weekend",Append1[[#This Row],[weekday cnt]]=6,"Weekend",Append1[[#This Row],[weekday cnt]]&gt;0,"Weekday")</f>
        <v>Weekday</v>
      </c>
      <c r="B415" s="5">
        <v>0</v>
      </c>
      <c r="C415" s="5">
        <v>32</v>
      </c>
      <c r="D415" s="5">
        <v>32</v>
      </c>
    </row>
    <row r="416" spans="1:4" x14ac:dyDescent="0.3">
      <c r="A416" t="str" cm="1">
        <f t="array" ref="A416">_xlfn.IFS(Append1[[#This Row],[weekday cnt]]=0,"Weekend",Append1[[#This Row],[weekday cnt]]=6,"Weekend",Append1[[#This Row],[weekday cnt]]&gt;0,"Weekday")</f>
        <v>Weekday</v>
      </c>
      <c r="B416" s="4">
        <v>1</v>
      </c>
      <c r="C416" s="4">
        <v>89</v>
      </c>
      <c r="D416" s="4">
        <v>90</v>
      </c>
    </row>
    <row r="417" spans="1:4" x14ac:dyDescent="0.3">
      <c r="A417" t="str" cm="1">
        <f t="array" ref="A417">_xlfn.IFS(Append1[[#This Row],[weekday cnt]]=0,"Weekend",Append1[[#This Row],[weekday cnt]]=6,"Weekend",Append1[[#This Row],[weekday cnt]]&gt;0,"Weekday")</f>
        <v>Weekday</v>
      </c>
      <c r="B417" s="5">
        <v>1</v>
      </c>
      <c r="C417" s="5">
        <v>196</v>
      </c>
      <c r="D417" s="5">
        <v>197</v>
      </c>
    </row>
    <row r="418" spans="1:4" x14ac:dyDescent="0.3">
      <c r="A418" t="str" cm="1">
        <f t="array" ref="A418">_xlfn.IFS(Append1[[#This Row],[weekday cnt]]=0,"Weekend",Append1[[#This Row],[weekday cnt]]=6,"Weekend",Append1[[#This Row],[weekday cnt]]&gt;0,"Weekday")</f>
        <v>Weekday</v>
      </c>
      <c r="B418" s="4">
        <v>2</v>
      </c>
      <c r="C418" s="4">
        <v>107</v>
      </c>
      <c r="D418" s="4">
        <v>109</v>
      </c>
    </row>
    <row r="419" spans="1:4" x14ac:dyDescent="0.3">
      <c r="A419" t="str" cm="1">
        <f t="array" ref="A419">_xlfn.IFS(Append1[[#This Row],[weekday cnt]]=0,"Weekend",Append1[[#This Row],[weekday cnt]]=6,"Weekend",Append1[[#This Row],[weekday cnt]]&gt;0,"Weekday")</f>
        <v>Weekday</v>
      </c>
      <c r="B419" s="5">
        <v>1</v>
      </c>
      <c r="C419" s="5">
        <v>46</v>
      </c>
      <c r="D419" s="5">
        <v>47</v>
      </c>
    </row>
    <row r="420" spans="1:4" x14ac:dyDescent="0.3">
      <c r="A420" t="str" cm="1">
        <f t="array" ref="A420">_xlfn.IFS(Append1[[#This Row],[weekday cnt]]=0,"Weekend",Append1[[#This Row],[weekday cnt]]=6,"Weekend",Append1[[#This Row],[weekday cnt]]&gt;0,"Weekday")</f>
        <v>Weekday</v>
      </c>
      <c r="B420" s="4">
        <v>5</v>
      </c>
      <c r="C420" s="4">
        <v>47</v>
      </c>
      <c r="D420" s="4">
        <v>52</v>
      </c>
    </row>
    <row r="421" spans="1:4" x14ac:dyDescent="0.3">
      <c r="A421" t="str" cm="1">
        <f t="array" ref="A421">_xlfn.IFS(Append1[[#This Row],[weekday cnt]]=0,"Weekend",Append1[[#This Row],[weekday cnt]]=6,"Weekend",Append1[[#This Row],[weekday cnt]]&gt;0,"Weekday")</f>
        <v>Weekday</v>
      </c>
      <c r="B421" s="5">
        <v>5</v>
      </c>
      <c r="C421" s="5">
        <v>65</v>
      </c>
      <c r="D421" s="5">
        <v>70</v>
      </c>
    </row>
    <row r="422" spans="1:4" x14ac:dyDescent="0.3">
      <c r="A422" t="str" cm="1">
        <f t="array" ref="A422">_xlfn.IFS(Append1[[#This Row],[weekday cnt]]=0,"Weekend",Append1[[#This Row],[weekday cnt]]=6,"Weekend",Append1[[#This Row],[weekday cnt]]&gt;0,"Weekday")</f>
        <v>Weekday</v>
      </c>
      <c r="B422" s="4">
        <v>11</v>
      </c>
      <c r="C422" s="4">
        <v>67</v>
      </c>
      <c r="D422" s="4">
        <v>78</v>
      </c>
    </row>
    <row r="423" spans="1:4" x14ac:dyDescent="0.3">
      <c r="A423" t="str" cm="1">
        <f t="array" ref="A423">_xlfn.IFS(Append1[[#This Row],[weekday cnt]]=0,"Weekend",Append1[[#This Row],[weekday cnt]]=6,"Weekend",Append1[[#This Row],[weekday cnt]]&gt;0,"Weekday")</f>
        <v>Weekday</v>
      </c>
      <c r="B423" s="5">
        <v>7</v>
      </c>
      <c r="C423" s="5">
        <v>68</v>
      </c>
      <c r="D423" s="5">
        <v>75</v>
      </c>
    </row>
    <row r="424" spans="1:4" x14ac:dyDescent="0.3">
      <c r="A424" t="str" cm="1">
        <f t="array" ref="A424">_xlfn.IFS(Append1[[#This Row],[weekday cnt]]=0,"Weekend",Append1[[#This Row],[weekday cnt]]=6,"Weekend",Append1[[#This Row],[weekday cnt]]&gt;0,"Weekday")</f>
        <v>Weekday</v>
      </c>
      <c r="B424" s="4">
        <v>4</v>
      </c>
      <c r="C424" s="4">
        <v>78</v>
      </c>
      <c r="D424" s="4">
        <v>82</v>
      </c>
    </row>
    <row r="425" spans="1:4" x14ac:dyDescent="0.3">
      <c r="A425" t="str" cm="1">
        <f t="array" ref="A425">_xlfn.IFS(Append1[[#This Row],[weekday cnt]]=0,"Weekend",Append1[[#This Row],[weekday cnt]]=6,"Weekend",Append1[[#This Row],[weekday cnt]]&gt;0,"Weekday")</f>
        <v>Weekday</v>
      </c>
      <c r="B425" s="5">
        <v>10</v>
      </c>
      <c r="C425" s="5">
        <v>94</v>
      </c>
      <c r="D425" s="5">
        <v>104</v>
      </c>
    </row>
    <row r="426" spans="1:4" x14ac:dyDescent="0.3">
      <c r="A426" t="str" cm="1">
        <f t="array" ref="A426">_xlfn.IFS(Append1[[#This Row],[weekday cnt]]=0,"Weekend",Append1[[#This Row],[weekday cnt]]=6,"Weekend",Append1[[#This Row],[weekday cnt]]&gt;0,"Weekday")</f>
        <v>Weekday</v>
      </c>
      <c r="B426" s="4">
        <v>7</v>
      </c>
      <c r="C426" s="4">
        <v>190</v>
      </c>
      <c r="D426" s="4">
        <v>197</v>
      </c>
    </row>
    <row r="427" spans="1:4" x14ac:dyDescent="0.3">
      <c r="A427" t="str" cm="1">
        <f t="array" ref="A427">_xlfn.IFS(Append1[[#This Row],[weekday cnt]]=0,"Weekend",Append1[[#This Row],[weekday cnt]]=6,"Weekend",Append1[[#This Row],[weekday cnt]]&gt;0,"Weekday")</f>
        <v>Weekday</v>
      </c>
      <c r="B427" s="5">
        <v>5</v>
      </c>
      <c r="C427" s="5">
        <v>156</v>
      </c>
      <c r="D427" s="5">
        <v>161</v>
      </c>
    </row>
    <row r="428" spans="1:4" x14ac:dyDescent="0.3">
      <c r="A428" t="str" cm="1">
        <f t="array" ref="A428">_xlfn.IFS(Append1[[#This Row],[weekday cnt]]=0,"Weekend",Append1[[#This Row],[weekday cnt]]=6,"Weekend",Append1[[#This Row],[weekday cnt]]&gt;0,"Weekday")</f>
        <v>Weekday</v>
      </c>
      <c r="B428" s="4">
        <v>4</v>
      </c>
      <c r="C428" s="4">
        <v>108</v>
      </c>
      <c r="D428" s="4">
        <v>112</v>
      </c>
    </row>
    <row r="429" spans="1:4" x14ac:dyDescent="0.3">
      <c r="A429" t="str" cm="1">
        <f t="array" ref="A429">_xlfn.IFS(Append1[[#This Row],[weekday cnt]]=0,"Weekend",Append1[[#This Row],[weekday cnt]]=6,"Weekend",Append1[[#This Row],[weekday cnt]]&gt;0,"Weekday")</f>
        <v>Weekday</v>
      </c>
      <c r="B429" s="5">
        <v>2</v>
      </c>
      <c r="C429" s="5">
        <v>74</v>
      </c>
      <c r="D429" s="5">
        <v>76</v>
      </c>
    </row>
    <row r="430" spans="1:4" x14ac:dyDescent="0.3">
      <c r="A430" t="str" cm="1">
        <f t="array" ref="A430">_xlfn.IFS(Append1[[#This Row],[weekday cnt]]=0,"Weekend",Append1[[#This Row],[weekday cnt]]=6,"Weekend",Append1[[#This Row],[weekday cnt]]&gt;0,"Weekday")</f>
        <v>Weekday</v>
      </c>
      <c r="B430" s="4">
        <v>4</v>
      </c>
      <c r="C430" s="4">
        <v>55</v>
      </c>
      <c r="D430" s="4">
        <v>59</v>
      </c>
    </row>
    <row r="431" spans="1:4" x14ac:dyDescent="0.3">
      <c r="A431" t="str" cm="1">
        <f t="array" ref="A431">_xlfn.IFS(Append1[[#This Row],[weekday cnt]]=0,"Weekend",Append1[[#This Row],[weekday cnt]]=6,"Weekend",Append1[[#This Row],[weekday cnt]]&gt;0,"Weekday")</f>
        <v>Weekday</v>
      </c>
      <c r="B431" s="5">
        <v>6</v>
      </c>
      <c r="C431" s="5">
        <v>53</v>
      </c>
      <c r="D431" s="5">
        <v>59</v>
      </c>
    </row>
    <row r="432" spans="1:4" x14ac:dyDescent="0.3">
      <c r="A432" t="str" cm="1">
        <f t="array" ref="A432">_xlfn.IFS(Append1[[#This Row],[weekday cnt]]=0,"Weekend",Append1[[#This Row],[weekday cnt]]=6,"Weekend",Append1[[#This Row],[weekday cnt]]&gt;0,"Weekday")</f>
        <v>Weekday</v>
      </c>
      <c r="B432" s="4">
        <v>1</v>
      </c>
      <c r="C432" s="4">
        <v>27</v>
      </c>
      <c r="D432" s="4">
        <v>28</v>
      </c>
    </row>
    <row r="433" spans="1:4" x14ac:dyDescent="0.3">
      <c r="A433" t="str" cm="1">
        <f t="array" ref="A433">_xlfn.IFS(Append1[[#This Row],[weekday cnt]]=0,"Weekend",Append1[[#This Row],[weekday cnt]]=6,"Weekend",Append1[[#This Row],[weekday cnt]]&gt;0,"Weekday")</f>
        <v>Weekday</v>
      </c>
      <c r="B433" s="5">
        <v>5</v>
      </c>
      <c r="C433" s="5">
        <v>8</v>
      </c>
      <c r="D433" s="5">
        <v>13</v>
      </c>
    </row>
    <row r="434" spans="1:4" x14ac:dyDescent="0.3">
      <c r="A434" t="str" cm="1">
        <f t="array" ref="A434">_xlfn.IFS(Append1[[#This Row],[weekday cnt]]=0,"Weekend",Append1[[#This Row],[weekday cnt]]=6,"Weekend",Append1[[#This Row],[weekday cnt]]&gt;0,"Weekday")</f>
        <v>Weekday</v>
      </c>
      <c r="B434" s="4">
        <v>2</v>
      </c>
      <c r="C434" s="4">
        <v>3</v>
      </c>
      <c r="D434" s="4">
        <v>5</v>
      </c>
    </row>
    <row r="435" spans="1:4" x14ac:dyDescent="0.3">
      <c r="A435" t="str" cm="1">
        <f t="array" ref="A435">_xlfn.IFS(Append1[[#This Row],[weekday cnt]]=0,"Weekend",Append1[[#This Row],[weekday cnt]]=6,"Weekend",Append1[[#This Row],[weekday cnt]]&gt;0,"Weekday")</f>
        <v>Weekday</v>
      </c>
      <c r="B435" s="5">
        <v>0</v>
      </c>
      <c r="C435" s="5">
        <v>2</v>
      </c>
      <c r="D435" s="5">
        <v>2</v>
      </c>
    </row>
    <row r="436" spans="1:4" x14ac:dyDescent="0.3">
      <c r="A436" t="str" cm="1">
        <f t="array" ref="A436">_xlfn.IFS(Append1[[#This Row],[weekday cnt]]=0,"Weekend",Append1[[#This Row],[weekday cnt]]=6,"Weekend",Append1[[#This Row],[weekday cnt]]&gt;0,"Weekday")</f>
        <v>Weekday</v>
      </c>
      <c r="B436" s="4">
        <v>0</v>
      </c>
      <c r="C436" s="4">
        <v>1</v>
      </c>
      <c r="D436" s="4">
        <v>1</v>
      </c>
    </row>
    <row r="437" spans="1:4" x14ac:dyDescent="0.3">
      <c r="A437" t="str" cm="1">
        <f t="array" ref="A437">_xlfn.IFS(Append1[[#This Row],[weekday cnt]]=0,"Weekend",Append1[[#This Row],[weekday cnt]]=6,"Weekend",Append1[[#This Row],[weekday cnt]]&gt;0,"Weekday")</f>
        <v>Weekday</v>
      </c>
      <c r="B437" s="5">
        <v>0</v>
      </c>
      <c r="C437" s="5">
        <v>1</v>
      </c>
      <c r="D437" s="5">
        <v>1</v>
      </c>
    </row>
    <row r="438" spans="1:4" x14ac:dyDescent="0.3">
      <c r="A438" t="str" cm="1">
        <f t="array" ref="A438">_xlfn.IFS(Append1[[#This Row],[weekday cnt]]=0,"Weekend",Append1[[#This Row],[weekday cnt]]=6,"Weekend",Append1[[#This Row],[weekday cnt]]&gt;0,"Weekday")</f>
        <v>Weekday</v>
      </c>
      <c r="B438" s="4">
        <v>0</v>
      </c>
      <c r="C438" s="4">
        <v>6</v>
      </c>
      <c r="D438" s="4">
        <v>6</v>
      </c>
    </row>
    <row r="439" spans="1:4" x14ac:dyDescent="0.3">
      <c r="A439" t="str" cm="1">
        <f t="array" ref="A439">_xlfn.IFS(Append1[[#This Row],[weekday cnt]]=0,"Weekend",Append1[[#This Row],[weekday cnt]]=6,"Weekend",Append1[[#This Row],[weekday cnt]]&gt;0,"Weekday")</f>
        <v>Weekday</v>
      </c>
      <c r="B439" s="5">
        <v>0</v>
      </c>
      <c r="C439" s="5">
        <v>35</v>
      </c>
      <c r="D439" s="5">
        <v>35</v>
      </c>
    </row>
    <row r="440" spans="1:4" x14ac:dyDescent="0.3">
      <c r="A440" t="str" cm="1">
        <f t="array" ref="A440">_xlfn.IFS(Append1[[#This Row],[weekday cnt]]=0,"Weekend",Append1[[#This Row],[weekday cnt]]=6,"Weekend",Append1[[#This Row],[weekday cnt]]&gt;0,"Weekday")</f>
        <v>Weekday</v>
      </c>
      <c r="B440" s="4">
        <v>1</v>
      </c>
      <c r="C440" s="4">
        <v>100</v>
      </c>
      <c r="D440" s="4">
        <v>101</v>
      </c>
    </row>
    <row r="441" spans="1:4" x14ac:dyDescent="0.3">
      <c r="A441" t="str" cm="1">
        <f t="array" ref="A441">_xlfn.IFS(Append1[[#This Row],[weekday cnt]]=0,"Weekend",Append1[[#This Row],[weekday cnt]]=6,"Weekend",Append1[[#This Row],[weekday cnt]]&gt;0,"Weekday")</f>
        <v>Weekday</v>
      </c>
      <c r="B441" s="5">
        <v>2</v>
      </c>
      <c r="C441" s="5">
        <v>247</v>
      </c>
      <c r="D441" s="5">
        <v>249</v>
      </c>
    </row>
    <row r="442" spans="1:4" x14ac:dyDescent="0.3">
      <c r="A442" t="str" cm="1">
        <f t="array" ref="A442">_xlfn.IFS(Append1[[#This Row],[weekday cnt]]=0,"Weekend",Append1[[#This Row],[weekday cnt]]=6,"Weekend",Append1[[#This Row],[weekday cnt]]&gt;0,"Weekday")</f>
        <v>Weekday</v>
      </c>
      <c r="B442" s="4">
        <v>3</v>
      </c>
      <c r="C442" s="4">
        <v>140</v>
      </c>
      <c r="D442" s="4">
        <v>143</v>
      </c>
    </row>
    <row r="443" spans="1:4" x14ac:dyDescent="0.3">
      <c r="A443" t="str" cm="1">
        <f t="array" ref="A443">_xlfn.IFS(Append1[[#This Row],[weekday cnt]]=0,"Weekend",Append1[[#This Row],[weekday cnt]]=6,"Weekend",Append1[[#This Row],[weekday cnt]]&gt;0,"Weekday")</f>
        <v>Weekday</v>
      </c>
      <c r="B443" s="5">
        <v>1</v>
      </c>
      <c r="C443" s="5">
        <v>56</v>
      </c>
      <c r="D443" s="5">
        <v>57</v>
      </c>
    </row>
    <row r="444" spans="1:4" x14ac:dyDescent="0.3">
      <c r="A444" t="str" cm="1">
        <f t="array" ref="A444">_xlfn.IFS(Append1[[#This Row],[weekday cnt]]=0,"Weekend",Append1[[#This Row],[weekday cnt]]=6,"Weekend",Append1[[#This Row],[weekday cnt]]&gt;0,"Weekday")</f>
        <v>Weekday</v>
      </c>
      <c r="B444" s="4">
        <v>5</v>
      </c>
      <c r="C444" s="4">
        <v>63</v>
      </c>
      <c r="D444" s="4">
        <v>68</v>
      </c>
    </row>
    <row r="445" spans="1:4" x14ac:dyDescent="0.3">
      <c r="A445" t="str" cm="1">
        <f t="array" ref="A445">_xlfn.IFS(Append1[[#This Row],[weekday cnt]]=0,"Weekend",Append1[[#This Row],[weekday cnt]]=6,"Weekend",Append1[[#This Row],[weekday cnt]]&gt;0,"Weekday")</f>
        <v>Weekday</v>
      </c>
      <c r="B445" s="5">
        <v>7</v>
      </c>
      <c r="C445" s="5">
        <v>77</v>
      </c>
      <c r="D445" s="5">
        <v>84</v>
      </c>
    </row>
    <row r="446" spans="1:4" x14ac:dyDescent="0.3">
      <c r="A446" t="str" cm="1">
        <f t="array" ref="A446">_xlfn.IFS(Append1[[#This Row],[weekday cnt]]=0,"Weekend",Append1[[#This Row],[weekday cnt]]=6,"Weekend",Append1[[#This Row],[weekday cnt]]&gt;0,"Weekday")</f>
        <v>Weekday</v>
      </c>
      <c r="B446" s="4">
        <v>12</v>
      </c>
      <c r="C446" s="4">
        <v>86</v>
      </c>
      <c r="D446" s="4">
        <v>98</v>
      </c>
    </row>
    <row r="447" spans="1:4" x14ac:dyDescent="0.3">
      <c r="A447" t="str" cm="1">
        <f t="array" ref="A447">_xlfn.IFS(Append1[[#This Row],[weekday cnt]]=0,"Weekend",Append1[[#This Row],[weekday cnt]]=6,"Weekend",Append1[[#This Row],[weekday cnt]]&gt;0,"Weekday")</f>
        <v>Weekday</v>
      </c>
      <c r="B447" s="5">
        <v>6</v>
      </c>
      <c r="C447" s="5">
        <v>75</v>
      </c>
      <c r="D447" s="5">
        <v>81</v>
      </c>
    </row>
    <row r="448" spans="1:4" x14ac:dyDescent="0.3">
      <c r="A448" t="str" cm="1">
        <f t="array" ref="A448">_xlfn.IFS(Append1[[#This Row],[weekday cnt]]=0,"Weekend",Append1[[#This Row],[weekday cnt]]=6,"Weekend",Append1[[#This Row],[weekday cnt]]&gt;0,"Weekday")</f>
        <v>Weekday</v>
      </c>
      <c r="B448" s="4">
        <v>8</v>
      </c>
      <c r="C448" s="4">
        <v>62</v>
      </c>
      <c r="D448" s="4">
        <v>70</v>
      </c>
    </row>
    <row r="449" spans="1:4" x14ac:dyDescent="0.3">
      <c r="A449" t="str" cm="1">
        <f t="array" ref="A449">_xlfn.IFS(Append1[[#This Row],[weekday cnt]]=0,"Weekend",Append1[[#This Row],[weekday cnt]]=6,"Weekend",Append1[[#This Row],[weekday cnt]]&gt;0,"Weekday")</f>
        <v>Weekday</v>
      </c>
      <c r="B449" s="5">
        <v>8</v>
      </c>
      <c r="C449" s="5">
        <v>83</v>
      </c>
      <c r="D449" s="5">
        <v>91</v>
      </c>
    </row>
    <row r="450" spans="1:4" x14ac:dyDescent="0.3">
      <c r="A450" t="str" cm="1">
        <f t="array" ref="A450">_xlfn.IFS(Append1[[#This Row],[weekday cnt]]=0,"Weekend",Append1[[#This Row],[weekday cnt]]=6,"Weekend",Append1[[#This Row],[weekday cnt]]&gt;0,"Weekday")</f>
        <v>Weekday</v>
      </c>
      <c r="B450" s="4">
        <v>8</v>
      </c>
      <c r="C450" s="4">
        <v>207</v>
      </c>
      <c r="D450" s="4">
        <v>215</v>
      </c>
    </row>
    <row r="451" spans="1:4" x14ac:dyDescent="0.3">
      <c r="A451" t="str" cm="1">
        <f t="array" ref="A451">_xlfn.IFS(Append1[[#This Row],[weekday cnt]]=0,"Weekend",Append1[[#This Row],[weekday cnt]]=6,"Weekend",Append1[[#This Row],[weekday cnt]]&gt;0,"Weekday")</f>
        <v>Weekday</v>
      </c>
      <c r="B451" s="5">
        <v>1</v>
      </c>
      <c r="C451" s="5">
        <v>184</v>
      </c>
      <c r="D451" s="5">
        <v>185</v>
      </c>
    </row>
    <row r="452" spans="1:4" x14ac:dyDescent="0.3">
      <c r="A452" t="str" cm="1">
        <f t="array" ref="A452">_xlfn.IFS(Append1[[#This Row],[weekday cnt]]=0,"Weekend",Append1[[#This Row],[weekday cnt]]=6,"Weekend",Append1[[#This Row],[weekday cnt]]&gt;0,"Weekday")</f>
        <v>Weekday</v>
      </c>
      <c r="B452" s="4">
        <v>6</v>
      </c>
      <c r="C452" s="4">
        <v>146</v>
      </c>
      <c r="D452" s="4">
        <v>152</v>
      </c>
    </row>
    <row r="453" spans="1:4" x14ac:dyDescent="0.3">
      <c r="A453" t="str" cm="1">
        <f t="array" ref="A453">_xlfn.IFS(Append1[[#This Row],[weekday cnt]]=0,"Weekend",Append1[[#This Row],[weekday cnt]]=6,"Weekend",Append1[[#This Row],[weekday cnt]]&gt;0,"Weekday")</f>
        <v>Weekday</v>
      </c>
      <c r="B453" s="5">
        <v>2</v>
      </c>
      <c r="C453" s="5">
        <v>124</v>
      </c>
      <c r="D453" s="5">
        <v>126</v>
      </c>
    </row>
    <row r="454" spans="1:4" x14ac:dyDescent="0.3">
      <c r="A454" t="str" cm="1">
        <f t="array" ref="A454">_xlfn.IFS(Append1[[#This Row],[weekday cnt]]=0,"Weekend",Append1[[#This Row],[weekday cnt]]=6,"Weekend",Append1[[#This Row],[weekday cnt]]&gt;0,"Weekday")</f>
        <v>Weekday</v>
      </c>
      <c r="B454" s="4">
        <v>3</v>
      </c>
      <c r="C454" s="4">
        <v>54</v>
      </c>
      <c r="D454" s="4">
        <v>57</v>
      </c>
    </row>
    <row r="455" spans="1:4" x14ac:dyDescent="0.3">
      <c r="A455" t="str" cm="1">
        <f t="array" ref="A455">_xlfn.IFS(Append1[[#This Row],[weekday cnt]]=0,"Weekend",Append1[[#This Row],[weekday cnt]]=6,"Weekend",Append1[[#This Row],[weekday cnt]]&gt;0,"Weekday")</f>
        <v>Weekday</v>
      </c>
      <c r="B455" s="5">
        <v>0</v>
      </c>
      <c r="C455" s="5">
        <v>56</v>
      </c>
      <c r="D455" s="5">
        <v>56</v>
      </c>
    </row>
    <row r="456" spans="1:4" x14ac:dyDescent="0.3">
      <c r="A456" t="str" cm="1">
        <f t="array" ref="A456">_xlfn.IFS(Append1[[#This Row],[weekday cnt]]=0,"Weekend",Append1[[#This Row],[weekday cnt]]=6,"Weekend",Append1[[#This Row],[weekday cnt]]&gt;0,"Weekday")</f>
        <v>Weekday</v>
      </c>
      <c r="B456" s="4">
        <v>3</v>
      </c>
      <c r="C456" s="4">
        <v>28</v>
      </c>
      <c r="D456" s="4">
        <v>31</v>
      </c>
    </row>
    <row r="457" spans="1:4" x14ac:dyDescent="0.3">
      <c r="A457" t="str" cm="1">
        <f t="array" ref="A457">_xlfn.IFS(Append1[[#This Row],[weekday cnt]]=0,"Weekend",Append1[[#This Row],[weekday cnt]]=6,"Weekend",Append1[[#This Row],[weekday cnt]]&gt;0,"Weekday")</f>
        <v>Weekday</v>
      </c>
      <c r="B457" s="5">
        <v>1</v>
      </c>
      <c r="C457" s="5">
        <v>20</v>
      </c>
      <c r="D457" s="5">
        <v>21</v>
      </c>
    </row>
    <row r="458" spans="1:4" x14ac:dyDescent="0.3">
      <c r="A458" t="str" cm="1">
        <f t="array" ref="A458">_xlfn.IFS(Append1[[#This Row],[weekday cnt]]=0,"Weekend",Append1[[#This Row],[weekday cnt]]=6,"Weekend",Append1[[#This Row],[weekday cnt]]&gt;0,"Weekday")</f>
        <v>Weekday</v>
      </c>
      <c r="B458" s="4">
        <v>0</v>
      </c>
      <c r="C458" s="4">
        <v>6</v>
      </c>
      <c r="D458" s="4">
        <v>6</v>
      </c>
    </row>
    <row r="459" spans="1:4" x14ac:dyDescent="0.3">
      <c r="A459" t="str" cm="1">
        <f t="array" ref="A459">_xlfn.IFS(Append1[[#This Row],[weekday cnt]]=0,"Weekend",Append1[[#This Row],[weekday cnt]]=6,"Weekend",Append1[[#This Row],[weekday cnt]]&gt;0,"Weekday")</f>
        <v>Weekday</v>
      </c>
      <c r="B459" s="5">
        <v>0</v>
      </c>
      <c r="C459" s="5">
        <v>2</v>
      </c>
      <c r="D459" s="5">
        <v>2</v>
      </c>
    </row>
    <row r="460" spans="1:4" x14ac:dyDescent="0.3">
      <c r="A460" t="str" cm="1">
        <f t="array" ref="A460">_xlfn.IFS(Append1[[#This Row],[weekday cnt]]=0,"Weekend",Append1[[#This Row],[weekday cnt]]=6,"Weekend",Append1[[#This Row],[weekday cnt]]&gt;0,"Weekday")</f>
        <v>Weekday</v>
      </c>
      <c r="B460" s="4">
        <v>0</v>
      </c>
      <c r="C460" s="4">
        <v>1</v>
      </c>
      <c r="D460" s="4">
        <v>1</v>
      </c>
    </row>
    <row r="461" spans="1:4" x14ac:dyDescent="0.3">
      <c r="A461" t="str" cm="1">
        <f t="array" ref="A461">_xlfn.IFS(Append1[[#This Row],[weekday cnt]]=0,"Weekend",Append1[[#This Row],[weekday cnt]]=6,"Weekend",Append1[[#This Row],[weekday cnt]]&gt;0,"Weekday")</f>
        <v>Weekday</v>
      </c>
      <c r="B461" s="5">
        <v>0</v>
      </c>
      <c r="C461" s="5">
        <v>1</v>
      </c>
      <c r="D461" s="5">
        <v>1</v>
      </c>
    </row>
    <row r="462" spans="1:4" x14ac:dyDescent="0.3">
      <c r="A462" t="str" cm="1">
        <f t="array" ref="A462">_xlfn.IFS(Append1[[#This Row],[weekday cnt]]=0,"Weekend",Append1[[#This Row],[weekday cnt]]=6,"Weekend",Append1[[#This Row],[weekday cnt]]&gt;0,"Weekday")</f>
        <v>Weekday</v>
      </c>
      <c r="B462" s="4">
        <v>1</v>
      </c>
      <c r="C462" s="4">
        <v>4</v>
      </c>
      <c r="D462" s="4">
        <v>5</v>
      </c>
    </row>
    <row r="463" spans="1:4" x14ac:dyDescent="0.3">
      <c r="A463" t="str" cm="1">
        <f t="array" ref="A463">_xlfn.IFS(Append1[[#This Row],[weekday cnt]]=0,"Weekend",Append1[[#This Row],[weekday cnt]]=6,"Weekend",Append1[[#This Row],[weekday cnt]]&gt;0,"Weekday")</f>
        <v>Weekday</v>
      </c>
      <c r="B463" s="5">
        <v>0</v>
      </c>
      <c r="C463" s="5">
        <v>27</v>
      </c>
      <c r="D463" s="5">
        <v>27</v>
      </c>
    </row>
    <row r="464" spans="1:4" x14ac:dyDescent="0.3">
      <c r="A464" t="str" cm="1">
        <f t="array" ref="A464">_xlfn.IFS(Append1[[#This Row],[weekday cnt]]=0,"Weekend",Append1[[#This Row],[weekday cnt]]=6,"Weekend",Append1[[#This Row],[weekday cnt]]&gt;0,"Weekday")</f>
        <v>Weekday</v>
      </c>
      <c r="B464" s="4">
        <v>2</v>
      </c>
      <c r="C464" s="4">
        <v>66</v>
      </c>
      <c r="D464" s="4">
        <v>68</v>
      </c>
    </row>
    <row r="465" spans="1:4" x14ac:dyDescent="0.3">
      <c r="A465" t="str" cm="1">
        <f t="array" ref="A465">_xlfn.IFS(Append1[[#This Row],[weekday cnt]]=0,"Weekend",Append1[[#This Row],[weekday cnt]]=6,"Weekend",Append1[[#This Row],[weekday cnt]]&gt;0,"Weekday")</f>
        <v>Weekday</v>
      </c>
      <c r="B465" s="5">
        <v>7</v>
      </c>
      <c r="C465" s="5">
        <v>210</v>
      </c>
      <c r="D465" s="5">
        <v>217</v>
      </c>
    </row>
    <row r="466" spans="1:4" x14ac:dyDescent="0.3">
      <c r="A466" t="str" cm="1">
        <f t="array" ref="A466">_xlfn.IFS(Append1[[#This Row],[weekday cnt]]=0,"Weekend",Append1[[#This Row],[weekday cnt]]=6,"Weekend",Append1[[#This Row],[weekday cnt]]&gt;0,"Weekday")</f>
        <v>Weekday</v>
      </c>
      <c r="B466" s="4">
        <v>7</v>
      </c>
      <c r="C466" s="4">
        <v>159</v>
      </c>
      <c r="D466" s="4">
        <v>166</v>
      </c>
    </row>
    <row r="467" spans="1:4" x14ac:dyDescent="0.3">
      <c r="A467" t="str" cm="1">
        <f t="array" ref="A467">_xlfn.IFS(Append1[[#This Row],[weekday cnt]]=0,"Weekend",Append1[[#This Row],[weekday cnt]]=6,"Weekend",Append1[[#This Row],[weekday cnt]]&gt;0,"Weekday")</f>
        <v>Weekday</v>
      </c>
      <c r="B467" s="5">
        <v>6</v>
      </c>
      <c r="C467" s="5">
        <v>57</v>
      </c>
      <c r="D467" s="5">
        <v>63</v>
      </c>
    </row>
    <row r="468" spans="1:4" x14ac:dyDescent="0.3">
      <c r="A468" t="str" cm="1">
        <f t="array" ref="A468">_xlfn.IFS(Append1[[#This Row],[weekday cnt]]=0,"Weekend",Append1[[#This Row],[weekday cnt]]=6,"Weekend",Append1[[#This Row],[weekday cnt]]&gt;0,"Weekday")</f>
        <v>Weekday</v>
      </c>
      <c r="B468" s="4">
        <v>6</v>
      </c>
      <c r="C468" s="4">
        <v>53</v>
      </c>
      <c r="D468" s="4">
        <v>59</v>
      </c>
    </row>
    <row r="469" spans="1:4" x14ac:dyDescent="0.3">
      <c r="A469" t="str" cm="1">
        <f t="array" ref="A469">_xlfn.IFS(Append1[[#This Row],[weekday cnt]]=0,"Weekend",Append1[[#This Row],[weekday cnt]]=6,"Weekend",Append1[[#This Row],[weekday cnt]]&gt;0,"Weekday")</f>
        <v>Weekday</v>
      </c>
      <c r="B469" s="5">
        <v>11</v>
      </c>
      <c r="C469" s="5">
        <v>67</v>
      </c>
      <c r="D469" s="5">
        <v>78</v>
      </c>
    </row>
    <row r="470" spans="1:4" x14ac:dyDescent="0.3">
      <c r="A470" t="str" cm="1">
        <f t="array" ref="A470">_xlfn.IFS(Append1[[#This Row],[weekday cnt]]=0,"Weekend",Append1[[#This Row],[weekday cnt]]=6,"Weekend",Append1[[#This Row],[weekday cnt]]&gt;0,"Weekday")</f>
        <v>Weekday</v>
      </c>
      <c r="B470" s="4">
        <v>8</v>
      </c>
      <c r="C470" s="4">
        <v>65</v>
      </c>
      <c r="D470" s="4">
        <v>73</v>
      </c>
    </row>
    <row r="471" spans="1:4" x14ac:dyDescent="0.3">
      <c r="A471" t="str" cm="1">
        <f t="array" ref="A471">_xlfn.IFS(Append1[[#This Row],[weekday cnt]]=0,"Weekend",Append1[[#This Row],[weekday cnt]]=6,"Weekend",Append1[[#This Row],[weekday cnt]]&gt;0,"Weekday")</f>
        <v>Weekday</v>
      </c>
      <c r="B471" s="5">
        <v>6</v>
      </c>
      <c r="C471" s="5">
        <v>56</v>
      </c>
      <c r="D471" s="5">
        <v>62</v>
      </c>
    </row>
    <row r="472" spans="1:4" x14ac:dyDescent="0.3">
      <c r="A472" t="str" cm="1">
        <f t="array" ref="A472">_xlfn.IFS(Append1[[#This Row],[weekday cnt]]=0,"Weekend",Append1[[#This Row],[weekday cnt]]=6,"Weekend",Append1[[#This Row],[weekday cnt]]&gt;0,"Weekday")</f>
        <v>Weekday</v>
      </c>
      <c r="B472" s="4">
        <v>4</v>
      </c>
      <c r="C472" s="4">
        <v>61</v>
      </c>
      <c r="D472" s="4">
        <v>65</v>
      </c>
    </row>
    <row r="473" spans="1:4" x14ac:dyDescent="0.3">
      <c r="A473" t="str" cm="1">
        <f t="array" ref="A473">_xlfn.IFS(Append1[[#This Row],[weekday cnt]]=0,"Weekend",Append1[[#This Row],[weekday cnt]]=6,"Weekend",Append1[[#This Row],[weekday cnt]]&gt;0,"Weekday")</f>
        <v>Weekday</v>
      </c>
      <c r="B473" s="5">
        <v>0</v>
      </c>
      <c r="C473" s="5">
        <v>97</v>
      </c>
      <c r="D473" s="5">
        <v>97</v>
      </c>
    </row>
    <row r="474" spans="1:4" x14ac:dyDescent="0.3">
      <c r="A474" t="str" cm="1">
        <f t="array" ref="A474">_xlfn.IFS(Append1[[#This Row],[weekday cnt]]=0,"Weekend",Append1[[#This Row],[weekday cnt]]=6,"Weekend",Append1[[#This Row],[weekday cnt]]&gt;0,"Weekday")</f>
        <v>Weekday</v>
      </c>
      <c r="B474" s="4">
        <v>10</v>
      </c>
      <c r="C474" s="4">
        <v>151</v>
      </c>
      <c r="D474" s="4">
        <v>161</v>
      </c>
    </row>
    <row r="475" spans="1:4" x14ac:dyDescent="0.3">
      <c r="A475" t="str" cm="1">
        <f t="array" ref="A475">_xlfn.IFS(Append1[[#This Row],[weekday cnt]]=0,"Weekend",Append1[[#This Row],[weekday cnt]]=6,"Weekend",Append1[[#This Row],[weekday cnt]]&gt;0,"Weekday")</f>
        <v>Weekday</v>
      </c>
      <c r="B475" s="5">
        <v>1</v>
      </c>
      <c r="C475" s="5">
        <v>119</v>
      </c>
      <c r="D475" s="5">
        <v>120</v>
      </c>
    </row>
    <row r="476" spans="1:4" x14ac:dyDescent="0.3">
      <c r="A476" t="str" cm="1">
        <f t="array" ref="A476">_xlfn.IFS(Append1[[#This Row],[weekday cnt]]=0,"Weekend",Append1[[#This Row],[weekday cnt]]=6,"Weekend",Append1[[#This Row],[weekday cnt]]&gt;0,"Weekday")</f>
        <v>Weekday</v>
      </c>
      <c r="B476" s="4">
        <v>3</v>
      </c>
      <c r="C476" s="4">
        <v>93</v>
      </c>
      <c r="D476" s="4">
        <v>96</v>
      </c>
    </row>
    <row r="477" spans="1:4" x14ac:dyDescent="0.3">
      <c r="A477" t="str" cm="1">
        <f t="array" ref="A477">_xlfn.IFS(Append1[[#This Row],[weekday cnt]]=0,"Weekend",Append1[[#This Row],[weekday cnt]]=6,"Weekend",Append1[[#This Row],[weekday cnt]]&gt;0,"Weekday")</f>
        <v>Weekday</v>
      </c>
      <c r="B477" s="5">
        <v>1</v>
      </c>
      <c r="C477" s="5">
        <v>52</v>
      </c>
      <c r="D477" s="5">
        <v>53</v>
      </c>
    </row>
    <row r="478" spans="1:4" x14ac:dyDescent="0.3">
      <c r="A478" t="str" cm="1">
        <f t="array" ref="A478">_xlfn.IFS(Append1[[#This Row],[weekday cnt]]=0,"Weekend",Append1[[#This Row],[weekday cnt]]=6,"Weekend",Append1[[#This Row],[weekday cnt]]&gt;0,"Weekday")</f>
        <v>Weekday</v>
      </c>
      <c r="B478" s="4">
        <v>0</v>
      </c>
      <c r="C478" s="4">
        <v>41</v>
      </c>
      <c r="D478" s="4">
        <v>41</v>
      </c>
    </row>
    <row r="479" spans="1:4" x14ac:dyDescent="0.3">
      <c r="A479" t="str" cm="1">
        <f t="array" ref="A479">_xlfn.IFS(Append1[[#This Row],[weekday cnt]]=0,"Weekend",Append1[[#This Row],[weekday cnt]]=6,"Weekend",Append1[[#This Row],[weekday cnt]]&gt;0,"Weekday")</f>
        <v>Weekday</v>
      </c>
      <c r="B479" s="5">
        <v>1</v>
      </c>
      <c r="C479" s="5">
        <v>33</v>
      </c>
      <c r="D479" s="5">
        <v>34</v>
      </c>
    </row>
    <row r="480" spans="1:4" x14ac:dyDescent="0.3">
      <c r="A480" t="str" cm="1">
        <f t="array" ref="A480">_xlfn.IFS(Append1[[#This Row],[weekday cnt]]=0,"Weekend",Append1[[#This Row],[weekday cnt]]=6,"Weekend",Append1[[#This Row],[weekday cnt]]&gt;0,"Weekday")</f>
        <v>Weekday</v>
      </c>
      <c r="B480" s="4">
        <v>0</v>
      </c>
      <c r="C480" s="4">
        <v>27</v>
      </c>
      <c r="D480" s="4">
        <v>27</v>
      </c>
    </row>
    <row r="481" spans="1:4" x14ac:dyDescent="0.3">
      <c r="A481" t="str" cm="1">
        <f t="array" ref="A481">_xlfn.IFS(Append1[[#This Row],[weekday cnt]]=0,"Weekend",Append1[[#This Row],[weekday cnt]]=6,"Weekend",Append1[[#This Row],[weekday cnt]]&gt;0,"Weekday")</f>
        <v>Weekend</v>
      </c>
      <c r="B481" s="5">
        <v>0</v>
      </c>
      <c r="C481" s="5">
        <v>13</v>
      </c>
      <c r="D481" s="5">
        <v>13</v>
      </c>
    </row>
    <row r="482" spans="1:4" x14ac:dyDescent="0.3">
      <c r="A482" t="str" cm="1">
        <f t="array" ref="A482">_xlfn.IFS(Append1[[#This Row],[weekday cnt]]=0,"Weekend",Append1[[#This Row],[weekday cnt]]=6,"Weekend",Append1[[#This Row],[weekday cnt]]&gt;0,"Weekday")</f>
        <v>Weekend</v>
      </c>
      <c r="B482" s="4">
        <v>3</v>
      </c>
      <c r="C482" s="4">
        <v>9</v>
      </c>
      <c r="D482" s="4">
        <v>12</v>
      </c>
    </row>
    <row r="483" spans="1:4" x14ac:dyDescent="0.3">
      <c r="A483" t="str" cm="1">
        <f t="array" ref="A483">_xlfn.IFS(Append1[[#This Row],[weekday cnt]]=0,"Weekend",Append1[[#This Row],[weekday cnt]]=6,"Weekend",Append1[[#This Row],[weekday cnt]]&gt;0,"Weekday")</f>
        <v>Weekend</v>
      </c>
      <c r="B483" s="5">
        <v>0</v>
      </c>
      <c r="C483" s="5">
        <v>11</v>
      </c>
      <c r="D483" s="5">
        <v>11</v>
      </c>
    </row>
    <row r="484" spans="1:4" x14ac:dyDescent="0.3">
      <c r="A484" t="str" cm="1">
        <f t="array" ref="A484">_xlfn.IFS(Append1[[#This Row],[weekday cnt]]=0,"Weekend",Append1[[#This Row],[weekday cnt]]=6,"Weekend",Append1[[#This Row],[weekday cnt]]&gt;0,"Weekday")</f>
        <v>Weekend</v>
      </c>
      <c r="B484" s="4">
        <v>1</v>
      </c>
      <c r="C484" s="4">
        <v>6</v>
      </c>
      <c r="D484" s="4">
        <v>7</v>
      </c>
    </row>
    <row r="485" spans="1:4" x14ac:dyDescent="0.3">
      <c r="A485" t="str" cm="1">
        <f t="array" ref="A485">_xlfn.IFS(Append1[[#This Row],[weekday cnt]]=0,"Weekend",Append1[[#This Row],[weekday cnt]]=6,"Weekend",Append1[[#This Row],[weekday cnt]]&gt;0,"Weekday")</f>
        <v>Weekend</v>
      </c>
      <c r="B485" s="5">
        <v>0</v>
      </c>
      <c r="C485" s="5">
        <v>3</v>
      </c>
      <c r="D485" s="5">
        <v>3</v>
      </c>
    </row>
    <row r="486" spans="1:4" x14ac:dyDescent="0.3">
      <c r="A486" t="str" cm="1">
        <f t="array" ref="A486">_xlfn.IFS(Append1[[#This Row],[weekday cnt]]=0,"Weekend",Append1[[#This Row],[weekday cnt]]=6,"Weekend",Append1[[#This Row],[weekday cnt]]&gt;0,"Weekday")</f>
        <v>Weekend</v>
      </c>
      <c r="B486" s="4">
        <v>0</v>
      </c>
      <c r="C486" s="4">
        <v>2</v>
      </c>
      <c r="D486" s="4">
        <v>2</v>
      </c>
    </row>
    <row r="487" spans="1:4" x14ac:dyDescent="0.3">
      <c r="A487" t="str" cm="1">
        <f t="array" ref="A487">_xlfn.IFS(Append1[[#This Row],[weekday cnt]]=0,"Weekend",Append1[[#This Row],[weekday cnt]]=6,"Weekend",Append1[[#This Row],[weekday cnt]]&gt;0,"Weekday")</f>
        <v>Weekend</v>
      </c>
      <c r="B487" s="5">
        <v>0</v>
      </c>
      <c r="C487" s="5">
        <v>8</v>
      </c>
      <c r="D487" s="5">
        <v>8</v>
      </c>
    </row>
    <row r="488" spans="1:4" x14ac:dyDescent="0.3">
      <c r="A488" t="str" cm="1">
        <f t="array" ref="A488">_xlfn.IFS(Append1[[#This Row],[weekday cnt]]=0,"Weekend",Append1[[#This Row],[weekday cnt]]=6,"Weekend",Append1[[#This Row],[weekday cnt]]&gt;0,"Weekday")</f>
        <v>Weekend</v>
      </c>
      <c r="B488" s="4">
        <v>1</v>
      </c>
      <c r="C488" s="4">
        <v>26</v>
      </c>
      <c r="D488" s="4">
        <v>27</v>
      </c>
    </row>
    <row r="489" spans="1:4" x14ac:dyDescent="0.3">
      <c r="A489" t="str" cm="1">
        <f t="array" ref="A489">_xlfn.IFS(Append1[[#This Row],[weekday cnt]]=0,"Weekend",Append1[[#This Row],[weekday cnt]]=6,"Weekend",Append1[[#This Row],[weekday cnt]]&gt;0,"Weekday")</f>
        <v>Weekend</v>
      </c>
      <c r="B489" s="5">
        <v>3</v>
      </c>
      <c r="C489" s="5">
        <v>37</v>
      </c>
      <c r="D489" s="5">
        <v>40</v>
      </c>
    </row>
    <row r="490" spans="1:4" x14ac:dyDescent="0.3">
      <c r="A490" t="str" cm="1">
        <f t="array" ref="A490">_xlfn.IFS(Append1[[#This Row],[weekday cnt]]=0,"Weekend",Append1[[#This Row],[weekday cnt]]=6,"Weekend",Append1[[#This Row],[weekday cnt]]&gt;0,"Weekday")</f>
        <v>Weekend</v>
      </c>
      <c r="B490" s="4">
        <v>3</v>
      </c>
      <c r="C490" s="4">
        <v>50</v>
      </c>
      <c r="D490" s="4">
        <v>53</v>
      </c>
    </row>
    <row r="491" spans="1:4" x14ac:dyDescent="0.3">
      <c r="A491" t="str" cm="1">
        <f t="array" ref="A491">_xlfn.IFS(Append1[[#This Row],[weekday cnt]]=0,"Weekend",Append1[[#This Row],[weekday cnt]]=6,"Weekend",Append1[[#This Row],[weekday cnt]]&gt;0,"Weekday")</f>
        <v>Weekend</v>
      </c>
      <c r="B491" s="5">
        <v>4</v>
      </c>
      <c r="C491" s="5">
        <v>59</v>
      </c>
      <c r="D491" s="5">
        <v>63</v>
      </c>
    </row>
    <row r="492" spans="1:4" x14ac:dyDescent="0.3">
      <c r="A492" t="str" cm="1">
        <f t="array" ref="A492">_xlfn.IFS(Append1[[#This Row],[weekday cnt]]=0,"Weekend",Append1[[#This Row],[weekday cnt]]=6,"Weekend",Append1[[#This Row],[weekday cnt]]&gt;0,"Weekday")</f>
        <v>Weekend</v>
      </c>
      <c r="B492" s="4">
        <v>10</v>
      </c>
      <c r="C492" s="4">
        <v>60</v>
      </c>
      <c r="D492" s="4">
        <v>70</v>
      </c>
    </row>
    <row r="493" spans="1:4" x14ac:dyDescent="0.3">
      <c r="A493" t="str" cm="1">
        <f t="array" ref="A493">_xlfn.IFS(Append1[[#This Row],[weekday cnt]]=0,"Weekend",Append1[[#This Row],[weekday cnt]]=6,"Weekend",Append1[[#This Row],[weekday cnt]]&gt;0,"Weekday")</f>
        <v>Weekend</v>
      </c>
      <c r="B493" s="5">
        <v>12</v>
      </c>
      <c r="C493" s="5">
        <v>72</v>
      </c>
      <c r="D493" s="5">
        <v>84</v>
      </c>
    </row>
    <row r="494" spans="1:4" x14ac:dyDescent="0.3">
      <c r="A494" t="str" cm="1">
        <f t="array" ref="A494">_xlfn.IFS(Append1[[#This Row],[weekday cnt]]=0,"Weekend",Append1[[#This Row],[weekday cnt]]=6,"Weekend",Append1[[#This Row],[weekday cnt]]&gt;0,"Weekday")</f>
        <v>Weekend</v>
      </c>
      <c r="B494" s="4">
        <v>11</v>
      </c>
      <c r="C494" s="4">
        <v>64</v>
      </c>
      <c r="D494" s="4">
        <v>75</v>
      </c>
    </row>
    <row r="495" spans="1:4" x14ac:dyDescent="0.3">
      <c r="A495" t="str" cm="1">
        <f t="array" ref="A495">_xlfn.IFS(Append1[[#This Row],[weekday cnt]]=0,"Weekend",Append1[[#This Row],[weekday cnt]]=6,"Weekend",Append1[[#This Row],[weekday cnt]]&gt;0,"Weekday")</f>
        <v>Weekend</v>
      </c>
      <c r="B495" s="5">
        <v>10</v>
      </c>
      <c r="C495" s="5">
        <v>93</v>
      </c>
      <c r="D495" s="5">
        <v>103</v>
      </c>
    </row>
    <row r="496" spans="1:4" x14ac:dyDescent="0.3">
      <c r="A496" t="str" cm="1">
        <f t="array" ref="A496">_xlfn.IFS(Append1[[#This Row],[weekday cnt]]=0,"Weekend",Append1[[#This Row],[weekday cnt]]=6,"Weekend",Append1[[#This Row],[weekday cnt]]&gt;0,"Weekday")</f>
        <v>Weekend</v>
      </c>
      <c r="B496" s="4">
        <v>11</v>
      </c>
      <c r="C496" s="4">
        <v>72</v>
      </c>
      <c r="D496" s="4">
        <v>83</v>
      </c>
    </row>
    <row r="497" spans="1:4" x14ac:dyDescent="0.3">
      <c r="A497" t="str" cm="1">
        <f t="array" ref="A497">_xlfn.IFS(Append1[[#This Row],[weekday cnt]]=0,"Weekend",Append1[[#This Row],[weekday cnt]]=6,"Weekend",Append1[[#This Row],[weekday cnt]]&gt;0,"Weekday")</f>
        <v>Weekend</v>
      </c>
      <c r="B497" s="5">
        <v>8</v>
      </c>
      <c r="C497" s="5">
        <v>59</v>
      </c>
      <c r="D497" s="5">
        <v>67</v>
      </c>
    </row>
    <row r="498" spans="1:4" x14ac:dyDescent="0.3">
      <c r="A498" t="str" cm="1">
        <f t="array" ref="A498">_xlfn.IFS(Append1[[#This Row],[weekday cnt]]=0,"Weekend",Append1[[#This Row],[weekday cnt]]=6,"Weekend",Append1[[#This Row],[weekday cnt]]&gt;0,"Weekday")</f>
        <v>Weekend</v>
      </c>
      <c r="B498" s="4">
        <v>0</v>
      </c>
      <c r="C498" s="4">
        <v>54</v>
      </c>
      <c r="D498" s="4">
        <v>54</v>
      </c>
    </row>
    <row r="499" spans="1:4" x14ac:dyDescent="0.3">
      <c r="A499" t="str" cm="1">
        <f t="array" ref="A499">_xlfn.IFS(Append1[[#This Row],[weekday cnt]]=0,"Weekend",Append1[[#This Row],[weekday cnt]]=6,"Weekend",Append1[[#This Row],[weekday cnt]]&gt;0,"Weekday")</f>
        <v>Weekend</v>
      </c>
      <c r="B499" s="5">
        <v>6</v>
      </c>
      <c r="C499" s="5">
        <v>53</v>
      </c>
      <c r="D499" s="5">
        <v>59</v>
      </c>
    </row>
    <row r="500" spans="1:4" x14ac:dyDescent="0.3">
      <c r="A500" t="str" cm="1">
        <f t="array" ref="A500">_xlfn.IFS(Append1[[#This Row],[weekday cnt]]=0,"Weekend",Append1[[#This Row],[weekday cnt]]=6,"Weekend",Append1[[#This Row],[weekday cnt]]&gt;0,"Weekday")</f>
        <v>Weekend</v>
      </c>
      <c r="B500" s="4">
        <v>1</v>
      </c>
      <c r="C500" s="4">
        <v>44</v>
      </c>
      <c r="D500" s="4">
        <v>45</v>
      </c>
    </row>
    <row r="501" spans="1:4" x14ac:dyDescent="0.3">
      <c r="A501" t="str" cm="1">
        <f t="array" ref="A501">_xlfn.IFS(Append1[[#This Row],[weekday cnt]]=0,"Weekend",Append1[[#This Row],[weekday cnt]]=6,"Weekend",Append1[[#This Row],[weekday cnt]]&gt;0,"Weekday")</f>
        <v>Weekend</v>
      </c>
      <c r="B501" s="5">
        <v>0</v>
      </c>
      <c r="C501" s="5">
        <v>39</v>
      </c>
      <c r="D501" s="5">
        <v>39</v>
      </c>
    </row>
    <row r="502" spans="1:4" x14ac:dyDescent="0.3">
      <c r="A502" t="str" cm="1">
        <f t="array" ref="A502">_xlfn.IFS(Append1[[#This Row],[weekday cnt]]=0,"Weekend",Append1[[#This Row],[weekday cnt]]=6,"Weekend",Append1[[#This Row],[weekday cnt]]&gt;0,"Weekday")</f>
        <v>Weekend</v>
      </c>
      <c r="B502" s="4">
        <v>7</v>
      </c>
      <c r="C502" s="4">
        <v>23</v>
      </c>
      <c r="D502" s="4">
        <v>30</v>
      </c>
    </row>
    <row r="503" spans="1:4" x14ac:dyDescent="0.3">
      <c r="A503" t="str" cm="1">
        <f t="array" ref="A503">_xlfn.IFS(Append1[[#This Row],[weekday cnt]]=0,"Weekend",Append1[[#This Row],[weekday cnt]]=6,"Weekend",Append1[[#This Row],[weekday cnt]]&gt;0,"Weekday")</f>
        <v>Weekend</v>
      </c>
      <c r="B503" s="5">
        <v>2</v>
      </c>
      <c r="C503" s="5">
        <v>31</v>
      </c>
      <c r="D503" s="5">
        <v>33</v>
      </c>
    </row>
    <row r="504" spans="1:4" x14ac:dyDescent="0.3">
      <c r="A504" t="str" cm="1">
        <f t="array" ref="A504">_xlfn.IFS(Append1[[#This Row],[weekday cnt]]=0,"Weekend",Append1[[#This Row],[weekday cnt]]=6,"Weekend",Append1[[#This Row],[weekday cnt]]&gt;0,"Weekday")</f>
        <v>Weekend</v>
      </c>
      <c r="B504" s="4">
        <v>2</v>
      </c>
      <c r="C504" s="4">
        <v>20</v>
      </c>
      <c r="D504" s="4">
        <v>22</v>
      </c>
    </row>
    <row r="505" spans="1:4" x14ac:dyDescent="0.3">
      <c r="A505" t="str" cm="1">
        <f t="array" ref="A505">_xlfn.IFS(Append1[[#This Row],[weekday cnt]]=0,"Weekend",Append1[[#This Row],[weekday cnt]]=6,"Weekend",Append1[[#This Row],[weekday cnt]]&gt;0,"Weekday")</f>
        <v>Weekend</v>
      </c>
      <c r="B505" s="5">
        <v>1</v>
      </c>
      <c r="C505" s="5">
        <v>12</v>
      </c>
      <c r="D505" s="5">
        <v>13</v>
      </c>
    </row>
    <row r="506" spans="1:4" x14ac:dyDescent="0.3">
      <c r="A506" t="str" cm="1">
        <f t="array" ref="A506">_xlfn.IFS(Append1[[#This Row],[weekday cnt]]=0,"Weekend",Append1[[#This Row],[weekday cnt]]=6,"Weekend",Append1[[#This Row],[weekday cnt]]&gt;0,"Weekday")</f>
        <v>Weekend</v>
      </c>
      <c r="B506" s="4">
        <v>3</v>
      </c>
      <c r="C506" s="4">
        <v>15</v>
      </c>
      <c r="D506" s="4">
        <v>18</v>
      </c>
    </row>
    <row r="507" spans="1:4" x14ac:dyDescent="0.3">
      <c r="A507" t="str" cm="1">
        <f t="array" ref="A507">_xlfn.IFS(Append1[[#This Row],[weekday cnt]]=0,"Weekend",Append1[[#This Row],[weekday cnt]]=6,"Weekend",Append1[[#This Row],[weekday cnt]]&gt;0,"Weekday")</f>
        <v>Weekend</v>
      </c>
      <c r="B507" s="5">
        <v>1</v>
      </c>
      <c r="C507" s="5">
        <v>4</v>
      </c>
      <c r="D507" s="5">
        <v>5</v>
      </c>
    </row>
    <row r="508" spans="1:4" x14ac:dyDescent="0.3">
      <c r="A508" t="str" cm="1">
        <f t="array" ref="A508">_xlfn.IFS(Append1[[#This Row],[weekday cnt]]=0,"Weekend",Append1[[#This Row],[weekday cnt]]=6,"Weekend",Append1[[#This Row],[weekday cnt]]&gt;0,"Weekday")</f>
        <v>Weekend</v>
      </c>
      <c r="B508" s="4">
        <v>0</v>
      </c>
      <c r="C508" s="4">
        <v>3</v>
      </c>
      <c r="D508" s="4">
        <v>3</v>
      </c>
    </row>
    <row r="509" spans="1:4" x14ac:dyDescent="0.3">
      <c r="A509" t="str" cm="1">
        <f t="array" ref="A509">_xlfn.IFS(Append1[[#This Row],[weekday cnt]]=0,"Weekend",Append1[[#This Row],[weekday cnt]]=6,"Weekend",Append1[[#This Row],[weekday cnt]]&gt;0,"Weekday")</f>
        <v>Weekend</v>
      </c>
      <c r="B509" s="5">
        <v>0</v>
      </c>
      <c r="C509" s="5">
        <v>1</v>
      </c>
      <c r="D509" s="5">
        <v>1</v>
      </c>
    </row>
    <row r="510" spans="1:4" x14ac:dyDescent="0.3">
      <c r="A510" t="str" cm="1">
        <f t="array" ref="A510">_xlfn.IFS(Append1[[#This Row],[weekday cnt]]=0,"Weekend",Append1[[#This Row],[weekday cnt]]=6,"Weekend",Append1[[#This Row],[weekday cnt]]&gt;0,"Weekday")</f>
        <v>Weekend</v>
      </c>
      <c r="B510" s="4">
        <v>1</v>
      </c>
      <c r="C510" s="4">
        <v>1</v>
      </c>
      <c r="D510" s="4">
        <v>2</v>
      </c>
    </row>
    <row r="511" spans="1:4" x14ac:dyDescent="0.3">
      <c r="A511" t="str" cm="1">
        <f t="array" ref="A511">_xlfn.IFS(Append1[[#This Row],[weekday cnt]]=0,"Weekend",Append1[[#This Row],[weekday cnt]]=6,"Weekend",Append1[[#This Row],[weekday cnt]]&gt;0,"Weekday")</f>
        <v>Weekend</v>
      </c>
      <c r="B511" s="5">
        <v>2</v>
      </c>
      <c r="C511" s="5">
        <v>17</v>
      </c>
      <c r="D511" s="5">
        <v>19</v>
      </c>
    </row>
    <row r="512" spans="1:4" x14ac:dyDescent="0.3">
      <c r="A512" t="str" cm="1">
        <f t="array" ref="A512">_xlfn.IFS(Append1[[#This Row],[weekday cnt]]=0,"Weekend",Append1[[#This Row],[weekday cnt]]=6,"Weekend",Append1[[#This Row],[weekday cnt]]&gt;0,"Weekday")</f>
        <v>Weekend</v>
      </c>
      <c r="B512" s="4">
        <v>3</v>
      </c>
      <c r="C512" s="4">
        <v>25</v>
      </c>
      <c r="D512" s="4">
        <v>28</v>
      </c>
    </row>
    <row r="513" spans="1:4" x14ac:dyDescent="0.3">
      <c r="A513" t="str" cm="1">
        <f t="array" ref="A513">_xlfn.IFS(Append1[[#This Row],[weekday cnt]]=0,"Weekend",Append1[[#This Row],[weekday cnt]]=6,"Weekend",Append1[[#This Row],[weekday cnt]]&gt;0,"Weekday")</f>
        <v>Weekend</v>
      </c>
      <c r="B513" s="5">
        <v>7</v>
      </c>
      <c r="C513" s="5">
        <v>51</v>
      </c>
      <c r="D513" s="5">
        <v>58</v>
      </c>
    </row>
    <row r="514" spans="1:4" x14ac:dyDescent="0.3">
      <c r="A514" t="str" cm="1">
        <f t="array" ref="A514">_xlfn.IFS(Append1[[#This Row],[weekday cnt]]=0,"Weekend",Append1[[#This Row],[weekday cnt]]=6,"Weekend",Append1[[#This Row],[weekday cnt]]&gt;0,"Weekday")</f>
        <v>Weekend</v>
      </c>
      <c r="B514" s="4">
        <v>22</v>
      </c>
      <c r="C514" s="4">
        <v>77</v>
      </c>
      <c r="D514" s="4">
        <v>99</v>
      </c>
    </row>
    <row r="515" spans="1:4" x14ac:dyDescent="0.3">
      <c r="A515" t="str" cm="1">
        <f t="array" ref="A515">_xlfn.IFS(Append1[[#This Row],[weekday cnt]]=0,"Weekend",Append1[[#This Row],[weekday cnt]]=6,"Weekend",Append1[[#This Row],[weekday cnt]]&gt;0,"Weekday")</f>
        <v>Weekend</v>
      </c>
      <c r="B515" s="5">
        <v>24</v>
      </c>
      <c r="C515" s="5">
        <v>92</v>
      </c>
      <c r="D515" s="5">
        <v>116</v>
      </c>
    </row>
    <row r="516" spans="1:4" x14ac:dyDescent="0.3">
      <c r="A516" t="str" cm="1">
        <f t="array" ref="A516">_xlfn.IFS(Append1[[#This Row],[weekday cnt]]=0,"Weekend",Append1[[#This Row],[weekday cnt]]=6,"Weekend",Append1[[#This Row],[weekday cnt]]&gt;0,"Weekday")</f>
        <v>Weekend</v>
      </c>
      <c r="B516" s="4">
        <v>12</v>
      </c>
      <c r="C516" s="4">
        <v>75</v>
      </c>
      <c r="D516" s="4">
        <v>87</v>
      </c>
    </row>
    <row r="517" spans="1:4" x14ac:dyDescent="0.3">
      <c r="A517" t="str" cm="1">
        <f t="array" ref="A517">_xlfn.IFS(Append1[[#This Row],[weekday cnt]]=0,"Weekend",Append1[[#This Row],[weekday cnt]]=6,"Weekend",Append1[[#This Row],[weekday cnt]]&gt;0,"Weekday")</f>
        <v>Weekend</v>
      </c>
      <c r="B517" s="5">
        <v>17</v>
      </c>
      <c r="C517" s="5">
        <v>93</v>
      </c>
      <c r="D517" s="5">
        <v>110</v>
      </c>
    </row>
    <row r="518" spans="1:4" x14ac:dyDescent="0.3">
      <c r="A518" t="str" cm="1">
        <f t="array" ref="A518">_xlfn.IFS(Append1[[#This Row],[weekday cnt]]=0,"Weekend",Append1[[#This Row],[weekday cnt]]=6,"Weekend",Append1[[#This Row],[weekday cnt]]&gt;0,"Weekday")</f>
        <v>Weekend</v>
      </c>
      <c r="B518" s="4">
        <v>13</v>
      </c>
      <c r="C518" s="4">
        <v>64</v>
      </c>
      <c r="D518" s="4">
        <v>77</v>
      </c>
    </row>
    <row r="519" spans="1:4" x14ac:dyDescent="0.3">
      <c r="A519" t="str" cm="1">
        <f t="array" ref="A519">_xlfn.IFS(Append1[[#This Row],[weekday cnt]]=0,"Weekend",Append1[[#This Row],[weekday cnt]]=6,"Weekend",Append1[[#This Row],[weekday cnt]]&gt;0,"Weekday")</f>
        <v>Weekend</v>
      </c>
      <c r="B519" s="5">
        <v>9</v>
      </c>
      <c r="C519" s="5">
        <v>56</v>
      </c>
      <c r="D519" s="5">
        <v>65</v>
      </c>
    </row>
    <row r="520" spans="1:4" x14ac:dyDescent="0.3">
      <c r="A520" t="str" cm="1">
        <f t="array" ref="A520">_xlfn.IFS(Append1[[#This Row],[weekday cnt]]=0,"Weekend",Append1[[#This Row],[weekday cnt]]=6,"Weekend",Append1[[#This Row],[weekday cnt]]&gt;0,"Weekday")</f>
        <v>Weekend</v>
      </c>
      <c r="B520" s="4">
        <v>5</v>
      </c>
      <c r="C520" s="4">
        <v>50</v>
      </c>
      <c r="D520" s="4">
        <v>55</v>
      </c>
    </row>
    <row r="521" spans="1:4" x14ac:dyDescent="0.3">
      <c r="A521" t="str" cm="1">
        <f t="array" ref="A521">_xlfn.IFS(Append1[[#This Row],[weekday cnt]]=0,"Weekend",Append1[[#This Row],[weekday cnt]]=6,"Weekend",Append1[[#This Row],[weekday cnt]]&gt;0,"Weekday")</f>
        <v>Weekend</v>
      </c>
      <c r="B521" s="5">
        <v>5</v>
      </c>
      <c r="C521" s="5">
        <v>44</v>
      </c>
      <c r="D521" s="5">
        <v>49</v>
      </c>
    </row>
    <row r="522" spans="1:4" x14ac:dyDescent="0.3">
      <c r="A522" t="str" cm="1">
        <f t="array" ref="A522">_xlfn.IFS(Append1[[#This Row],[weekday cnt]]=0,"Weekend",Append1[[#This Row],[weekday cnt]]=6,"Weekend",Append1[[#This Row],[weekday cnt]]&gt;0,"Weekday")</f>
        <v>Weekend</v>
      </c>
      <c r="B522" s="4">
        <v>5</v>
      </c>
      <c r="C522" s="4">
        <v>45</v>
      </c>
      <c r="D522" s="4">
        <v>50</v>
      </c>
    </row>
    <row r="523" spans="1:4" x14ac:dyDescent="0.3">
      <c r="A523" t="str" cm="1">
        <f t="array" ref="A523">_xlfn.IFS(Append1[[#This Row],[weekday cnt]]=0,"Weekend",Append1[[#This Row],[weekday cnt]]=6,"Weekend",Append1[[#This Row],[weekday cnt]]&gt;0,"Weekday")</f>
        <v>Weekend</v>
      </c>
      <c r="B523" s="5">
        <v>4</v>
      </c>
      <c r="C523" s="5">
        <v>31</v>
      </c>
      <c r="D523" s="5">
        <v>35</v>
      </c>
    </row>
    <row r="524" spans="1:4" x14ac:dyDescent="0.3">
      <c r="A524" t="str" cm="1">
        <f t="array" ref="A524">_xlfn.IFS(Append1[[#This Row],[weekday cnt]]=0,"Weekend",Append1[[#This Row],[weekday cnt]]=6,"Weekend",Append1[[#This Row],[weekday cnt]]&gt;0,"Weekday")</f>
        <v>Weekend</v>
      </c>
      <c r="B524" s="4">
        <v>5</v>
      </c>
      <c r="C524" s="4">
        <v>20</v>
      </c>
      <c r="D524" s="4">
        <v>25</v>
      </c>
    </row>
    <row r="525" spans="1:4" x14ac:dyDescent="0.3">
      <c r="A525" t="str" cm="1">
        <f t="array" ref="A525">_xlfn.IFS(Append1[[#This Row],[weekday cnt]]=0,"Weekend",Append1[[#This Row],[weekday cnt]]=6,"Weekend",Append1[[#This Row],[weekday cnt]]&gt;0,"Weekday")</f>
        <v>Weekend</v>
      </c>
      <c r="B525" s="5">
        <v>5</v>
      </c>
      <c r="C525" s="5">
        <v>23</v>
      </c>
      <c r="D525" s="5">
        <v>28</v>
      </c>
    </row>
    <row r="526" spans="1:4" x14ac:dyDescent="0.3">
      <c r="A526" t="str" cm="1">
        <f t="array" ref="A526">_xlfn.IFS(Append1[[#This Row],[weekday cnt]]=0,"Weekend",Append1[[#This Row],[weekday cnt]]=6,"Weekend",Append1[[#This Row],[weekday cnt]]&gt;0,"Weekday")</f>
        <v>Weekend</v>
      </c>
      <c r="B526" s="4">
        <v>4</v>
      </c>
      <c r="C526" s="4">
        <v>17</v>
      </c>
      <c r="D526" s="4">
        <v>21</v>
      </c>
    </row>
    <row r="527" spans="1:4" x14ac:dyDescent="0.3">
      <c r="A527" t="str" cm="1">
        <f t="array" ref="A527">_xlfn.IFS(Append1[[#This Row],[weekday cnt]]=0,"Weekend",Append1[[#This Row],[weekday cnt]]=6,"Weekend",Append1[[#This Row],[weekday cnt]]&gt;0,"Weekday")</f>
        <v>Weekday</v>
      </c>
      <c r="B527" s="5">
        <v>0</v>
      </c>
      <c r="C527" s="5">
        <v>7</v>
      </c>
      <c r="D527" s="5">
        <v>7</v>
      </c>
    </row>
    <row r="528" spans="1:4" x14ac:dyDescent="0.3">
      <c r="A528" t="str" cm="1">
        <f t="array" ref="A528">_xlfn.IFS(Append1[[#This Row],[weekday cnt]]=0,"Weekend",Append1[[#This Row],[weekday cnt]]=6,"Weekend",Append1[[#This Row],[weekday cnt]]&gt;0,"Weekday")</f>
        <v>Weekday</v>
      </c>
      <c r="B528" s="4">
        <v>0</v>
      </c>
      <c r="C528" s="4">
        <v>1</v>
      </c>
      <c r="D528" s="4">
        <v>1</v>
      </c>
    </row>
    <row r="529" spans="1:4" x14ac:dyDescent="0.3">
      <c r="A529" t="str" cm="1">
        <f t="array" ref="A529">_xlfn.IFS(Append1[[#This Row],[weekday cnt]]=0,"Weekend",Append1[[#This Row],[weekday cnt]]=6,"Weekend",Append1[[#This Row],[weekday cnt]]&gt;0,"Weekday")</f>
        <v>Weekday</v>
      </c>
      <c r="B529" s="5">
        <v>0</v>
      </c>
      <c r="C529" s="5">
        <v>1</v>
      </c>
      <c r="D529" s="5">
        <v>1</v>
      </c>
    </row>
    <row r="530" spans="1:4" x14ac:dyDescent="0.3">
      <c r="A530" t="str" cm="1">
        <f t="array" ref="A530">_xlfn.IFS(Append1[[#This Row],[weekday cnt]]=0,"Weekend",Append1[[#This Row],[weekday cnt]]=6,"Weekend",Append1[[#This Row],[weekday cnt]]&gt;0,"Weekday")</f>
        <v>Weekday</v>
      </c>
      <c r="B530" s="4">
        <v>0</v>
      </c>
      <c r="C530" s="4">
        <v>1</v>
      </c>
      <c r="D530" s="4">
        <v>1</v>
      </c>
    </row>
    <row r="531" spans="1:4" x14ac:dyDescent="0.3">
      <c r="A531" t="str" cm="1">
        <f t="array" ref="A531">_xlfn.IFS(Append1[[#This Row],[weekday cnt]]=0,"Weekend",Append1[[#This Row],[weekday cnt]]=6,"Weekend",Append1[[#This Row],[weekday cnt]]&gt;0,"Weekday")</f>
        <v>Weekday</v>
      </c>
      <c r="B531" s="5">
        <v>0</v>
      </c>
      <c r="C531" s="5">
        <v>5</v>
      </c>
      <c r="D531" s="5">
        <v>5</v>
      </c>
    </row>
    <row r="532" spans="1:4" x14ac:dyDescent="0.3">
      <c r="A532" t="str" cm="1">
        <f t="array" ref="A532">_xlfn.IFS(Append1[[#This Row],[weekday cnt]]=0,"Weekend",Append1[[#This Row],[weekday cnt]]=6,"Weekend",Append1[[#This Row],[weekday cnt]]&gt;0,"Weekday")</f>
        <v>Weekday</v>
      </c>
      <c r="B532" s="4">
        <v>0</v>
      </c>
      <c r="C532" s="4">
        <v>15</v>
      </c>
      <c r="D532" s="4">
        <v>15</v>
      </c>
    </row>
    <row r="533" spans="1:4" x14ac:dyDescent="0.3">
      <c r="A533" t="str" cm="1">
        <f t="array" ref="A533">_xlfn.IFS(Append1[[#This Row],[weekday cnt]]=0,"Weekend",Append1[[#This Row],[weekday cnt]]=6,"Weekend",Append1[[#This Row],[weekday cnt]]&gt;0,"Weekday")</f>
        <v>Weekday</v>
      </c>
      <c r="B533" s="5">
        <v>5</v>
      </c>
      <c r="C533" s="5">
        <v>79</v>
      </c>
      <c r="D533" s="5">
        <v>84</v>
      </c>
    </row>
    <row r="534" spans="1:4" x14ac:dyDescent="0.3">
      <c r="A534" t="str" cm="1">
        <f t="array" ref="A534">_xlfn.IFS(Append1[[#This Row],[weekday cnt]]=0,"Weekend",Append1[[#This Row],[weekday cnt]]=6,"Weekend",Append1[[#This Row],[weekday cnt]]&gt;0,"Weekday")</f>
        <v>Weekday</v>
      </c>
      <c r="B534" s="4">
        <v>6</v>
      </c>
      <c r="C534" s="4">
        <v>171</v>
      </c>
      <c r="D534" s="4">
        <v>177</v>
      </c>
    </row>
    <row r="535" spans="1:4" x14ac:dyDescent="0.3">
      <c r="A535" t="str" cm="1">
        <f t="array" ref="A535">_xlfn.IFS(Append1[[#This Row],[weekday cnt]]=0,"Weekend",Append1[[#This Row],[weekday cnt]]=6,"Weekend",Append1[[#This Row],[weekday cnt]]&gt;0,"Weekday")</f>
        <v>Weekday</v>
      </c>
      <c r="B535" s="5">
        <v>4</v>
      </c>
      <c r="C535" s="5">
        <v>98</v>
      </c>
      <c r="D535" s="5">
        <v>102</v>
      </c>
    </row>
    <row r="536" spans="1:4" x14ac:dyDescent="0.3">
      <c r="A536" t="str" cm="1">
        <f t="array" ref="A536">_xlfn.IFS(Append1[[#This Row],[weekday cnt]]=0,"Weekend",Append1[[#This Row],[weekday cnt]]=6,"Weekend",Append1[[#This Row],[weekday cnt]]&gt;0,"Weekday")</f>
        <v>Weekday</v>
      </c>
      <c r="B536" s="4">
        <v>6</v>
      </c>
      <c r="C536" s="4">
        <v>34</v>
      </c>
      <c r="D536" s="4">
        <v>40</v>
      </c>
    </row>
    <row r="537" spans="1:4" x14ac:dyDescent="0.3">
      <c r="A537" t="str" cm="1">
        <f t="array" ref="A537">_xlfn.IFS(Append1[[#This Row],[weekday cnt]]=0,"Weekend",Append1[[#This Row],[weekday cnt]]=6,"Weekend",Append1[[#This Row],[weekday cnt]]&gt;0,"Weekday")</f>
        <v>Weekday</v>
      </c>
      <c r="B537" s="5">
        <v>3</v>
      </c>
      <c r="C537" s="5">
        <v>43</v>
      </c>
      <c r="D537" s="5">
        <v>46</v>
      </c>
    </row>
    <row r="538" spans="1:4" x14ac:dyDescent="0.3">
      <c r="A538" t="str" cm="1">
        <f t="array" ref="A538">_xlfn.IFS(Append1[[#This Row],[weekday cnt]]=0,"Weekend",Append1[[#This Row],[weekday cnt]]=6,"Weekend",Append1[[#This Row],[weekday cnt]]&gt;0,"Weekday")</f>
        <v>Weekday</v>
      </c>
      <c r="B538" s="4">
        <v>11</v>
      </c>
      <c r="C538" s="4">
        <v>52</v>
      </c>
      <c r="D538" s="4">
        <v>63</v>
      </c>
    </row>
    <row r="539" spans="1:4" x14ac:dyDescent="0.3">
      <c r="A539" t="str" cm="1">
        <f t="array" ref="A539">_xlfn.IFS(Append1[[#This Row],[weekday cnt]]=0,"Weekend",Append1[[#This Row],[weekday cnt]]=6,"Weekend",Append1[[#This Row],[weekday cnt]]&gt;0,"Weekday")</f>
        <v>Weekday</v>
      </c>
      <c r="B539" s="5">
        <v>6</v>
      </c>
      <c r="C539" s="5">
        <v>54</v>
      </c>
      <c r="D539" s="5">
        <v>60</v>
      </c>
    </row>
    <row r="540" spans="1:4" x14ac:dyDescent="0.3">
      <c r="A540" t="str" cm="1">
        <f t="array" ref="A540">_xlfn.IFS(Append1[[#This Row],[weekday cnt]]=0,"Weekend",Append1[[#This Row],[weekday cnt]]=6,"Weekend",Append1[[#This Row],[weekday cnt]]&gt;0,"Weekday")</f>
        <v>Weekday</v>
      </c>
      <c r="B540" s="4">
        <v>2</v>
      </c>
      <c r="C540" s="4">
        <v>43</v>
      </c>
      <c r="D540" s="4">
        <v>45</v>
      </c>
    </row>
    <row r="541" spans="1:4" x14ac:dyDescent="0.3">
      <c r="A541" t="str" cm="1">
        <f t="array" ref="A541">_xlfn.IFS(Append1[[#This Row],[weekday cnt]]=0,"Weekend",Append1[[#This Row],[weekday cnt]]=6,"Weekend",Append1[[#This Row],[weekday cnt]]&gt;0,"Weekday")</f>
        <v>Weekday</v>
      </c>
      <c r="B541" s="5">
        <v>7</v>
      </c>
      <c r="C541" s="5">
        <v>50</v>
      </c>
      <c r="D541" s="5">
        <v>57</v>
      </c>
    </row>
    <row r="542" spans="1:4" x14ac:dyDescent="0.3">
      <c r="A542" t="str" cm="1">
        <f t="array" ref="A542">_xlfn.IFS(Append1[[#This Row],[weekday cnt]]=0,"Weekend",Append1[[#This Row],[weekday cnt]]=6,"Weekend",Append1[[#This Row],[weekday cnt]]&gt;0,"Weekday")</f>
        <v>Weekday</v>
      </c>
      <c r="B542" s="4">
        <v>4</v>
      </c>
      <c r="C542" s="4">
        <v>66</v>
      </c>
      <c r="D542" s="4">
        <v>70</v>
      </c>
    </row>
    <row r="543" spans="1:4" x14ac:dyDescent="0.3">
      <c r="A543" t="str" cm="1">
        <f t="array" ref="A543">_xlfn.IFS(Append1[[#This Row],[weekday cnt]]=0,"Weekend",Append1[[#This Row],[weekday cnt]]=6,"Weekend",Append1[[#This Row],[weekday cnt]]&gt;0,"Weekday")</f>
        <v>Weekday</v>
      </c>
      <c r="B543" s="5">
        <v>6</v>
      </c>
      <c r="C543" s="5">
        <v>178</v>
      </c>
      <c r="D543" s="5">
        <v>184</v>
      </c>
    </row>
    <row r="544" spans="1:4" x14ac:dyDescent="0.3">
      <c r="A544" t="str" cm="1">
        <f t="array" ref="A544">_xlfn.IFS(Append1[[#This Row],[weekday cnt]]=0,"Weekend",Append1[[#This Row],[weekday cnt]]=6,"Weekend",Append1[[#This Row],[weekday cnt]]&gt;0,"Weekday")</f>
        <v>Weekday</v>
      </c>
      <c r="B544" s="4">
        <v>8</v>
      </c>
      <c r="C544" s="4">
        <v>145</v>
      </c>
      <c r="D544" s="4">
        <v>153</v>
      </c>
    </row>
    <row r="545" spans="1:4" x14ac:dyDescent="0.3">
      <c r="A545" t="str" cm="1">
        <f t="array" ref="A545">_xlfn.IFS(Append1[[#This Row],[weekday cnt]]=0,"Weekend",Append1[[#This Row],[weekday cnt]]=6,"Weekend",Append1[[#This Row],[weekday cnt]]&gt;0,"Weekday")</f>
        <v>Weekday</v>
      </c>
      <c r="B545" s="5">
        <v>5</v>
      </c>
      <c r="C545" s="5">
        <v>101</v>
      </c>
      <c r="D545" s="5">
        <v>106</v>
      </c>
    </row>
    <row r="546" spans="1:4" x14ac:dyDescent="0.3">
      <c r="A546" t="str" cm="1">
        <f t="array" ref="A546">_xlfn.IFS(Append1[[#This Row],[weekday cnt]]=0,"Weekend",Append1[[#This Row],[weekday cnt]]=6,"Weekend",Append1[[#This Row],[weekday cnt]]&gt;0,"Weekday")</f>
        <v>Weekday</v>
      </c>
      <c r="B546" s="4">
        <v>1</v>
      </c>
      <c r="C546" s="4">
        <v>80</v>
      </c>
      <c r="D546" s="4">
        <v>81</v>
      </c>
    </row>
    <row r="547" spans="1:4" x14ac:dyDescent="0.3">
      <c r="A547" t="str" cm="1">
        <f t="array" ref="A547">_xlfn.IFS(Append1[[#This Row],[weekday cnt]]=0,"Weekend",Append1[[#This Row],[weekday cnt]]=6,"Weekend",Append1[[#This Row],[weekday cnt]]&gt;0,"Weekday")</f>
        <v>Weekday</v>
      </c>
      <c r="B547" s="5">
        <v>6</v>
      </c>
      <c r="C547" s="5">
        <v>53</v>
      </c>
      <c r="D547" s="5">
        <v>59</v>
      </c>
    </row>
    <row r="548" spans="1:4" x14ac:dyDescent="0.3">
      <c r="A548" t="str" cm="1">
        <f t="array" ref="A548">_xlfn.IFS(Append1[[#This Row],[weekday cnt]]=0,"Weekend",Append1[[#This Row],[weekday cnt]]=6,"Weekend",Append1[[#This Row],[weekday cnt]]&gt;0,"Weekday")</f>
        <v>Weekday</v>
      </c>
      <c r="B548" s="4">
        <v>3</v>
      </c>
      <c r="C548" s="4">
        <v>32</v>
      </c>
      <c r="D548" s="4">
        <v>35</v>
      </c>
    </row>
    <row r="549" spans="1:4" x14ac:dyDescent="0.3">
      <c r="A549" t="str" cm="1">
        <f t="array" ref="A549">_xlfn.IFS(Append1[[#This Row],[weekday cnt]]=0,"Weekend",Append1[[#This Row],[weekday cnt]]=6,"Weekend",Append1[[#This Row],[weekday cnt]]&gt;0,"Weekday")</f>
        <v>Weekday</v>
      </c>
      <c r="B549" s="5">
        <v>3</v>
      </c>
      <c r="C549" s="5">
        <v>21</v>
      </c>
      <c r="D549" s="5">
        <v>24</v>
      </c>
    </row>
    <row r="550" spans="1:4" x14ac:dyDescent="0.3">
      <c r="A550" t="str" cm="1">
        <f t="array" ref="A550">_xlfn.IFS(Append1[[#This Row],[weekday cnt]]=0,"Weekend",Append1[[#This Row],[weekday cnt]]=6,"Weekend",Append1[[#This Row],[weekday cnt]]&gt;0,"Weekday")</f>
        <v>Weekday</v>
      </c>
      <c r="B550" s="4">
        <v>3</v>
      </c>
      <c r="C550" s="4">
        <v>6</v>
      </c>
      <c r="D550" s="4">
        <v>9</v>
      </c>
    </row>
    <row r="551" spans="1:4" x14ac:dyDescent="0.3">
      <c r="A551" t="str" cm="1">
        <f t="array" ref="A551">_xlfn.IFS(Append1[[#This Row],[weekday cnt]]=0,"Weekend",Append1[[#This Row],[weekday cnt]]=6,"Weekend",Append1[[#This Row],[weekday cnt]]&gt;0,"Weekday")</f>
        <v>Weekday</v>
      </c>
      <c r="B551" s="5">
        <v>0</v>
      </c>
      <c r="C551" s="5">
        <v>5</v>
      </c>
      <c r="D551" s="5">
        <v>5</v>
      </c>
    </row>
    <row r="552" spans="1:4" x14ac:dyDescent="0.3">
      <c r="A552" t="str" cm="1">
        <f t="array" ref="A552">_xlfn.IFS(Append1[[#This Row],[weekday cnt]]=0,"Weekend",Append1[[#This Row],[weekday cnt]]=6,"Weekend",Append1[[#This Row],[weekday cnt]]&gt;0,"Weekday")</f>
        <v>Weekday</v>
      </c>
      <c r="B552" s="4">
        <v>0</v>
      </c>
      <c r="C552" s="4">
        <v>2</v>
      </c>
      <c r="D552" s="4">
        <v>2</v>
      </c>
    </row>
    <row r="553" spans="1:4" x14ac:dyDescent="0.3">
      <c r="A553" t="str" cm="1">
        <f t="array" ref="A553">_xlfn.IFS(Append1[[#This Row],[weekday cnt]]=0,"Weekend",Append1[[#This Row],[weekday cnt]]=6,"Weekend",Append1[[#This Row],[weekday cnt]]&gt;0,"Weekday")</f>
        <v>Weekday</v>
      </c>
      <c r="B553" s="5">
        <v>0</v>
      </c>
      <c r="C553" s="5">
        <v>1</v>
      </c>
      <c r="D553" s="5">
        <v>1</v>
      </c>
    </row>
    <row r="554" spans="1:4" x14ac:dyDescent="0.3">
      <c r="A554" t="str" cm="1">
        <f t="array" ref="A554">_xlfn.IFS(Append1[[#This Row],[weekday cnt]]=0,"Weekend",Append1[[#This Row],[weekday cnt]]=6,"Weekend",Append1[[#This Row],[weekday cnt]]&gt;0,"Weekday")</f>
        <v>Weekday</v>
      </c>
      <c r="B554" s="4">
        <v>0</v>
      </c>
      <c r="C554" s="4">
        <v>9</v>
      </c>
      <c r="D554" s="4">
        <v>9</v>
      </c>
    </row>
    <row r="555" spans="1:4" x14ac:dyDescent="0.3">
      <c r="A555" t="str" cm="1">
        <f t="array" ref="A555">_xlfn.IFS(Append1[[#This Row],[weekday cnt]]=0,"Weekend",Append1[[#This Row],[weekday cnt]]=6,"Weekend",Append1[[#This Row],[weekday cnt]]&gt;0,"Weekday")</f>
        <v>Weekday</v>
      </c>
      <c r="B555" s="5">
        <v>1</v>
      </c>
      <c r="C555" s="5">
        <v>35</v>
      </c>
      <c r="D555" s="5">
        <v>36</v>
      </c>
    </row>
    <row r="556" spans="1:4" x14ac:dyDescent="0.3">
      <c r="A556" t="str" cm="1">
        <f t="array" ref="A556">_xlfn.IFS(Append1[[#This Row],[weekday cnt]]=0,"Weekend",Append1[[#This Row],[weekday cnt]]=6,"Weekend",Append1[[#This Row],[weekday cnt]]&gt;0,"Weekday")</f>
        <v>Weekday</v>
      </c>
      <c r="B556" s="4">
        <v>5</v>
      </c>
      <c r="C556" s="4">
        <v>103</v>
      </c>
      <c r="D556" s="4">
        <v>108</v>
      </c>
    </row>
    <row r="557" spans="1:4" x14ac:dyDescent="0.3">
      <c r="A557" t="str" cm="1">
        <f t="array" ref="A557">_xlfn.IFS(Append1[[#This Row],[weekday cnt]]=0,"Weekend",Append1[[#This Row],[weekday cnt]]=6,"Weekend",Append1[[#This Row],[weekday cnt]]&gt;0,"Weekday")</f>
        <v>Weekday</v>
      </c>
      <c r="B557" s="5">
        <v>5</v>
      </c>
      <c r="C557" s="5">
        <v>233</v>
      </c>
      <c r="D557" s="5">
        <v>238</v>
      </c>
    </row>
    <row r="558" spans="1:4" x14ac:dyDescent="0.3">
      <c r="A558" t="str" cm="1">
        <f t="array" ref="A558">_xlfn.IFS(Append1[[#This Row],[weekday cnt]]=0,"Weekend",Append1[[#This Row],[weekday cnt]]=6,"Weekend",Append1[[#This Row],[weekday cnt]]&gt;0,"Weekday")</f>
        <v>Weekday</v>
      </c>
      <c r="B558" s="4">
        <v>10</v>
      </c>
      <c r="C558" s="4">
        <v>134</v>
      </c>
      <c r="D558" s="4">
        <v>144</v>
      </c>
    </row>
    <row r="559" spans="1:4" x14ac:dyDescent="0.3">
      <c r="A559" t="str" cm="1">
        <f t="array" ref="A559">_xlfn.IFS(Append1[[#This Row],[weekday cnt]]=0,"Weekend",Append1[[#This Row],[weekday cnt]]=6,"Weekend",Append1[[#This Row],[weekday cnt]]&gt;0,"Weekday")</f>
        <v>Weekday</v>
      </c>
      <c r="B559" s="5">
        <v>6</v>
      </c>
      <c r="C559" s="5">
        <v>49</v>
      </c>
      <c r="D559" s="5">
        <v>55</v>
      </c>
    </row>
    <row r="560" spans="1:4" x14ac:dyDescent="0.3">
      <c r="A560" t="str" cm="1">
        <f t="array" ref="A560">_xlfn.IFS(Append1[[#This Row],[weekday cnt]]=0,"Weekend",Append1[[#This Row],[weekday cnt]]=6,"Weekend",Append1[[#This Row],[weekday cnt]]&gt;0,"Weekday")</f>
        <v>Weekday</v>
      </c>
      <c r="B560" s="4">
        <v>6</v>
      </c>
      <c r="C560" s="4">
        <v>55</v>
      </c>
      <c r="D560" s="4">
        <v>61</v>
      </c>
    </row>
    <row r="561" spans="1:4" x14ac:dyDescent="0.3">
      <c r="A561" t="str" cm="1">
        <f t="array" ref="A561">_xlfn.IFS(Append1[[#This Row],[weekday cnt]]=0,"Weekend",Append1[[#This Row],[weekday cnt]]=6,"Weekend",Append1[[#This Row],[weekday cnt]]&gt;0,"Weekday")</f>
        <v>Weekday</v>
      </c>
      <c r="B561" s="5">
        <v>21</v>
      </c>
      <c r="C561" s="5">
        <v>85</v>
      </c>
      <c r="D561" s="5">
        <v>106</v>
      </c>
    </row>
    <row r="562" spans="1:4" x14ac:dyDescent="0.3">
      <c r="A562" t="str" cm="1">
        <f t="array" ref="A562">_xlfn.IFS(Append1[[#This Row],[weekday cnt]]=0,"Weekend",Append1[[#This Row],[weekday cnt]]=6,"Weekend",Append1[[#This Row],[weekday cnt]]&gt;0,"Weekday")</f>
        <v>Weekday</v>
      </c>
      <c r="B562" s="4">
        <v>21</v>
      </c>
      <c r="C562" s="4">
        <v>72</v>
      </c>
      <c r="D562" s="4">
        <v>93</v>
      </c>
    </row>
    <row r="563" spans="1:4" x14ac:dyDescent="0.3">
      <c r="A563" t="str" cm="1">
        <f t="array" ref="A563">_xlfn.IFS(Append1[[#This Row],[weekday cnt]]=0,"Weekend",Append1[[#This Row],[weekday cnt]]=6,"Weekend",Append1[[#This Row],[weekday cnt]]&gt;0,"Weekday")</f>
        <v>Weekday</v>
      </c>
      <c r="B563" s="5">
        <v>11</v>
      </c>
      <c r="C563" s="5">
        <v>57</v>
      </c>
      <c r="D563" s="5">
        <v>68</v>
      </c>
    </row>
    <row r="564" spans="1:4" x14ac:dyDescent="0.3">
      <c r="A564" t="str" cm="1">
        <f t="array" ref="A564">_xlfn.IFS(Append1[[#This Row],[weekday cnt]]=0,"Weekend",Append1[[#This Row],[weekday cnt]]=6,"Weekend",Append1[[#This Row],[weekday cnt]]&gt;0,"Weekday")</f>
        <v>Weekday</v>
      </c>
      <c r="B564" s="4">
        <v>21</v>
      </c>
      <c r="C564" s="4">
        <v>63</v>
      </c>
      <c r="D564" s="4">
        <v>84</v>
      </c>
    </row>
    <row r="565" spans="1:4" x14ac:dyDescent="0.3">
      <c r="A565" t="str" cm="1">
        <f t="array" ref="A565">_xlfn.IFS(Append1[[#This Row],[weekday cnt]]=0,"Weekend",Append1[[#This Row],[weekday cnt]]=6,"Weekend",Append1[[#This Row],[weekday cnt]]&gt;0,"Weekday")</f>
        <v>Weekday</v>
      </c>
      <c r="B565" s="5">
        <v>14</v>
      </c>
      <c r="C565" s="5">
        <v>102</v>
      </c>
      <c r="D565" s="5">
        <v>116</v>
      </c>
    </row>
    <row r="566" spans="1:4" x14ac:dyDescent="0.3">
      <c r="A566" t="str" cm="1">
        <f t="array" ref="A566">_xlfn.IFS(Append1[[#This Row],[weekday cnt]]=0,"Weekend",Append1[[#This Row],[weekday cnt]]=6,"Weekend",Append1[[#This Row],[weekday cnt]]&gt;0,"Weekday")</f>
        <v>Weekday</v>
      </c>
      <c r="B566" s="4">
        <v>14</v>
      </c>
      <c r="C566" s="4">
        <v>208</v>
      </c>
      <c r="D566" s="4">
        <v>222</v>
      </c>
    </row>
    <row r="567" spans="1:4" x14ac:dyDescent="0.3">
      <c r="A567" t="str" cm="1">
        <f t="array" ref="A567">_xlfn.IFS(Append1[[#This Row],[weekday cnt]]=0,"Weekend",Append1[[#This Row],[weekday cnt]]=6,"Weekend",Append1[[#This Row],[weekday cnt]]&gt;0,"Weekday")</f>
        <v>Weekday</v>
      </c>
      <c r="B567" s="5">
        <v>7</v>
      </c>
      <c r="C567" s="5">
        <v>218</v>
      </c>
      <c r="D567" s="5">
        <v>225</v>
      </c>
    </row>
    <row r="568" spans="1:4" x14ac:dyDescent="0.3">
      <c r="A568" t="str" cm="1">
        <f t="array" ref="A568">_xlfn.IFS(Append1[[#This Row],[weekday cnt]]=0,"Weekend",Append1[[#This Row],[weekday cnt]]=6,"Weekend",Append1[[#This Row],[weekday cnt]]&gt;0,"Weekday")</f>
        <v>Weekday</v>
      </c>
      <c r="B568" s="4">
        <v>13</v>
      </c>
      <c r="C568" s="4">
        <v>133</v>
      </c>
      <c r="D568" s="4">
        <v>146</v>
      </c>
    </row>
    <row r="569" spans="1:4" x14ac:dyDescent="0.3">
      <c r="A569" t="str" cm="1">
        <f t="array" ref="A569">_xlfn.IFS(Append1[[#This Row],[weekday cnt]]=0,"Weekend",Append1[[#This Row],[weekday cnt]]=6,"Weekend",Append1[[#This Row],[weekday cnt]]&gt;0,"Weekday")</f>
        <v>Weekday</v>
      </c>
      <c r="B569" s="5">
        <v>16</v>
      </c>
      <c r="C569" s="5">
        <v>103</v>
      </c>
      <c r="D569" s="5">
        <v>119</v>
      </c>
    </row>
    <row r="570" spans="1:4" x14ac:dyDescent="0.3">
      <c r="A570" t="str" cm="1">
        <f t="array" ref="A570">_xlfn.IFS(Append1[[#This Row],[weekday cnt]]=0,"Weekend",Append1[[#This Row],[weekday cnt]]=6,"Weekend",Append1[[#This Row],[weekday cnt]]&gt;0,"Weekday")</f>
        <v>Weekday</v>
      </c>
      <c r="B570" s="4">
        <v>5</v>
      </c>
      <c r="C570" s="4">
        <v>40</v>
      </c>
      <c r="D570" s="4">
        <v>45</v>
      </c>
    </row>
    <row r="571" spans="1:4" x14ac:dyDescent="0.3">
      <c r="A571" t="str" cm="1">
        <f t="array" ref="A571">_xlfn.IFS(Append1[[#This Row],[weekday cnt]]=0,"Weekend",Append1[[#This Row],[weekday cnt]]=6,"Weekend",Append1[[#This Row],[weekday cnt]]&gt;0,"Weekday")</f>
        <v>Weekday</v>
      </c>
      <c r="B571" s="5">
        <v>4</v>
      </c>
      <c r="C571" s="5">
        <v>49</v>
      </c>
      <c r="D571" s="5">
        <v>53</v>
      </c>
    </row>
    <row r="572" spans="1:4" x14ac:dyDescent="0.3">
      <c r="A572" t="str" cm="1">
        <f t="array" ref="A572">_xlfn.IFS(Append1[[#This Row],[weekday cnt]]=0,"Weekend",Append1[[#This Row],[weekday cnt]]=6,"Weekend",Append1[[#This Row],[weekday cnt]]&gt;0,"Weekday")</f>
        <v>Weekday</v>
      </c>
      <c r="B572" s="4">
        <v>3</v>
      </c>
      <c r="C572" s="4">
        <v>37</v>
      </c>
      <c r="D572" s="4">
        <v>40</v>
      </c>
    </row>
    <row r="573" spans="1:4" x14ac:dyDescent="0.3">
      <c r="A573" t="str" cm="1">
        <f t="array" ref="A573">_xlfn.IFS(Append1[[#This Row],[weekday cnt]]=0,"Weekend",Append1[[#This Row],[weekday cnt]]=6,"Weekend",Append1[[#This Row],[weekday cnt]]&gt;0,"Weekday")</f>
        <v>Weekday</v>
      </c>
      <c r="B573" s="5">
        <v>3</v>
      </c>
      <c r="C573" s="5">
        <v>14</v>
      </c>
      <c r="D573" s="5">
        <v>17</v>
      </c>
    </row>
    <row r="574" spans="1:4" x14ac:dyDescent="0.3">
      <c r="A574" t="str" cm="1">
        <f t="array" ref="A574">_xlfn.IFS(Append1[[#This Row],[weekday cnt]]=0,"Weekend",Append1[[#This Row],[weekday cnt]]=6,"Weekend",Append1[[#This Row],[weekday cnt]]&gt;0,"Weekday")</f>
        <v>Weekday</v>
      </c>
      <c r="B574" s="4">
        <v>0</v>
      </c>
      <c r="C574" s="4">
        <v>5</v>
      </c>
      <c r="D574" s="4">
        <v>5</v>
      </c>
    </row>
    <row r="575" spans="1:4" x14ac:dyDescent="0.3">
      <c r="A575" t="str" cm="1">
        <f t="array" ref="A575">_xlfn.IFS(Append1[[#This Row],[weekday cnt]]=0,"Weekend",Append1[[#This Row],[weekday cnt]]=6,"Weekend",Append1[[#This Row],[weekday cnt]]&gt;0,"Weekday")</f>
        <v>Weekday</v>
      </c>
      <c r="B575" s="5">
        <v>3</v>
      </c>
      <c r="C575" s="5">
        <v>7</v>
      </c>
      <c r="D575" s="5">
        <v>10</v>
      </c>
    </row>
    <row r="576" spans="1:4" x14ac:dyDescent="0.3">
      <c r="A576" t="str" cm="1">
        <f t="array" ref="A576">_xlfn.IFS(Append1[[#This Row],[weekday cnt]]=0,"Weekend",Append1[[#This Row],[weekday cnt]]=6,"Weekend",Append1[[#This Row],[weekday cnt]]&gt;0,"Weekday")</f>
        <v>Weekday</v>
      </c>
      <c r="B576" s="4">
        <v>0</v>
      </c>
      <c r="C576" s="4">
        <v>1</v>
      </c>
      <c r="D576" s="4">
        <v>1</v>
      </c>
    </row>
    <row r="577" spans="1:4" x14ac:dyDescent="0.3">
      <c r="A577" t="str" cm="1">
        <f t="array" ref="A577">_xlfn.IFS(Append1[[#This Row],[weekday cnt]]=0,"Weekend",Append1[[#This Row],[weekday cnt]]=6,"Weekend",Append1[[#This Row],[weekday cnt]]&gt;0,"Weekday")</f>
        <v>Weekday</v>
      </c>
      <c r="B577" s="5">
        <v>0</v>
      </c>
      <c r="C577" s="5">
        <v>8</v>
      </c>
      <c r="D577" s="5">
        <v>8</v>
      </c>
    </row>
    <row r="578" spans="1:4" x14ac:dyDescent="0.3">
      <c r="A578" t="str" cm="1">
        <f t="array" ref="A578">_xlfn.IFS(Append1[[#This Row],[weekday cnt]]=0,"Weekend",Append1[[#This Row],[weekday cnt]]=6,"Weekend",Append1[[#This Row],[weekday cnt]]&gt;0,"Weekday")</f>
        <v>Weekday</v>
      </c>
      <c r="B578" s="4">
        <v>1</v>
      </c>
      <c r="C578" s="4">
        <v>29</v>
      </c>
      <c r="D578" s="4">
        <v>30</v>
      </c>
    </row>
    <row r="579" spans="1:4" x14ac:dyDescent="0.3">
      <c r="A579" t="str" cm="1">
        <f t="array" ref="A579">_xlfn.IFS(Append1[[#This Row],[weekday cnt]]=0,"Weekend",Append1[[#This Row],[weekday cnt]]=6,"Weekend",Append1[[#This Row],[weekday cnt]]&gt;0,"Weekday")</f>
        <v>Weekday</v>
      </c>
      <c r="B579" s="5">
        <v>3</v>
      </c>
      <c r="C579" s="5">
        <v>69</v>
      </c>
      <c r="D579" s="5">
        <v>72</v>
      </c>
    </row>
    <row r="580" spans="1:4" x14ac:dyDescent="0.3">
      <c r="A580" t="str" cm="1">
        <f t="array" ref="A580">_xlfn.IFS(Append1[[#This Row],[weekday cnt]]=0,"Weekend",Append1[[#This Row],[weekday cnt]]=6,"Weekend",Append1[[#This Row],[weekday cnt]]&gt;0,"Weekday")</f>
        <v>Weekday</v>
      </c>
      <c r="B580" s="4">
        <v>3</v>
      </c>
      <c r="C580" s="4">
        <v>55</v>
      </c>
      <c r="D580" s="4">
        <v>58</v>
      </c>
    </row>
    <row r="581" spans="1:4" x14ac:dyDescent="0.3">
      <c r="A581" t="str" cm="1">
        <f t="array" ref="A581">_xlfn.IFS(Append1[[#This Row],[weekday cnt]]=0,"Weekend",Append1[[#This Row],[weekday cnt]]=6,"Weekend",Append1[[#This Row],[weekday cnt]]&gt;0,"Weekday")</f>
        <v>Weekday</v>
      </c>
      <c r="B581" s="5">
        <v>2</v>
      </c>
      <c r="C581" s="5">
        <v>26</v>
      </c>
      <c r="D581" s="5">
        <v>28</v>
      </c>
    </row>
    <row r="582" spans="1:4" x14ac:dyDescent="0.3">
      <c r="A582" t="str" cm="1">
        <f t="array" ref="A582">_xlfn.IFS(Append1[[#This Row],[weekday cnt]]=0,"Weekend",Append1[[#This Row],[weekday cnt]]=6,"Weekend",Append1[[#This Row],[weekday cnt]]&gt;0,"Weekday")</f>
        <v>Weekday</v>
      </c>
      <c r="B582" s="4">
        <v>6</v>
      </c>
      <c r="C582" s="4">
        <v>35</v>
      </c>
      <c r="D582" s="4">
        <v>41</v>
      </c>
    </row>
    <row r="583" spans="1:4" x14ac:dyDescent="0.3">
      <c r="A583" t="str" cm="1">
        <f t="array" ref="A583">_xlfn.IFS(Append1[[#This Row],[weekday cnt]]=0,"Weekend",Append1[[#This Row],[weekday cnt]]=6,"Weekend",Append1[[#This Row],[weekday cnt]]&gt;0,"Weekday")</f>
        <v>Weekday</v>
      </c>
      <c r="B583" s="5">
        <v>7</v>
      </c>
      <c r="C583" s="5">
        <v>41</v>
      </c>
      <c r="D583" s="5">
        <v>48</v>
      </c>
    </row>
    <row r="584" spans="1:4" x14ac:dyDescent="0.3">
      <c r="A584" t="str" cm="1">
        <f t="array" ref="A584">_xlfn.IFS(Append1[[#This Row],[weekday cnt]]=0,"Weekend",Append1[[#This Row],[weekday cnt]]=6,"Weekend",Append1[[#This Row],[weekday cnt]]&gt;0,"Weekday")</f>
        <v>Weekday</v>
      </c>
      <c r="B584" s="4">
        <v>4</v>
      </c>
      <c r="C584" s="4">
        <v>43</v>
      </c>
      <c r="D584" s="4">
        <v>47</v>
      </c>
    </row>
    <row r="585" spans="1:4" x14ac:dyDescent="0.3">
      <c r="A585" t="str" cm="1">
        <f t="array" ref="A585">_xlfn.IFS(Append1[[#This Row],[weekday cnt]]=0,"Weekend",Append1[[#This Row],[weekday cnt]]=6,"Weekend",Append1[[#This Row],[weekday cnt]]&gt;0,"Weekday")</f>
        <v>Weekday</v>
      </c>
      <c r="B585" s="5">
        <v>0</v>
      </c>
      <c r="C585" s="5">
        <v>36</v>
      </c>
      <c r="D585" s="5">
        <v>36</v>
      </c>
    </row>
    <row r="586" spans="1:4" x14ac:dyDescent="0.3">
      <c r="A586" t="str" cm="1">
        <f t="array" ref="A586">_xlfn.IFS(Append1[[#This Row],[weekday cnt]]=0,"Weekend",Append1[[#This Row],[weekday cnt]]=6,"Weekend",Append1[[#This Row],[weekday cnt]]&gt;0,"Weekday")</f>
        <v>Weekday</v>
      </c>
      <c r="B586" s="4">
        <v>1</v>
      </c>
      <c r="C586" s="4">
        <v>42</v>
      </c>
      <c r="D586" s="4">
        <v>43</v>
      </c>
    </row>
    <row r="587" spans="1:4" x14ac:dyDescent="0.3">
      <c r="A587" t="str" cm="1">
        <f t="array" ref="A587">_xlfn.IFS(Append1[[#This Row],[weekday cnt]]=0,"Weekend",Append1[[#This Row],[weekday cnt]]=6,"Weekend",Append1[[#This Row],[weekday cnt]]&gt;0,"Weekday")</f>
        <v>Weekday</v>
      </c>
      <c r="B587" s="5">
        <v>1</v>
      </c>
      <c r="C587" s="5">
        <v>35</v>
      </c>
      <c r="D587" s="5">
        <v>36</v>
      </c>
    </row>
    <row r="588" spans="1:4" x14ac:dyDescent="0.3">
      <c r="A588" t="str" cm="1">
        <f t="array" ref="A588">_xlfn.IFS(Append1[[#This Row],[weekday cnt]]=0,"Weekend",Append1[[#This Row],[weekday cnt]]=6,"Weekend",Append1[[#This Row],[weekday cnt]]&gt;0,"Weekday")</f>
        <v>Weekday</v>
      </c>
      <c r="B588" s="4">
        <v>0</v>
      </c>
      <c r="C588" s="4">
        <v>26</v>
      </c>
      <c r="D588" s="4">
        <v>26</v>
      </c>
    </row>
    <row r="589" spans="1:4" x14ac:dyDescent="0.3">
      <c r="A589" t="str" cm="1">
        <f t="array" ref="A589">_xlfn.IFS(Append1[[#This Row],[weekday cnt]]=0,"Weekend",Append1[[#This Row],[weekday cnt]]=6,"Weekend",Append1[[#This Row],[weekday cnt]]&gt;0,"Weekday")</f>
        <v>Weekday</v>
      </c>
      <c r="B589" s="5">
        <v>1</v>
      </c>
      <c r="C589" s="5">
        <v>23</v>
      </c>
      <c r="D589" s="5">
        <v>24</v>
      </c>
    </row>
    <row r="590" spans="1:4" x14ac:dyDescent="0.3">
      <c r="A590" t="str" cm="1">
        <f t="array" ref="A590">_xlfn.IFS(Append1[[#This Row],[weekday cnt]]=0,"Weekend",Append1[[#This Row],[weekday cnt]]=6,"Weekend",Append1[[#This Row],[weekday cnt]]&gt;0,"Weekday")</f>
        <v>Weekday</v>
      </c>
      <c r="B590" s="4">
        <v>2</v>
      </c>
      <c r="C590" s="4">
        <v>82</v>
      </c>
      <c r="D590" s="4">
        <v>84</v>
      </c>
    </row>
    <row r="591" spans="1:4" x14ac:dyDescent="0.3">
      <c r="A591" t="str" cm="1">
        <f t="array" ref="A591">_xlfn.IFS(Append1[[#This Row],[weekday cnt]]=0,"Weekend",Append1[[#This Row],[weekday cnt]]=6,"Weekend",Append1[[#This Row],[weekday cnt]]&gt;0,"Weekday")</f>
        <v>Weekday</v>
      </c>
      <c r="B591" s="5">
        <v>3</v>
      </c>
      <c r="C591" s="5">
        <v>101</v>
      </c>
      <c r="D591" s="5">
        <v>104</v>
      </c>
    </row>
    <row r="592" spans="1:4" x14ac:dyDescent="0.3">
      <c r="A592" t="str" cm="1">
        <f t="array" ref="A592">_xlfn.IFS(Append1[[#This Row],[weekday cnt]]=0,"Weekend",Append1[[#This Row],[weekday cnt]]=6,"Weekend",Append1[[#This Row],[weekday cnt]]&gt;0,"Weekday")</f>
        <v>Weekday</v>
      </c>
      <c r="B592" s="4">
        <v>3</v>
      </c>
      <c r="C592" s="4">
        <v>76</v>
      </c>
      <c r="D592" s="4">
        <v>79</v>
      </c>
    </row>
    <row r="593" spans="1:4" x14ac:dyDescent="0.3">
      <c r="A593" t="str" cm="1">
        <f t="array" ref="A593">_xlfn.IFS(Append1[[#This Row],[weekday cnt]]=0,"Weekend",Append1[[#This Row],[weekday cnt]]=6,"Weekend",Append1[[#This Row],[weekday cnt]]&gt;0,"Weekday")</f>
        <v>Weekday</v>
      </c>
      <c r="B593" s="5">
        <v>4</v>
      </c>
      <c r="C593" s="5">
        <v>55</v>
      </c>
      <c r="D593" s="5">
        <v>59</v>
      </c>
    </row>
    <row r="594" spans="1:4" x14ac:dyDescent="0.3">
      <c r="A594" t="str" cm="1">
        <f t="array" ref="A594">_xlfn.IFS(Append1[[#This Row],[weekday cnt]]=0,"Weekend",Append1[[#This Row],[weekday cnt]]=6,"Weekend",Append1[[#This Row],[weekday cnt]]&gt;0,"Weekday")</f>
        <v>Weekday</v>
      </c>
      <c r="B594" s="4">
        <v>2</v>
      </c>
      <c r="C594" s="4">
        <v>36</v>
      </c>
      <c r="D594" s="4">
        <v>38</v>
      </c>
    </row>
    <row r="595" spans="1:4" x14ac:dyDescent="0.3">
      <c r="A595" t="str" cm="1">
        <f t="array" ref="A595">_xlfn.IFS(Append1[[#This Row],[weekday cnt]]=0,"Weekend",Append1[[#This Row],[weekday cnt]]=6,"Weekend",Append1[[#This Row],[weekday cnt]]&gt;0,"Weekday")</f>
        <v>Weekday</v>
      </c>
      <c r="B595" s="5">
        <v>0</v>
      </c>
      <c r="C595" s="5">
        <v>27</v>
      </c>
      <c r="D595" s="5">
        <v>27</v>
      </c>
    </row>
    <row r="596" spans="1:4" x14ac:dyDescent="0.3">
      <c r="A596" t="str" cm="1">
        <f t="array" ref="A596">_xlfn.IFS(Append1[[#This Row],[weekday cnt]]=0,"Weekend",Append1[[#This Row],[weekday cnt]]=6,"Weekend",Append1[[#This Row],[weekday cnt]]&gt;0,"Weekday")</f>
        <v>Weekday</v>
      </c>
      <c r="B596" s="4">
        <v>0</v>
      </c>
      <c r="C596" s="4">
        <v>16</v>
      </c>
      <c r="D596" s="4">
        <v>16</v>
      </c>
    </row>
    <row r="597" spans="1:4" x14ac:dyDescent="0.3">
      <c r="A597" t="str" cm="1">
        <f t="array" ref="A597">_xlfn.IFS(Append1[[#This Row],[weekday cnt]]=0,"Weekend",Append1[[#This Row],[weekday cnt]]=6,"Weekend",Append1[[#This Row],[weekday cnt]]&gt;0,"Weekday")</f>
        <v>Weekday</v>
      </c>
      <c r="B597" s="5">
        <v>0</v>
      </c>
      <c r="C597" s="5">
        <v>9</v>
      </c>
      <c r="D597" s="5">
        <v>9</v>
      </c>
    </row>
    <row r="598" spans="1:4" x14ac:dyDescent="0.3">
      <c r="A598" t="str" cm="1">
        <f t="array" ref="A598">_xlfn.IFS(Append1[[#This Row],[weekday cnt]]=0,"Weekend",Append1[[#This Row],[weekday cnt]]=6,"Weekend",Append1[[#This Row],[weekday cnt]]&gt;0,"Weekday")</f>
        <v>Weekday</v>
      </c>
      <c r="B598" s="4">
        <v>1</v>
      </c>
      <c r="C598" s="4">
        <v>2</v>
      </c>
      <c r="D598" s="4">
        <v>3</v>
      </c>
    </row>
    <row r="599" spans="1:4" x14ac:dyDescent="0.3">
      <c r="A599" t="str" cm="1">
        <f t="array" ref="A599">_xlfn.IFS(Append1[[#This Row],[weekday cnt]]=0,"Weekend",Append1[[#This Row],[weekday cnt]]=6,"Weekend",Append1[[#This Row],[weekday cnt]]&gt;0,"Weekday")</f>
        <v>Weekday</v>
      </c>
      <c r="B599" s="5">
        <v>0</v>
      </c>
      <c r="C599" s="5">
        <v>2</v>
      </c>
      <c r="D599" s="5">
        <v>2</v>
      </c>
    </row>
    <row r="600" spans="1:4" x14ac:dyDescent="0.3">
      <c r="A600" t="str" cm="1">
        <f t="array" ref="A600">_xlfn.IFS(Append1[[#This Row],[weekday cnt]]=0,"Weekend",Append1[[#This Row],[weekday cnt]]=6,"Weekend",Append1[[#This Row],[weekday cnt]]&gt;0,"Weekday")</f>
        <v>Weekday</v>
      </c>
      <c r="B600" s="4">
        <v>1</v>
      </c>
      <c r="C600" s="4">
        <v>0</v>
      </c>
      <c r="D600" s="4">
        <v>1</v>
      </c>
    </row>
    <row r="601" spans="1:4" x14ac:dyDescent="0.3">
      <c r="A601" t="str" cm="1">
        <f t="array" ref="A601">_xlfn.IFS(Append1[[#This Row],[weekday cnt]]=0,"Weekend",Append1[[#This Row],[weekday cnt]]=6,"Weekend",Append1[[#This Row],[weekday cnt]]&gt;0,"Weekday")</f>
        <v>Weekday</v>
      </c>
      <c r="B601" s="5">
        <v>0</v>
      </c>
      <c r="C601" s="5">
        <v>4</v>
      </c>
      <c r="D601" s="5">
        <v>4</v>
      </c>
    </row>
    <row r="602" spans="1:4" x14ac:dyDescent="0.3">
      <c r="A602" t="str" cm="1">
        <f t="array" ref="A602">_xlfn.IFS(Append1[[#This Row],[weekday cnt]]=0,"Weekend",Append1[[#This Row],[weekday cnt]]=6,"Weekend",Append1[[#This Row],[weekday cnt]]&gt;0,"Weekday")</f>
        <v>Weekday</v>
      </c>
      <c r="B602" s="4">
        <v>0</v>
      </c>
      <c r="C602" s="4">
        <v>16</v>
      </c>
      <c r="D602" s="4">
        <v>16</v>
      </c>
    </row>
    <row r="603" spans="1:4" x14ac:dyDescent="0.3">
      <c r="A603" t="str" cm="1">
        <f t="array" ref="A603">_xlfn.IFS(Append1[[#This Row],[weekday cnt]]=0,"Weekend",Append1[[#This Row],[weekday cnt]]=6,"Weekend",Append1[[#This Row],[weekday cnt]]&gt;0,"Weekday")</f>
        <v>Weekday</v>
      </c>
      <c r="B603" s="5">
        <v>2</v>
      </c>
      <c r="C603" s="5">
        <v>58</v>
      </c>
      <c r="D603" s="5">
        <v>60</v>
      </c>
    </row>
    <row r="604" spans="1:4" x14ac:dyDescent="0.3">
      <c r="A604" t="str" cm="1">
        <f t="array" ref="A604">_xlfn.IFS(Append1[[#This Row],[weekday cnt]]=0,"Weekend",Append1[[#This Row],[weekday cnt]]=6,"Weekend",Append1[[#This Row],[weekday cnt]]&gt;0,"Weekday")</f>
        <v>Weekday</v>
      </c>
      <c r="B604" s="4">
        <v>2</v>
      </c>
      <c r="C604" s="4">
        <v>155</v>
      </c>
      <c r="D604" s="4">
        <v>157</v>
      </c>
    </row>
    <row r="605" spans="1:4" x14ac:dyDescent="0.3">
      <c r="A605" t="str" cm="1">
        <f t="array" ref="A605">_xlfn.IFS(Append1[[#This Row],[weekday cnt]]=0,"Weekend",Append1[[#This Row],[weekday cnt]]=6,"Weekend",Append1[[#This Row],[weekday cnt]]&gt;0,"Weekday")</f>
        <v>Weekday</v>
      </c>
      <c r="B605" s="5">
        <v>6</v>
      </c>
      <c r="C605" s="5">
        <v>95</v>
      </c>
      <c r="D605" s="5">
        <v>101</v>
      </c>
    </row>
    <row r="606" spans="1:4" x14ac:dyDescent="0.3">
      <c r="A606" t="str" cm="1">
        <f t="array" ref="A606">_xlfn.IFS(Append1[[#This Row],[weekday cnt]]=0,"Weekend",Append1[[#This Row],[weekday cnt]]=6,"Weekend",Append1[[#This Row],[weekday cnt]]&gt;0,"Weekday")</f>
        <v>Weekday</v>
      </c>
      <c r="B606" s="4">
        <v>0</v>
      </c>
      <c r="C606" s="4">
        <v>49</v>
      </c>
      <c r="D606" s="4">
        <v>49</v>
      </c>
    </row>
    <row r="607" spans="1:4" x14ac:dyDescent="0.3">
      <c r="A607" t="str" cm="1">
        <f t="array" ref="A607">_xlfn.IFS(Append1[[#This Row],[weekday cnt]]=0,"Weekend",Append1[[#This Row],[weekday cnt]]=6,"Weekend",Append1[[#This Row],[weekday cnt]]&gt;0,"Weekday")</f>
        <v>Weekday</v>
      </c>
      <c r="B607" s="5">
        <v>0</v>
      </c>
      <c r="C607" s="5">
        <v>30</v>
      </c>
      <c r="D607" s="5">
        <v>30</v>
      </c>
    </row>
    <row r="608" spans="1:4" x14ac:dyDescent="0.3">
      <c r="A608" t="str" cm="1">
        <f t="array" ref="A608">_xlfn.IFS(Append1[[#This Row],[weekday cnt]]=0,"Weekend",Append1[[#This Row],[weekday cnt]]=6,"Weekend",Append1[[#This Row],[weekday cnt]]&gt;0,"Weekday")</f>
        <v>Weekday</v>
      </c>
      <c r="B608" s="4">
        <v>1</v>
      </c>
      <c r="C608" s="4">
        <v>28</v>
      </c>
      <c r="D608" s="4">
        <v>29</v>
      </c>
    </row>
    <row r="609" spans="1:4" x14ac:dyDescent="0.3">
      <c r="A609" t="str" cm="1">
        <f t="array" ref="A609">_xlfn.IFS(Append1[[#This Row],[weekday cnt]]=0,"Weekend",Append1[[#This Row],[weekday cnt]]=6,"Weekend",Append1[[#This Row],[weekday cnt]]&gt;0,"Weekday")</f>
        <v>Weekday</v>
      </c>
      <c r="B609" s="5">
        <v>0</v>
      </c>
      <c r="C609" s="5">
        <v>31</v>
      </c>
      <c r="D609" s="5">
        <v>31</v>
      </c>
    </row>
    <row r="610" spans="1:4" x14ac:dyDescent="0.3">
      <c r="A610" t="str" cm="1">
        <f t="array" ref="A610">_xlfn.IFS(Append1[[#This Row],[weekday cnt]]=0,"Weekend",Append1[[#This Row],[weekday cnt]]=6,"Weekend",Append1[[#This Row],[weekday cnt]]&gt;0,"Weekday")</f>
        <v>Weekday</v>
      </c>
      <c r="B610" s="4">
        <v>2</v>
      </c>
      <c r="C610" s="4">
        <v>36</v>
      </c>
      <c r="D610" s="4">
        <v>38</v>
      </c>
    </row>
    <row r="611" spans="1:4" x14ac:dyDescent="0.3">
      <c r="A611" t="str" cm="1">
        <f t="array" ref="A611">_xlfn.IFS(Append1[[#This Row],[weekday cnt]]=0,"Weekend",Append1[[#This Row],[weekday cnt]]=6,"Weekend",Append1[[#This Row],[weekday cnt]]&gt;0,"Weekday")</f>
        <v>Weekday</v>
      </c>
      <c r="B611" s="5">
        <v>1</v>
      </c>
      <c r="C611" s="5">
        <v>40</v>
      </c>
      <c r="D611" s="5">
        <v>41</v>
      </c>
    </row>
    <row r="612" spans="1:4" x14ac:dyDescent="0.3">
      <c r="A612" t="str" cm="1">
        <f t="array" ref="A612">_xlfn.IFS(Append1[[#This Row],[weekday cnt]]=0,"Weekend",Append1[[#This Row],[weekday cnt]]=6,"Weekend",Append1[[#This Row],[weekday cnt]]&gt;0,"Weekday")</f>
        <v>Weekday</v>
      </c>
      <c r="B612" s="4">
        <v>10</v>
      </c>
      <c r="C612" s="4">
        <v>70</v>
      </c>
      <c r="D612" s="4">
        <v>80</v>
      </c>
    </row>
    <row r="613" spans="1:4" x14ac:dyDescent="0.3">
      <c r="A613" t="str" cm="1">
        <f t="array" ref="A613">_xlfn.IFS(Append1[[#This Row],[weekday cnt]]=0,"Weekend",Append1[[#This Row],[weekday cnt]]=6,"Weekend",Append1[[#This Row],[weekday cnt]]&gt;0,"Weekday")</f>
        <v>Weekday</v>
      </c>
      <c r="B613" s="5">
        <v>2</v>
      </c>
      <c r="C613" s="5">
        <v>147</v>
      </c>
      <c r="D613" s="5">
        <v>149</v>
      </c>
    </row>
    <row r="614" spans="1:4" x14ac:dyDescent="0.3">
      <c r="A614" t="str" cm="1">
        <f t="array" ref="A614">_xlfn.IFS(Append1[[#This Row],[weekday cnt]]=0,"Weekend",Append1[[#This Row],[weekday cnt]]=6,"Weekend",Append1[[#This Row],[weekday cnt]]&gt;0,"Weekday")</f>
        <v>Weekday</v>
      </c>
      <c r="B614" s="4">
        <v>2</v>
      </c>
      <c r="C614" s="4">
        <v>107</v>
      </c>
      <c r="D614" s="4">
        <v>109</v>
      </c>
    </row>
    <row r="615" spans="1:4" x14ac:dyDescent="0.3">
      <c r="A615" t="str" cm="1">
        <f t="array" ref="A615">_xlfn.IFS(Append1[[#This Row],[weekday cnt]]=0,"Weekend",Append1[[#This Row],[weekday cnt]]=6,"Weekend",Append1[[#This Row],[weekday cnt]]&gt;0,"Weekday")</f>
        <v>Weekday</v>
      </c>
      <c r="B615" s="5">
        <v>5</v>
      </c>
      <c r="C615" s="5">
        <v>84</v>
      </c>
      <c r="D615" s="5">
        <v>89</v>
      </c>
    </row>
    <row r="616" spans="1:4" x14ac:dyDescent="0.3">
      <c r="A616" t="str" cm="1">
        <f t="array" ref="A616">_xlfn.IFS(Append1[[#This Row],[weekday cnt]]=0,"Weekend",Append1[[#This Row],[weekday cnt]]=6,"Weekend",Append1[[#This Row],[weekday cnt]]&gt;0,"Weekday")</f>
        <v>Weekday</v>
      </c>
      <c r="B616" s="4">
        <v>1</v>
      </c>
      <c r="C616" s="4">
        <v>61</v>
      </c>
      <c r="D616" s="4">
        <v>62</v>
      </c>
    </row>
    <row r="617" spans="1:4" x14ac:dyDescent="0.3">
      <c r="A617" t="str" cm="1">
        <f t="array" ref="A617">_xlfn.IFS(Append1[[#This Row],[weekday cnt]]=0,"Weekend",Append1[[#This Row],[weekday cnt]]=6,"Weekend",Append1[[#This Row],[weekday cnt]]&gt;0,"Weekday")</f>
        <v>Weekday</v>
      </c>
      <c r="B617" s="5">
        <v>1</v>
      </c>
      <c r="C617" s="5">
        <v>57</v>
      </c>
      <c r="D617" s="5">
        <v>58</v>
      </c>
    </row>
    <row r="618" spans="1:4" x14ac:dyDescent="0.3">
      <c r="A618" t="str" cm="1">
        <f t="array" ref="A618">_xlfn.IFS(Append1[[#This Row],[weekday cnt]]=0,"Weekend",Append1[[#This Row],[weekday cnt]]=6,"Weekend",Append1[[#This Row],[weekday cnt]]&gt;0,"Weekday")</f>
        <v>Weekday</v>
      </c>
      <c r="B618" s="4">
        <v>0</v>
      </c>
      <c r="C618" s="4">
        <v>26</v>
      </c>
      <c r="D618" s="4">
        <v>26</v>
      </c>
    </row>
    <row r="619" spans="1:4" x14ac:dyDescent="0.3">
      <c r="A619" t="str" cm="1">
        <f t="array" ref="A619">_xlfn.IFS(Append1[[#This Row],[weekday cnt]]=0,"Weekend",Append1[[#This Row],[weekday cnt]]=6,"Weekend",Append1[[#This Row],[weekday cnt]]&gt;0,"Weekday")</f>
        <v>Weekday</v>
      </c>
      <c r="B619" s="5">
        <v>1</v>
      </c>
      <c r="C619" s="5">
        <v>22</v>
      </c>
      <c r="D619" s="5">
        <v>23</v>
      </c>
    </row>
    <row r="620" spans="1:4" x14ac:dyDescent="0.3">
      <c r="A620" t="str" cm="1">
        <f t="array" ref="A620">_xlfn.IFS(Append1[[#This Row],[weekday cnt]]=0,"Weekend",Append1[[#This Row],[weekday cnt]]=6,"Weekend",Append1[[#This Row],[weekday cnt]]&gt;0,"Weekday")</f>
        <v>Weekend</v>
      </c>
      <c r="B620" s="4">
        <v>2</v>
      </c>
      <c r="C620" s="4">
        <v>26</v>
      </c>
      <c r="D620" s="4">
        <v>28</v>
      </c>
    </row>
    <row r="621" spans="1:4" x14ac:dyDescent="0.3">
      <c r="A621" t="str" cm="1">
        <f t="array" ref="A621">_xlfn.IFS(Append1[[#This Row],[weekday cnt]]=0,"Weekend",Append1[[#This Row],[weekday cnt]]=6,"Weekend",Append1[[#This Row],[weekday cnt]]&gt;0,"Weekday")</f>
        <v>Weekend</v>
      </c>
      <c r="B621" s="5">
        <v>0</v>
      </c>
      <c r="C621" s="5">
        <v>20</v>
      </c>
      <c r="D621" s="5">
        <v>20</v>
      </c>
    </row>
    <row r="622" spans="1:4" x14ac:dyDescent="0.3">
      <c r="A622" t="str" cm="1">
        <f t="array" ref="A622">_xlfn.IFS(Append1[[#This Row],[weekday cnt]]=0,"Weekend",Append1[[#This Row],[weekday cnt]]=6,"Weekend",Append1[[#This Row],[weekday cnt]]&gt;0,"Weekday")</f>
        <v>Weekend</v>
      </c>
      <c r="B622" s="4">
        <v>0</v>
      </c>
      <c r="C622" s="4">
        <v>15</v>
      </c>
      <c r="D622" s="4">
        <v>15</v>
      </c>
    </row>
    <row r="623" spans="1:4" x14ac:dyDescent="0.3">
      <c r="A623" t="str" cm="1">
        <f t="array" ref="A623">_xlfn.IFS(Append1[[#This Row],[weekday cnt]]=0,"Weekend",Append1[[#This Row],[weekday cnt]]=6,"Weekend",Append1[[#This Row],[weekday cnt]]&gt;0,"Weekday")</f>
        <v>Weekend</v>
      </c>
      <c r="B623" s="5">
        <v>3</v>
      </c>
      <c r="C623" s="5">
        <v>5</v>
      </c>
      <c r="D623" s="5">
        <v>8</v>
      </c>
    </row>
    <row r="624" spans="1:4" x14ac:dyDescent="0.3">
      <c r="A624" t="str" cm="1">
        <f t="array" ref="A624">_xlfn.IFS(Append1[[#This Row],[weekday cnt]]=0,"Weekend",Append1[[#This Row],[weekday cnt]]=6,"Weekend",Append1[[#This Row],[weekday cnt]]&gt;0,"Weekday")</f>
        <v>Weekend</v>
      </c>
      <c r="B624" s="4">
        <v>1</v>
      </c>
      <c r="C624" s="4">
        <v>2</v>
      </c>
      <c r="D624" s="4">
        <v>3</v>
      </c>
    </row>
    <row r="625" spans="1:4" x14ac:dyDescent="0.3">
      <c r="A625" t="str" cm="1">
        <f t="array" ref="A625">_xlfn.IFS(Append1[[#This Row],[weekday cnt]]=0,"Weekend",Append1[[#This Row],[weekday cnt]]=6,"Weekend",Append1[[#This Row],[weekday cnt]]&gt;0,"Weekday")</f>
        <v>Weekend</v>
      </c>
      <c r="B625" s="5">
        <v>0</v>
      </c>
      <c r="C625" s="5">
        <v>2</v>
      </c>
      <c r="D625" s="5">
        <v>2</v>
      </c>
    </row>
    <row r="626" spans="1:4" x14ac:dyDescent="0.3">
      <c r="A626" t="str" cm="1">
        <f t="array" ref="A626">_xlfn.IFS(Append1[[#This Row],[weekday cnt]]=0,"Weekend",Append1[[#This Row],[weekday cnt]]=6,"Weekend",Append1[[#This Row],[weekday cnt]]&gt;0,"Weekday")</f>
        <v>Weekend</v>
      </c>
      <c r="B626" s="4">
        <v>1</v>
      </c>
      <c r="C626" s="4">
        <v>4</v>
      </c>
      <c r="D626" s="4">
        <v>5</v>
      </c>
    </row>
    <row r="627" spans="1:4" x14ac:dyDescent="0.3">
      <c r="A627" t="str" cm="1">
        <f t="array" ref="A627">_xlfn.IFS(Append1[[#This Row],[weekday cnt]]=0,"Weekend",Append1[[#This Row],[weekday cnt]]=6,"Weekend",Append1[[#This Row],[weekday cnt]]&gt;0,"Weekday")</f>
        <v>Weekend</v>
      </c>
      <c r="B627" s="5">
        <v>3</v>
      </c>
      <c r="C627" s="5">
        <v>31</v>
      </c>
      <c r="D627" s="5">
        <v>34</v>
      </c>
    </row>
    <row r="628" spans="1:4" x14ac:dyDescent="0.3">
      <c r="A628" t="str" cm="1">
        <f t="array" ref="A628">_xlfn.IFS(Append1[[#This Row],[weekday cnt]]=0,"Weekend",Append1[[#This Row],[weekday cnt]]=6,"Weekend",Append1[[#This Row],[weekday cnt]]&gt;0,"Weekday")</f>
        <v>Weekend</v>
      </c>
      <c r="B628" s="4">
        <v>0</v>
      </c>
      <c r="C628" s="4">
        <v>34</v>
      </c>
      <c r="D628" s="4">
        <v>34</v>
      </c>
    </row>
    <row r="629" spans="1:4" x14ac:dyDescent="0.3">
      <c r="A629" t="str" cm="1">
        <f t="array" ref="A629">_xlfn.IFS(Append1[[#This Row],[weekday cnt]]=0,"Weekend",Append1[[#This Row],[weekday cnt]]=6,"Weekend",Append1[[#This Row],[weekday cnt]]&gt;0,"Weekday")</f>
        <v>Weekend</v>
      </c>
      <c r="B629" s="5">
        <v>4</v>
      </c>
      <c r="C629" s="5">
        <v>51</v>
      </c>
      <c r="D629" s="5">
        <v>55</v>
      </c>
    </row>
    <row r="630" spans="1:4" x14ac:dyDescent="0.3">
      <c r="A630" t="str" cm="1">
        <f t="array" ref="A630">_xlfn.IFS(Append1[[#This Row],[weekday cnt]]=0,"Weekend",Append1[[#This Row],[weekday cnt]]=6,"Weekend",Append1[[#This Row],[weekday cnt]]&gt;0,"Weekday")</f>
        <v>Weekend</v>
      </c>
      <c r="B630" s="4">
        <v>4</v>
      </c>
      <c r="C630" s="4">
        <v>60</v>
      </c>
      <c r="D630" s="4">
        <v>64</v>
      </c>
    </row>
    <row r="631" spans="1:4" x14ac:dyDescent="0.3">
      <c r="A631" t="str" cm="1">
        <f t="array" ref="A631">_xlfn.IFS(Append1[[#This Row],[weekday cnt]]=0,"Weekend",Append1[[#This Row],[weekday cnt]]=6,"Weekend",Append1[[#This Row],[weekday cnt]]&gt;0,"Weekday")</f>
        <v>Weekend</v>
      </c>
      <c r="B631" s="5">
        <v>12</v>
      </c>
      <c r="C631" s="5">
        <v>66</v>
      </c>
      <c r="D631" s="5">
        <v>78</v>
      </c>
    </row>
    <row r="632" spans="1:4" x14ac:dyDescent="0.3">
      <c r="A632" t="str" cm="1">
        <f t="array" ref="A632">_xlfn.IFS(Append1[[#This Row],[weekday cnt]]=0,"Weekend",Append1[[#This Row],[weekday cnt]]=6,"Weekend",Append1[[#This Row],[weekday cnt]]&gt;0,"Weekday")</f>
        <v>Weekend</v>
      </c>
      <c r="B632" s="4">
        <v>9</v>
      </c>
      <c r="C632" s="4">
        <v>56</v>
      </c>
      <c r="D632" s="4">
        <v>65</v>
      </c>
    </row>
    <row r="633" spans="1:4" x14ac:dyDescent="0.3">
      <c r="A633" t="str" cm="1">
        <f t="array" ref="A633">_xlfn.IFS(Append1[[#This Row],[weekday cnt]]=0,"Weekend",Append1[[#This Row],[weekday cnt]]=6,"Weekend",Append1[[#This Row],[weekday cnt]]&gt;0,"Weekday")</f>
        <v>Weekend</v>
      </c>
      <c r="B633" s="5">
        <v>10</v>
      </c>
      <c r="C633" s="5">
        <v>89</v>
      </c>
      <c r="D633" s="5">
        <v>99</v>
      </c>
    </row>
    <row r="634" spans="1:4" x14ac:dyDescent="0.3">
      <c r="A634" t="str" cm="1">
        <f t="array" ref="A634">_xlfn.IFS(Append1[[#This Row],[weekday cnt]]=0,"Weekend",Append1[[#This Row],[weekday cnt]]=6,"Weekend",Append1[[#This Row],[weekday cnt]]&gt;0,"Weekday")</f>
        <v>Weekend</v>
      </c>
      <c r="B634" s="4">
        <v>22</v>
      </c>
      <c r="C634" s="4">
        <v>98</v>
      </c>
      <c r="D634" s="4">
        <v>120</v>
      </c>
    </row>
    <row r="635" spans="1:4" x14ac:dyDescent="0.3">
      <c r="A635" t="str" cm="1">
        <f t="array" ref="A635">_xlfn.IFS(Append1[[#This Row],[weekday cnt]]=0,"Weekend",Append1[[#This Row],[weekday cnt]]=6,"Weekend",Append1[[#This Row],[weekday cnt]]&gt;0,"Weekday")</f>
        <v>Weekend</v>
      </c>
      <c r="B635" s="5">
        <v>19</v>
      </c>
      <c r="C635" s="5">
        <v>88</v>
      </c>
      <c r="D635" s="5">
        <v>107</v>
      </c>
    </row>
    <row r="636" spans="1:4" x14ac:dyDescent="0.3">
      <c r="A636" t="str" cm="1">
        <f t="array" ref="A636">_xlfn.IFS(Append1[[#This Row],[weekday cnt]]=0,"Weekend",Append1[[#This Row],[weekday cnt]]=6,"Weekend",Append1[[#This Row],[weekday cnt]]&gt;0,"Weekday")</f>
        <v>Weekend</v>
      </c>
      <c r="B636" s="4">
        <v>9</v>
      </c>
      <c r="C636" s="4">
        <v>82</v>
      </c>
      <c r="D636" s="4">
        <v>91</v>
      </c>
    </row>
    <row r="637" spans="1:4" x14ac:dyDescent="0.3">
      <c r="A637" t="str" cm="1">
        <f t="array" ref="A637">_xlfn.IFS(Append1[[#This Row],[weekday cnt]]=0,"Weekend",Append1[[#This Row],[weekday cnt]]=6,"Weekend",Append1[[#This Row],[weekday cnt]]&gt;0,"Weekday")</f>
        <v>Weekend</v>
      </c>
      <c r="B637" s="5">
        <v>9</v>
      </c>
      <c r="C637" s="5">
        <v>59</v>
      </c>
      <c r="D637" s="5">
        <v>68</v>
      </c>
    </row>
    <row r="638" spans="1:4" x14ac:dyDescent="0.3">
      <c r="A638" t="str" cm="1">
        <f t="array" ref="A638">_xlfn.IFS(Append1[[#This Row],[weekday cnt]]=0,"Weekend",Append1[[#This Row],[weekday cnt]]=6,"Weekend",Append1[[#This Row],[weekday cnt]]&gt;0,"Weekday")</f>
        <v>Weekend</v>
      </c>
      <c r="B638" s="4">
        <v>6</v>
      </c>
      <c r="C638" s="4">
        <v>52</v>
      </c>
      <c r="D638" s="4">
        <v>58</v>
      </c>
    </row>
    <row r="639" spans="1:4" x14ac:dyDescent="0.3">
      <c r="A639" t="str" cm="1">
        <f t="array" ref="A639">_xlfn.IFS(Append1[[#This Row],[weekday cnt]]=0,"Weekend",Append1[[#This Row],[weekday cnt]]=6,"Weekend",Append1[[#This Row],[weekday cnt]]&gt;0,"Weekday")</f>
        <v>Weekend</v>
      </c>
      <c r="B639" s="5">
        <v>1</v>
      </c>
      <c r="C639" s="5">
        <v>42</v>
      </c>
      <c r="D639" s="5">
        <v>43</v>
      </c>
    </row>
    <row r="640" spans="1:4" x14ac:dyDescent="0.3">
      <c r="A640" t="str" cm="1">
        <f t="array" ref="A640">_xlfn.IFS(Append1[[#This Row],[weekday cnt]]=0,"Weekend",Append1[[#This Row],[weekday cnt]]=6,"Weekend",Append1[[#This Row],[weekday cnt]]&gt;0,"Weekday")</f>
        <v>Weekend</v>
      </c>
      <c r="B640" s="4">
        <v>1</v>
      </c>
      <c r="C640" s="4">
        <v>35</v>
      </c>
      <c r="D640" s="4">
        <v>36</v>
      </c>
    </row>
    <row r="641" spans="1:4" x14ac:dyDescent="0.3">
      <c r="A641" t="str" cm="1">
        <f t="array" ref="A641">_xlfn.IFS(Append1[[#This Row],[weekday cnt]]=0,"Weekend",Append1[[#This Row],[weekday cnt]]=6,"Weekend",Append1[[#This Row],[weekday cnt]]&gt;0,"Weekday")</f>
        <v>Weekend</v>
      </c>
      <c r="B641" s="5">
        <v>4</v>
      </c>
      <c r="C641" s="5">
        <v>28</v>
      </c>
      <c r="D641" s="5">
        <v>32</v>
      </c>
    </row>
    <row r="642" spans="1:4" x14ac:dyDescent="0.3">
      <c r="A642" t="str" cm="1">
        <f t="array" ref="A642">_xlfn.IFS(Append1[[#This Row],[weekday cnt]]=0,"Weekend",Append1[[#This Row],[weekday cnt]]=6,"Weekend",Append1[[#This Row],[weekday cnt]]&gt;0,"Weekday")</f>
        <v>Weekend</v>
      </c>
      <c r="B642" s="4">
        <v>3</v>
      </c>
      <c r="C642" s="4">
        <v>30</v>
      </c>
      <c r="D642" s="4">
        <v>33</v>
      </c>
    </row>
    <row r="643" spans="1:4" x14ac:dyDescent="0.3">
      <c r="A643" t="str" cm="1">
        <f t="array" ref="A643">_xlfn.IFS(Append1[[#This Row],[weekday cnt]]=0,"Weekend",Append1[[#This Row],[weekday cnt]]=6,"Weekend",Append1[[#This Row],[weekday cnt]]&gt;0,"Weekday")</f>
        <v>Weekend</v>
      </c>
      <c r="B643" s="5">
        <v>0</v>
      </c>
      <c r="C643" s="5">
        <v>33</v>
      </c>
      <c r="D643" s="5">
        <v>33</v>
      </c>
    </row>
    <row r="644" spans="1:4" x14ac:dyDescent="0.3">
      <c r="A644" t="str" cm="1">
        <f t="array" ref="A644">_xlfn.IFS(Append1[[#This Row],[weekday cnt]]=0,"Weekend",Append1[[#This Row],[weekday cnt]]=6,"Weekend",Append1[[#This Row],[weekday cnt]]&gt;0,"Weekday")</f>
        <v>Weekend</v>
      </c>
      <c r="B644" s="4">
        <v>7</v>
      </c>
      <c r="C644" s="4">
        <v>22</v>
      </c>
      <c r="D644" s="4">
        <v>29</v>
      </c>
    </row>
    <row r="645" spans="1:4" x14ac:dyDescent="0.3">
      <c r="A645" t="str" cm="1">
        <f t="array" ref="A645">_xlfn.IFS(Append1[[#This Row],[weekday cnt]]=0,"Weekend",Append1[[#This Row],[weekday cnt]]=6,"Weekend",Append1[[#This Row],[weekday cnt]]&gt;0,"Weekday")</f>
        <v>Weekend</v>
      </c>
      <c r="B645" s="5">
        <v>1</v>
      </c>
      <c r="C645" s="5">
        <v>10</v>
      </c>
      <c r="D645" s="5">
        <v>11</v>
      </c>
    </row>
    <row r="646" spans="1:4" x14ac:dyDescent="0.3">
      <c r="A646" t="str" cm="1">
        <f t="array" ref="A646">_xlfn.IFS(Append1[[#This Row],[weekday cnt]]=0,"Weekend",Append1[[#This Row],[weekday cnt]]=6,"Weekend",Append1[[#This Row],[weekday cnt]]&gt;0,"Weekday")</f>
        <v>Weekend</v>
      </c>
      <c r="B646" s="4">
        <v>1</v>
      </c>
      <c r="C646" s="4">
        <v>7</v>
      </c>
      <c r="D646" s="4">
        <v>8</v>
      </c>
    </row>
    <row r="647" spans="1:4" x14ac:dyDescent="0.3">
      <c r="A647" t="str" cm="1">
        <f t="array" ref="A647">_xlfn.IFS(Append1[[#This Row],[weekday cnt]]=0,"Weekend",Append1[[#This Row],[weekday cnt]]=6,"Weekend",Append1[[#This Row],[weekday cnt]]&gt;0,"Weekday")</f>
        <v>Weekend</v>
      </c>
      <c r="B647" s="5">
        <v>0</v>
      </c>
      <c r="C647" s="5">
        <v>1</v>
      </c>
      <c r="D647" s="5">
        <v>1</v>
      </c>
    </row>
    <row r="648" spans="1:4" x14ac:dyDescent="0.3">
      <c r="A648" t="str" cm="1">
        <f t="array" ref="A648">_xlfn.IFS(Append1[[#This Row],[weekday cnt]]=0,"Weekend",Append1[[#This Row],[weekday cnt]]=6,"Weekend",Append1[[#This Row],[weekday cnt]]&gt;0,"Weekday")</f>
        <v>Weekend</v>
      </c>
      <c r="B648" s="4">
        <v>0</v>
      </c>
      <c r="C648" s="4">
        <v>3</v>
      </c>
      <c r="D648" s="4">
        <v>3</v>
      </c>
    </row>
    <row r="649" spans="1:4" x14ac:dyDescent="0.3">
      <c r="A649" t="str" cm="1">
        <f t="array" ref="A649">_xlfn.IFS(Append1[[#This Row],[weekday cnt]]=0,"Weekend",Append1[[#This Row],[weekday cnt]]=6,"Weekend",Append1[[#This Row],[weekday cnt]]&gt;0,"Weekday")</f>
        <v>Weekend</v>
      </c>
      <c r="B649" s="5">
        <v>0</v>
      </c>
      <c r="C649" s="5">
        <v>3</v>
      </c>
      <c r="D649" s="5">
        <v>3</v>
      </c>
    </row>
    <row r="650" spans="1:4" x14ac:dyDescent="0.3">
      <c r="A650" t="str" cm="1">
        <f t="array" ref="A650">_xlfn.IFS(Append1[[#This Row],[weekday cnt]]=0,"Weekend",Append1[[#This Row],[weekday cnt]]=6,"Weekend",Append1[[#This Row],[weekday cnt]]&gt;0,"Weekday")</f>
        <v>Weekend</v>
      </c>
      <c r="B650" s="4">
        <v>1</v>
      </c>
      <c r="C650" s="4">
        <v>11</v>
      </c>
      <c r="D650" s="4">
        <v>12</v>
      </c>
    </row>
    <row r="651" spans="1:4" x14ac:dyDescent="0.3">
      <c r="A651" t="str" cm="1">
        <f t="array" ref="A651">_xlfn.IFS(Append1[[#This Row],[weekday cnt]]=0,"Weekend",Append1[[#This Row],[weekday cnt]]=6,"Weekend",Append1[[#This Row],[weekday cnt]]&gt;0,"Weekday")</f>
        <v>Weekend</v>
      </c>
      <c r="B651" s="5">
        <v>4</v>
      </c>
      <c r="C651" s="5">
        <v>34</v>
      </c>
      <c r="D651" s="5">
        <v>38</v>
      </c>
    </row>
    <row r="652" spans="1:4" x14ac:dyDescent="0.3">
      <c r="A652" t="str" cm="1">
        <f t="array" ref="A652">_xlfn.IFS(Append1[[#This Row],[weekday cnt]]=0,"Weekend",Append1[[#This Row],[weekday cnt]]=6,"Weekend",Append1[[#This Row],[weekday cnt]]&gt;0,"Weekday")</f>
        <v>Weekend</v>
      </c>
      <c r="B652" s="4">
        <v>7</v>
      </c>
      <c r="C652" s="4">
        <v>57</v>
      </c>
      <c r="D652" s="4">
        <v>64</v>
      </c>
    </row>
    <row r="653" spans="1:4" x14ac:dyDescent="0.3">
      <c r="A653" t="str" cm="1">
        <f t="array" ref="A653">_xlfn.IFS(Append1[[#This Row],[weekday cnt]]=0,"Weekend",Append1[[#This Row],[weekday cnt]]=6,"Weekend",Append1[[#This Row],[weekday cnt]]&gt;0,"Weekday")</f>
        <v>Weekend</v>
      </c>
      <c r="B653" s="5">
        <v>9</v>
      </c>
      <c r="C653" s="5">
        <v>50</v>
      </c>
      <c r="D653" s="5">
        <v>59</v>
      </c>
    </row>
    <row r="654" spans="1:4" x14ac:dyDescent="0.3">
      <c r="A654" t="str" cm="1">
        <f t="array" ref="A654">_xlfn.IFS(Append1[[#This Row],[weekday cnt]]=0,"Weekend",Append1[[#This Row],[weekday cnt]]=6,"Weekend",Append1[[#This Row],[weekday cnt]]&gt;0,"Weekday")</f>
        <v>Weekend</v>
      </c>
      <c r="B654" s="4">
        <v>10</v>
      </c>
      <c r="C654" s="4">
        <v>87</v>
      </c>
      <c r="D654" s="4">
        <v>97</v>
      </c>
    </row>
    <row r="655" spans="1:4" x14ac:dyDescent="0.3">
      <c r="A655" t="str" cm="1">
        <f t="array" ref="A655">_xlfn.IFS(Append1[[#This Row],[weekday cnt]]=0,"Weekend",Append1[[#This Row],[weekday cnt]]=6,"Weekend",Append1[[#This Row],[weekday cnt]]&gt;0,"Weekday")</f>
        <v>Weekend</v>
      </c>
      <c r="B655" s="5">
        <v>13</v>
      </c>
      <c r="C655" s="5">
        <v>71</v>
      </c>
      <c r="D655" s="5">
        <v>84</v>
      </c>
    </row>
    <row r="656" spans="1:4" x14ac:dyDescent="0.3">
      <c r="A656" t="str" cm="1">
        <f t="array" ref="A656">_xlfn.IFS(Append1[[#This Row],[weekday cnt]]=0,"Weekend",Append1[[#This Row],[weekday cnt]]=6,"Weekend",Append1[[#This Row],[weekday cnt]]&gt;0,"Weekday")</f>
        <v>Weekend</v>
      </c>
      <c r="B656" s="4">
        <v>18</v>
      </c>
      <c r="C656" s="4">
        <v>104</v>
      </c>
      <c r="D656" s="4">
        <v>122</v>
      </c>
    </row>
    <row r="657" spans="1:4" x14ac:dyDescent="0.3">
      <c r="A657" t="str" cm="1">
        <f t="array" ref="A657">_xlfn.IFS(Append1[[#This Row],[weekday cnt]]=0,"Weekend",Append1[[#This Row],[weekday cnt]]=6,"Weekend",Append1[[#This Row],[weekday cnt]]&gt;0,"Weekday")</f>
        <v>Weekend</v>
      </c>
      <c r="B657" s="5">
        <v>14</v>
      </c>
      <c r="C657" s="5">
        <v>95</v>
      </c>
      <c r="D657" s="5">
        <v>109</v>
      </c>
    </row>
    <row r="658" spans="1:4" x14ac:dyDescent="0.3">
      <c r="A658" t="str" cm="1">
        <f t="array" ref="A658">_xlfn.IFS(Append1[[#This Row],[weekday cnt]]=0,"Weekend",Append1[[#This Row],[weekday cnt]]=6,"Weekend",Append1[[#This Row],[weekday cnt]]&gt;0,"Weekday")</f>
        <v>Weekend</v>
      </c>
      <c r="B658" s="4">
        <v>19</v>
      </c>
      <c r="C658" s="4">
        <v>104</v>
      </c>
      <c r="D658" s="4">
        <v>123</v>
      </c>
    </row>
    <row r="659" spans="1:4" x14ac:dyDescent="0.3">
      <c r="A659" t="str" cm="1">
        <f t="array" ref="A659">_xlfn.IFS(Append1[[#This Row],[weekday cnt]]=0,"Weekend",Append1[[#This Row],[weekday cnt]]=6,"Weekend",Append1[[#This Row],[weekday cnt]]&gt;0,"Weekday")</f>
        <v>Weekend</v>
      </c>
      <c r="B659" s="5">
        <v>6</v>
      </c>
      <c r="C659" s="5">
        <v>71</v>
      </c>
      <c r="D659" s="5">
        <v>77</v>
      </c>
    </row>
    <row r="660" spans="1:4" x14ac:dyDescent="0.3">
      <c r="A660" t="str" cm="1">
        <f t="array" ref="A660">_xlfn.IFS(Append1[[#This Row],[weekday cnt]]=0,"Weekend",Append1[[#This Row],[weekday cnt]]=6,"Weekend",Append1[[#This Row],[weekday cnt]]&gt;0,"Weekday")</f>
        <v>Weekend</v>
      </c>
      <c r="B660" s="4">
        <v>8</v>
      </c>
      <c r="C660" s="4">
        <v>57</v>
      </c>
      <c r="D660" s="4">
        <v>65</v>
      </c>
    </row>
    <row r="661" spans="1:4" x14ac:dyDescent="0.3">
      <c r="A661" t="str" cm="1">
        <f t="array" ref="A661">_xlfn.IFS(Append1[[#This Row],[weekday cnt]]=0,"Weekend",Append1[[#This Row],[weekday cnt]]=6,"Weekend",Append1[[#This Row],[weekday cnt]]&gt;0,"Weekday")</f>
        <v>Weekend</v>
      </c>
      <c r="B661" s="5">
        <v>9</v>
      </c>
      <c r="C661" s="5">
        <v>46</v>
      </c>
      <c r="D661" s="5">
        <v>55</v>
      </c>
    </row>
    <row r="662" spans="1:4" x14ac:dyDescent="0.3">
      <c r="A662" t="str" cm="1">
        <f t="array" ref="A662">_xlfn.IFS(Append1[[#This Row],[weekday cnt]]=0,"Weekend",Append1[[#This Row],[weekday cnt]]=6,"Weekend",Append1[[#This Row],[weekday cnt]]&gt;0,"Weekday")</f>
        <v>Weekend</v>
      </c>
      <c r="B662" s="4">
        <v>3</v>
      </c>
      <c r="C662" s="4">
        <v>30</v>
      </c>
      <c r="D662" s="4">
        <v>33</v>
      </c>
    </row>
    <row r="663" spans="1:4" x14ac:dyDescent="0.3">
      <c r="A663" t="str" cm="1">
        <f t="array" ref="A663">_xlfn.IFS(Append1[[#This Row],[weekday cnt]]=0,"Weekend",Append1[[#This Row],[weekday cnt]]=6,"Weekend",Append1[[#This Row],[weekday cnt]]&gt;0,"Weekday")</f>
        <v>Weekend</v>
      </c>
      <c r="B663" s="5">
        <v>3</v>
      </c>
      <c r="C663" s="5">
        <v>25</v>
      </c>
      <c r="D663" s="5">
        <v>28</v>
      </c>
    </row>
    <row r="664" spans="1:4" x14ac:dyDescent="0.3">
      <c r="A664" t="str" cm="1">
        <f t="array" ref="A664">_xlfn.IFS(Append1[[#This Row],[weekday cnt]]=0,"Weekend",Append1[[#This Row],[weekday cnt]]=6,"Weekend",Append1[[#This Row],[weekday cnt]]&gt;0,"Weekday")</f>
        <v>Weekend</v>
      </c>
      <c r="B664" s="4">
        <v>2</v>
      </c>
      <c r="C664" s="4">
        <v>19</v>
      </c>
      <c r="D664" s="4">
        <v>21</v>
      </c>
    </row>
    <row r="665" spans="1:4" x14ac:dyDescent="0.3">
      <c r="A665" t="str" cm="1">
        <f t="array" ref="A665">_xlfn.IFS(Append1[[#This Row],[weekday cnt]]=0,"Weekend",Append1[[#This Row],[weekday cnt]]=6,"Weekend",Append1[[#This Row],[weekday cnt]]&gt;0,"Weekday")</f>
        <v>Weekend</v>
      </c>
      <c r="B665" s="5">
        <v>5</v>
      </c>
      <c r="C665" s="5">
        <v>16</v>
      </c>
      <c r="D665" s="5">
        <v>21</v>
      </c>
    </row>
    <row r="666" spans="1:4" x14ac:dyDescent="0.3">
      <c r="A666" t="str" cm="1">
        <f t="array" ref="A666">_xlfn.IFS(Append1[[#This Row],[weekday cnt]]=0,"Weekend",Append1[[#This Row],[weekday cnt]]=6,"Weekend",Append1[[#This Row],[weekday cnt]]&gt;0,"Weekday")</f>
        <v>Weekday</v>
      </c>
      <c r="B666" s="4">
        <v>1</v>
      </c>
      <c r="C666" s="4">
        <v>6</v>
      </c>
      <c r="D666" s="4">
        <v>7</v>
      </c>
    </row>
    <row r="667" spans="1:4" x14ac:dyDescent="0.3">
      <c r="A667" t="str" cm="1">
        <f t="array" ref="A667">_xlfn.IFS(Append1[[#This Row],[weekday cnt]]=0,"Weekend",Append1[[#This Row],[weekday cnt]]=6,"Weekend",Append1[[#This Row],[weekday cnt]]&gt;0,"Weekday")</f>
        <v>Weekday</v>
      </c>
      <c r="B667" s="5">
        <v>2</v>
      </c>
      <c r="C667" s="5">
        <v>5</v>
      </c>
      <c r="D667" s="5">
        <v>7</v>
      </c>
    </row>
    <row r="668" spans="1:4" x14ac:dyDescent="0.3">
      <c r="A668" t="str" cm="1">
        <f t="array" ref="A668">_xlfn.IFS(Append1[[#This Row],[weekday cnt]]=0,"Weekend",Append1[[#This Row],[weekday cnt]]=6,"Weekend",Append1[[#This Row],[weekday cnt]]&gt;0,"Weekday")</f>
        <v>Weekday</v>
      </c>
      <c r="B668" s="4">
        <v>0</v>
      </c>
      <c r="C668" s="4">
        <v>1</v>
      </c>
      <c r="D668" s="4">
        <v>1</v>
      </c>
    </row>
    <row r="669" spans="1:4" x14ac:dyDescent="0.3">
      <c r="A669" t="str" cm="1">
        <f t="array" ref="A669">_xlfn.IFS(Append1[[#This Row],[weekday cnt]]=0,"Weekend",Append1[[#This Row],[weekday cnt]]=6,"Weekend",Append1[[#This Row],[weekday cnt]]&gt;0,"Weekday")</f>
        <v>Weekday</v>
      </c>
      <c r="B669" s="5">
        <v>0</v>
      </c>
      <c r="C669" s="5">
        <v>2</v>
      </c>
      <c r="D669" s="5">
        <v>2</v>
      </c>
    </row>
    <row r="670" spans="1:4" x14ac:dyDescent="0.3">
      <c r="A670" t="str" cm="1">
        <f t="array" ref="A670">_xlfn.IFS(Append1[[#This Row],[weekday cnt]]=0,"Weekend",Append1[[#This Row],[weekday cnt]]=6,"Weekend",Append1[[#This Row],[weekday cnt]]&gt;0,"Weekday")</f>
        <v>Weekday</v>
      </c>
      <c r="B670" s="4">
        <v>0</v>
      </c>
      <c r="C670" s="4">
        <v>2</v>
      </c>
      <c r="D670" s="4">
        <v>2</v>
      </c>
    </row>
    <row r="671" spans="1:4" x14ac:dyDescent="0.3">
      <c r="A671" t="str" cm="1">
        <f t="array" ref="A671">_xlfn.IFS(Append1[[#This Row],[weekday cnt]]=0,"Weekend",Append1[[#This Row],[weekday cnt]]=6,"Weekend",Append1[[#This Row],[weekday cnt]]&gt;0,"Weekday")</f>
        <v>Weekday</v>
      </c>
      <c r="B671" s="5">
        <v>0</v>
      </c>
      <c r="C671" s="5">
        <v>8</v>
      </c>
      <c r="D671" s="5">
        <v>8</v>
      </c>
    </row>
    <row r="672" spans="1:4" x14ac:dyDescent="0.3">
      <c r="A672" t="str" cm="1">
        <f t="array" ref="A672">_xlfn.IFS(Append1[[#This Row],[weekday cnt]]=0,"Weekend",Append1[[#This Row],[weekday cnt]]=6,"Weekend",Append1[[#This Row],[weekday cnt]]&gt;0,"Weekday")</f>
        <v>Weekday</v>
      </c>
      <c r="B672" s="4">
        <v>0</v>
      </c>
      <c r="C672" s="4">
        <v>37</v>
      </c>
      <c r="D672" s="4">
        <v>37</v>
      </c>
    </row>
    <row r="673" spans="1:4" x14ac:dyDescent="0.3">
      <c r="A673" t="str" cm="1">
        <f t="array" ref="A673">_xlfn.IFS(Append1[[#This Row],[weekday cnt]]=0,"Weekend",Append1[[#This Row],[weekday cnt]]=6,"Weekend",Append1[[#This Row],[weekday cnt]]&gt;0,"Weekday")</f>
        <v>Weekday</v>
      </c>
      <c r="B673" s="5">
        <v>1</v>
      </c>
      <c r="C673" s="5">
        <v>71</v>
      </c>
      <c r="D673" s="5">
        <v>72</v>
      </c>
    </row>
    <row r="674" spans="1:4" x14ac:dyDescent="0.3">
      <c r="A674" t="str" cm="1">
        <f t="array" ref="A674">_xlfn.IFS(Append1[[#This Row],[weekday cnt]]=0,"Weekend",Append1[[#This Row],[weekday cnt]]=6,"Weekend",Append1[[#This Row],[weekday cnt]]&gt;0,"Weekday")</f>
        <v>Weekday</v>
      </c>
      <c r="B674" s="4">
        <v>3</v>
      </c>
      <c r="C674" s="4">
        <v>182</v>
      </c>
      <c r="D674" s="4">
        <v>185</v>
      </c>
    </row>
    <row r="675" spans="1:4" x14ac:dyDescent="0.3">
      <c r="A675" t="str" cm="1">
        <f t="array" ref="A675">_xlfn.IFS(Append1[[#This Row],[weekday cnt]]=0,"Weekend",Append1[[#This Row],[weekday cnt]]=6,"Weekend",Append1[[#This Row],[weekday cnt]]&gt;0,"Weekday")</f>
        <v>Weekday</v>
      </c>
      <c r="B675" s="5">
        <v>0</v>
      </c>
      <c r="C675" s="5">
        <v>112</v>
      </c>
      <c r="D675" s="5">
        <v>112</v>
      </c>
    </row>
    <row r="676" spans="1:4" x14ac:dyDescent="0.3">
      <c r="A676" t="str" cm="1">
        <f t="array" ref="A676">_xlfn.IFS(Append1[[#This Row],[weekday cnt]]=0,"Weekend",Append1[[#This Row],[weekday cnt]]=6,"Weekend",Append1[[#This Row],[weekday cnt]]&gt;0,"Weekday")</f>
        <v>Weekday</v>
      </c>
      <c r="B676" s="4">
        <v>1</v>
      </c>
      <c r="C676" s="4">
        <v>68</v>
      </c>
      <c r="D676" s="4">
        <v>69</v>
      </c>
    </row>
    <row r="677" spans="1:4" x14ac:dyDescent="0.3">
      <c r="A677" t="str" cm="1">
        <f t="array" ref="A677">_xlfn.IFS(Append1[[#This Row],[weekday cnt]]=0,"Weekend",Append1[[#This Row],[weekday cnt]]=6,"Weekend",Append1[[#This Row],[weekday cnt]]&gt;0,"Weekday")</f>
        <v>Weekday</v>
      </c>
      <c r="B677" s="5">
        <v>2</v>
      </c>
      <c r="C677" s="5">
        <v>46</v>
      </c>
      <c r="D677" s="5">
        <v>48</v>
      </c>
    </row>
    <row r="678" spans="1:4" x14ac:dyDescent="0.3">
      <c r="A678" t="str" cm="1">
        <f t="array" ref="A678">_xlfn.IFS(Append1[[#This Row],[weekday cnt]]=0,"Weekend",Append1[[#This Row],[weekday cnt]]=6,"Weekend",Append1[[#This Row],[weekday cnt]]&gt;0,"Weekday")</f>
        <v>Weekday</v>
      </c>
      <c r="B678" s="4">
        <v>6</v>
      </c>
      <c r="C678" s="4">
        <v>62</v>
      </c>
      <c r="D678" s="4">
        <v>68</v>
      </c>
    </row>
    <row r="679" spans="1:4" x14ac:dyDescent="0.3">
      <c r="A679" t="str" cm="1">
        <f t="array" ref="A679">_xlfn.IFS(Append1[[#This Row],[weekday cnt]]=0,"Weekend",Append1[[#This Row],[weekday cnt]]=6,"Weekend",Append1[[#This Row],[weekday cnt]]&gt;0,"Weekday")</f>
        <v>Weekday</v>
      </c>
      <c r="B679" s="5">
        <v>2</v>
      </c>
      <c r="C679" s="5">
        <v>52</v>
      </c>
      <c r="D679" s="5">
        <v>54</v>
      </c>
    </row>
    <row r="680" spans="1:4" x14ac:dyDescent="0.3">
      <c r="A680" t="str" cm="1">
        <f t="array" ref="A680">_xlfn.IFS(Append1[[#This Row],[weekday cnt]]=0,"Weekend",Append1[[#This Row],[weekday cnt]]=6,"Weekend",Append1[[#This Row],[weekday cnt]]&gt;0,"Weekday")</f>
        <v>Weekday</v>
      </c>
      <c r="B680" s="4">
        <v>1</v>
      </c>
      <c r="C680" s="4">
        <v>85</v>
      </c>
      <c r="D680" s="4">
        <v>86</v>
      </c>
    </row>
    <row r="681" spans="1:4" x14ac:dyDescent="0.3">
      <c r="A681" t="str" cm="1">
        <f t="array" ref="A681">_xlfn.IFS(Append1[[#This Row],[weekday cnt]]=0,"Weekend",Append1[[#This Row],[weekday cnt]]=6,"Weekend",Append1[[#This Row],[weekday cnt]]&gt;0,"Weekday")</f>
        <v>Weekday</v>
      </c>
      <c r="B681" s="5">
        <v>3</v>
      </c>
      <c r="C681" s="5">
        <v>41</v>
      </c>
      <c r="D681" s="5">
        <v>44</v>
      </c>
    </row>
    <row r="682" spans="1:4" x14ac:dyDescent="0.3">
      <c r="A682" t="str" cm="1">
        <f t="array" ref="A682">_xlfn.IFS(Append1[[#This Row],[weekday cnt]]=0,"Weekend",Append1[[#This Row],[weekday cnt]]=6,"Weekend",Append1[[#This Row],[weekday cnt]]&gt;0,"Weekday")</f>
        <v>Weekday</v>
      </c>
      <c r="B682" s="4">
        <v>3</v>
      </c>
      <c r="C682" s="4">
        <v>83</v>
      </c>
      <c r="D682" s="4">
        <v>86</v>
      </c>
    </row>
    <row r="683" spans="1:4" x14ac:dyDescent="0.3">
      <c r="A683" t="str" cm="1">
        <f t="array" ref="A683">_xlfn.IFS(Append1[[#This Row],[weekday cnt]]=0,"Weekend",Append1[[#This Row],[weekday cnt]]=6,"Weekend",Append1[[#This Row],[weekday cnt]]&gt;0,"Weekday")</f>
        <v>Weekday</v>
      </c>
      <c r="B683" s="5">
        <v>6</v>
      </c>
      <c r="C683" s="5">
        <v>155</v>
      </c>
      <c r="D683" s="5">
        <v>161</v>
      </c>
    </row>
    <row r="684" spans="1:4" x14ac:dyDescent="0.3">
      <c r="A684" t="str" cm="1">
        <f t="array" ref="A684">_xlfn.IFS(Append1[[#This Row],[weekday cnt]]=0,"Weekend",Append1[[#This Row],[weekday cnt]]=6,"Weekend",Append1[[#This Row],[weekday cnt]]&gt;0,"Weekday")</f>
        <v>Weekday</v>
      </c>
      <c r="B684" s="4">
        <v>3</v>
      </c>
      <c r="C684" s="4">
        <v>153</v>
      </c>
      <c r="D684" s="4">
        <v>156</v>
      </c>
    </row>
    <row r="685" spans="1:4" x14ac:dyDescent="0.3">
      <c r="A685" t="str" cm="1">
        <f t="array" ref="A685">_xlfn.IFS(Append1[[#This Row],[weekday cnt]]=0,"Weekend",Append1[[#This Row],[weekday cnt]]=6,"Weekend",Append1[[#This Row],[weekday cnt]]&gt;0,"Weekday")</f>
        <v>Weekday</v>
      </c>
      <c r="B685" s="5">
        <v>3</v>
      </c>
      <c r="C685" s="5">
        <v>108</v>
      </c>
      <c r="D685" s="5">
        <v>111</v>
      </c>
    </row>
    <row r="686" spans="1:4" x14ac:dyDescent="0.3">
      <c r="A686" t="str" cm="1">
        <f t="array" ref="A686">_xlfn.IFS(Append1[[#This Row],[weekday cnt]]=0,"Weekend",Append1[[#This Row],[weekday cnt]]=6,"Weekend",Append1[[#This Row],[weekday cnt]]&gt;0,"Weekday")</f>
        <v>Weekday</v>
      </c>
      <c r="B686" s="4">
        <v>0</v>
      </c>
      <c r="C686" s="4">
        <v>78</v>
      </c>
      <c r="D686" s="4">
        <v>78</v>
      </c>
    </row>
    <row r="687" spans="1:4" x14ac:dyDescent="0.3">
      <c r="A687" t="str" cm="1">
        <f t="array" ref="A687">_xlfn.IFS(Append1[[#This Row],[weekday cnt]]=0,"Weekend",Append1[[#This Row],[weekday cnt]]=6,"Weekend",Append1[[#This Row],[weekday cnt]]&gt;0,"Weekday")</f>
        <v>Weekday</v>
      </c>
      <c r="B687" s="5">
        <v>3</v>
      </c>
      <c r="C687" s="5">
        <v>53</v>
      </c>
      <c r="D687" s="5">
        <v>56</v>
      </c>
    </row>
    <row r="688" spans="1:4" x14ac:dyDescent="0.3">
      <c r="A688" t="str" cm="1">
        <f t="array" ref="A688">_xlfn.IFS(Append1[[#This Row],[weekday cnt]]=0,"Weekend",Append1[[#This Row],[weekday cnt]]=6,"Weekend",Append1[[#This Row],[weekday cnt]]&gt;0,"Weekday")</f>
        <v>Weekday</v>
      </c>
      <c r="B688" s="4">
        <v>0</v>
      </c>
      <c r="C688" s="4">
        <v>34</v>
      </c>
      <c r="D688" s="4">
        <v>34</v>
      </c>
    </row>
    <row r="689" spans="1:4" x14ac:dyDescent="0.3">
      <c r="A689" t="str" cm="1">
        <f t="array" ref="A689">_xlfn.IFS(Append1[[#This Row],[weekday cnt]]=0,"Weekend",Append1[[#This Row],[weekday cnt]]=6,"Weekend",Append1[[#This Row],[weekday cnt]]&gt;0,"Weekday")</f>
        <v>Weekday</v>
      </c>
      <c r="B689" s="5">
        <v>2</v>
      </c>
      <c r="C689" s="5">
        <v>15</v>
      </c>
      <c r="D689" s="5">
        <v>17</v>
      </c>
    </row>
    <row r="690" spans="1:4" x14ac:dyDescent="0.3">
      <c r="A690" t="str" cm="1">
        <f t="array" ref="A690">_xlfn.IFS(Append1[[#This Row],[weekday cnt]]=0,"Weekend",Append1[[#This Row],[weekday cnt]]=6,"Weekend",Append1[[#This Row],[weekday cnt]]&gt;0,"Weekday")</f>
        <v>Weekday</v>
      </c>
      <c r="B690" s="4">
        <v>2</v>
      </c>
      <c r="C690" s="4">
        <v>6</v>
      </c>
      <c r="D690" s="4">
        <v>8</v>
      </c>
    </row>
    <row r="691" spans="1:4" x14ac:dyDescent="0.3">
      <c r="A691" t="str" cm="1">
        <f t="array" ref="A691">_xlfn.IFS(Append1[[#This Row],[weekday cnt]]=0,"Weekend",Append1[[#This Row],[weekday cnt]]=6,"Weekend",Append1[[#This Row],[weekday cnt]]&gt;0,"Weekday")</f>
        <v>Weekday</v>
      </c>
      <c r="B691" s="5">
        <v>0</v>
      </c>
      <c r="C691" s="5">
        <v>3</v>
      </c>
      <c r="D691" s="5">
        <v>3</v>
      </c>
    </row>
    <row r="692" spans="1:4" x14ac:dyDescent="0.3">
      <c r="A692" t="str" cm="1">
        <f t="array" ref="A692">_xlfn.IFS(Append1[[#This Row],[weekday cnt]]=0,"Weekend",Append1[[#This Row],[weekday cnt]]=6,"Weekend",Append1[[#This Row],[weekday cnt]]&gt;0,"Weekday")</f>
        <v>Weekday</v>
      </c>
      <c r="B692" s="4">
        <v>0</v>
      </c>
      <c r="C692" s="4">
        <v>2</v>
      </c>
      <c r="D692" s="4">
        <v>2</v>
      </c>
    </row>
    <row r="693" spans="1:4" x14ac:dyDescent="0.3">
      <c r="A693" t="str" cm="1">
        <f t="array" ref="A693">_xlfn.IFS(Append1[[#This Row],[weekday cnt]]=0,"Weekend",Append1[[#This Row],[weekday cnt]]=6,"Weekend",Append1[[#This Row],[weekday cnt]]&gt;0,"Weekday")</f>
        <v>Weekday</v>
      </c>
      <c r="B693" s="5">
        <v>0</v>
      </c>
      <c r="C693" s="5">
        <v>2</v>
      </c>
      <c r="D693" s="5">
        <v>2</v>
      </c>
    </row>
    <row r="694" spans="1:4" x14ac:dyDescent="0.3">
      <c r="A694" t="str" cm="1">
        <f t="array" ref="A694">_xlfn.IFS(Append1[[#This Row],[weekday cnt]]=0,"Weekend",Append1[[#This Row],[weekday cnt]]=6,"Weekend",Append1[[#This Row],[weekday cnt]]&gt;0,"Weekday")</f>
        <v>Weekday</v>
      </c>
      <c r="B694" s="4">
        <v>0</v>
      </c>
      <c r="C694" s="4">
        <v>3</v>
      </c>
      <c r="D694" s="4">
        <v>3</v>
      </c>
    </row>
    <row r="695" spans="1:4" x14ac:dyDescent="0.3">
      <c r="A695" t="str" cm="1">
        <f t="array" ref="A695">_xlfn.IFS(Append1[[#This Row],[weekday cnt]]=0,"Weekend",Append1[[#This Row],[weekday cnt]]=6,"Weekend",Append1[[#This Row],[weekday cnt]]&gt;0,"Weekday")</f>
        <v>Weekday</v>
      </c>
      <c r="B695" s="5">
        <v>0</v>
      </c>
      <c r="C695" s="5">
        <v>22</v>
      </c>
      <c r="D695" s="5">
        <v>22</v>
      </c>
    </row>
    <row r="696" spans="1:4" x14ac:dyDescent="0.3">
      <c r="A696" t="str" cm="1">
        <f t="array" ref="A696">_xlfn.IFS(Append1[[#This Row],[weekday cnt]]=0,"Weekend",Append1[[#This Row],[weekday cnt]]=6,"Weekend",Append1[[#This Row],[weekday cnt]]&gt;0,"Weekday")</f>
        <v>Weekday</v>
      </c>
      <c r="B696" s="4">
        <v>0</v>
      </c>
      <c r="C696" s="4">
        <v>52</v>
      </c>
      <c r="D696" s="4">
        <v>52</v>
      </c>
    </row>
    <row r="697" spans="1:4" x14ac:dyDescent="0.3">
      <c r="A697" t="str" cm="1">
        <f t="array" ref="A697">_xlfn.IFS(Append1[[#This Row],[weekday cnt]]=0,"Weekend",Append1[[#This Row],[weekday cnt]]=6,"Weekend",Append1[[#This Row],[weekday cnt]]&gt;0,"Weekday")</f>
        <v>Weekday</v>
      </c>
      <c r="B697" s="5">
        <v>3</v>
      </c>
      <c r="C697" s="5">
        <v>132</v>
      </c>
      <c r="D697" s="5">
        <v>135</v>
      </c>
    </row>
    <row r="698" spans="1:4" x14ac:dyDescent="0.3">
      <c r="A698" t="str" cm="1">
        <f t="array" ref="A698">_xlfn.IFS(Append1[[#This Row],[weekday cnt]]=0,"Weekend",Append1[[#This Row],[weekday cnt]]=6,"Weekend",Append1[[#This Row],[weekday cnt]]&gt;0,"Weekday")</f>
        <v>Weekday</v>
      </c>
      <c r="B698" s="4">
        <v>2</v>
      </c>
      <c r="C698" s="4">
        <v>114</v>
      </c>
      <c r="D698" s="4">
        <v>116</v>
      </c>
    </row>
    <row r="699" spans="1:4" x14ac:dyDescent="0.3">
      <c r="A699" t="str" cm="1">
        <f t="array" ref="A699">_xlfn.IFS(Append1[[#This Row],[weekday cnt]]=0,"Weekend",Append1[[#This Row],[weekday cnt]]=6,"Weekend",Append1[[#This Row],[weekday cnt]]&gt;0,"Weekday")</f>
        <v>Weekday</v>
      </c>
      <c r="B699" s="5">
        <v>0</v>
      </c>
      <c r="C699" s="5">
        <v>47</v>
      </c>
      <c r="D699" s="5">
        <v>47</v>
      </c>
    </row>
    <row r="700" spans="1:4" x14ac:dyDescent="0.3">
      <c r="A700" t="str" cm="1">
        <f t="array" ref="A700">_xlfn.IFS(Append1[[#This Row],[weekday cnt]]=0,"Weekend",Append1[[#This Row],[weekday cnt]]=6,"Weekend",Append1[[#This Row],[weekday cnt]]&gt;0,"Weekday")</f>
        <v>Weekday</v>
      </c>
      <c r="B700" s="4">
        <v>2</v>
      </c>
      <c r="C700" s="4">
        <v>49</v>
      </c>
      <c r="D700" s="4">
        <v>51</v>
      </c>
    </row>
    <row r="701" spans="1:4" x14ac:dyDescent="0.3">
      <c r="A701" t="str" cm="1">
        <f t="array" ref="A701">_xlfn.IFS(Append1[[#This Row],[weekday cnt]]=0,"Weekend",Append1[[#This Row],[weekday cnt]]=6,"Weekend",Append1[[#This Row],[weekday cnt]]&gt;0,"Weekday")</f>
        <v>Weekday</v>
      </c>
      <c r="B701" s="5">
        <v>2</v>
      </c>
      <c r="C701" s="5">
        <v>53</v>
      </c>
      <c r="D701" s="5">
        <v>55</v>
      </c>
    </row>
    <row r="702" spans="1:4" x14ac:dyDescent="0.3">
      <c r="A702" t="str" cm="1">
        <f t="array" ref="A702">_xlfn.IFS(Append1[[#This Row],[weekday cnt]]=0,"Weekend",Append1[[#This Row],[weekday cnt]]=6,"Weekend",Append1[[#This Row],[weekday cnt]]&gt;0,"Weekday")</f>
        <v>Weekday</v>
      </c>
      <c r="B702" s="4">
        <v>3</v>
      </c>
      <c r="C702" s="4">
        <v>49</v>
      </c>
      <c r="D702" s="4">
        <v>52</v>
      </c>
    </row>
    <row r="703" spans="1:4" x14ac:dyDescent="0.3">
      <c r="A703" t="str" cm="1">
        <f t="array" ref="A703">_xlfn.IFS(Append1[[#This Row],[weekday cnt]]=0,"Weekend",Append1[[#This Row],[weekday cnt]]=6,"Weekend",Append1[[#This Row],[weekday cnt]]&gt;0,"Weekday")</f>
        <v>Weekday</v>
      </c>
      <c r="B703" s="5">
        <v>5</v>
      </c>
      <c r="C703" s="5">
        <v>49</v>
      </c>
      <c r="D703" s="5">
        <v>54</v>
      </c>
    </row>
    <row r="704" spans="1:4" x14ac:dyDescent="0.3">
      <c r="A704" t="str" cm="1">
        <f t="array" ref="A704">_xlfn.IFS(Append1[[#This Row],[weekday cnt]]=0,"Weekend",Append1[[#This Row],[weekday cnt]]=6,"Weekend",Append1[[#This Row],[weekday cnt]]&gt;0,"Weekday")</f>
        <v>Weekday</v>
      </c>
      <c r="B704" s="4">
        <v>7</v>
      </c>
      <c r="C704" s="4">
        <v>45</v>
      </c>
      <c r="D704" s="4">
        <v>52</v>
      </c>
    </row>
    <row r="705" spans="1:4" x14ac:dyDescent="0.3">
      <c r="A705" t="str" cm="1">
        <f t="array" ref="A705">_xlfn.IFS(Append1[[#This Row],[weekday cnt]]=0,"Weekend",Append1[[#This Row],[weekday cnt]]=6,"Weekend",Append1[[#This Row],[weekday cnt]]&gt;0,"Weekday")</f>
        <v>Weekday</v>
      </c>
      <c r="B705" s="5">
        <v>3</v>
      </c>
      <c r="C705" s="5">
        <v>61</v>
      </c>
      <c r="D705" s="5">
        <v>64</v>
      </c>
    </row>
    <row r="706" spans="1:4" x14ac:dyDescent="0.3">
      <c r="A706" t="str" cm="1">
        <f t="array" ref="A706">_xlfn.IFS(Append1[[#This Row],[weekday cnt]]=0,"Weekend",Append1[[#This Row],[weekday cnt]]=6,"Weekend",Append1[[#This Row],[weekday cnt]]&gt;0,"Weekday")</f>
        <v>Weekday</v>
      </c>
      <c r="B706" s="4">
        <v>4</v>
      </c>
      <c r="C706" s="4">
        <v>172</v>
      </c>
      <c r="D706" s="4">
        <v>176</v>
      </c>
    </row>
    <row r="707" spans="1:4" x14ac:dyDescent="0.3">
      <c r="A707" t="str" cm="1">
        <f t="array" ref="A707">_xlfn.IFS(Append1[[#This Row],[weekday cnt]]=0,"Weekend",Append1[[#This Row],[weekday cnt]]=6,"Weekend",Append1[[#This Row],[weekday cnt]]&gt;0,"Weekday")</f>
        <v>Weekday</v>
      </c>
      <c r="B707" s="5">
        <v>3</v>
      </c>
      <c r="C707" s="5">
        <v>165</v>
      </c>
      <c r="D707" s="5">
        <v>168</v>
      </c>
    </row>
    <row r="708" spans="1:4" x14ac:dyDescent="0.3">
      <c r="A708" t="str" cm="1">
        <f t="array" ref="A708">_xlfn.IFS(Append1[[#This Row],[weekday cnt]]=0,"Weekend",Append1[[#This Row],[weekday cnt]]=6,"Weekend",Append1[[#This Row],[weekday cnt]]&gt;0,"Weekday")</f>
        <v>Weekday</v>
      </c>
      <c r="B708" s="4">
        <v>3</v>
      </c>
      <c r="C708" s="4">
        <v>105</v>
      </c>
      <c r="D708" s="4">
        <v>108</v>
      </c>
    </row>
    <row r="709" spans="1:4" x14ac:dyDescent="0.3">
      <c r="A709" t="str" cm="1">
        <f t="array" ref="A709">_xlfn.IFS(Append1[[#This Row],[weekday cnt]]=0,"Weekend",Append1[[#This Row],[weekday cnt]]=6,"Weekend",Append1[[#This Row],[weekday cnt]]&gt;0,"Weekday")</f>
        <v>Weekday</v>
      </c>
      <c r="B709" s="5">
        <v>5</v>
      </c>
      <c r="C709" s="5">
        <v>69</v>
      </c>
      <c r="D709" s="5">
        <v>74</v>
      </c>
    </row>
    <row r="710" spans="1:4" x14ac:dyDescent="0.3">
      <c r="A710" t="str" cm="1">
        <f t="array" ref="A710">_xlfn.IFS(Append1[[#This Row],[weekday cnt]]=0,"Weekend",Append1[[#This Row],[weekday cnt]]=6,"Weekend",Append1[[#This Row],[weekday cnt]]&gt;0,"Weekday")</f>
        <v>Weekday</v>
      </c>
      <c r="B710" s="4">
        <v>0</v>
      </c>
      <c r="C710" s="4">
        <v>64</v>
      </c>
      <c r="D710" s="4">
        <v>64</v>
      </c>
    </row>
    <row r="711" spans="1:4" x14ac:dyDescent="0.3">
      <c r="A711" t="str" cm="1">
        <f t="array" ref="A711">_xlfn.IFS(Append1[[#This Row],[weekday cnt]]=0,"Weekend",Append1[[#This Row],[weekday cnt]]=6,"Weekend",Append1[[#This Row],[weekday cnt]]&gt;0,"Weekday")</f>
        <v>Weekday</v>
      </c>
      <c r="B711" s="5">
        <v>2</v>
      </c>
      <c r="C711" s="5">
        <v>34</v>
      </c>
      <c r="D711" s="5">
        <v>36</v>
      </c>
    </row>
    <row r="712" spans="1:4" x14ac:dyDescent="0.3">
      <c r="A712" t="str" cm="1">
        <f t="array" ref="A712">_xlfn.IFS(Append1[[#This Row],[weekday cnt]]=0,"Weekend",Append1[[#This Row],[weekday cnt]]=6,"Weekend",Append1[[#This Row],[weekday cnt]]&gt;0,"Weekday")</f>
        <v>Weekday</v>
      </c>
      <c r="B712" s="4">
        <v>1</v>
      </c>
      <c r="C712" s="4">
        <v>15</v>
      </c>
      <c r="D712" s="4">
        <v>16</v>
      </c>
    </row>
    <row r="713" spans="1:4" x14ac:dyDescent="0.3">
      <c r="A713" t="str" cm="1">
        <f t="array" ref="A713">_xlfn.IFS(Append1[[#This Row],[weekday cnt]]=0,"Weekend",Append1[[#This Row],[weekday cnt]]=6,"Weekend",Append1[[#This Row],[weekday cnt]]&gt;0,"Weekday")</f>
        <v>Weekday</v>
      </c>
      <c r="B713" s="5">
        <v>0</v>
      </c>
      <c r="C713" s="5">
        <v>2</v>
      </c>
      <c r="D713" s="5">
        <v>2</v>
      </c>
    </row>
    <row r="714" spans="1:4" x14ac:dyDescent="0.3">
      <c r="A714" t="str" cm="1">
        <f t="array" ref="A714">_xlfn.IFS(Append1[[#This Row],[weekday cnt]]=0,"Weekend",Append1[[#This Row],[weekday cnt]]=6,"Weekend",Append1[[#This Row],[weekday cnt]]&gt;0,"Weekday")</f>
        <v>Weekday</v>
      </c>
      <c r="B714" s="4">
        <v>0</v>
      </c>
      <c r="C714" s="4">
        <v>3</v>
      </c>
      <c r="D714" s="4">
        <v>3</v>
      </c>
    </row>
    <row r="715" spans="1:4" x14ac:dyDescent="0.3">
      <c r="A715" t="str" cm="1">
        <f t="array" ref="A715">_xlfn.IFS(Append1[[#This Row],[weekday cnt]]=0,"Weekend",Append1[[#This Row],[weekday cnt]]=6,"Weekend",Append1[[#This Row],[weekday cnt]]&gt;0,"Weekday")</f>
        <v>Weekday</v>
      </c>
      <c r="B715" s="5">
        <v>4</v>
      </c>
      <c r="C715" s="5">
        <v>0</v>
      </c>
      <c r="D715" s="5">
        <v>4</v>
      </c>
    </row>
    <row r="716" spans="1:4" x14ac:dyDescent="0.3">
      <c r="A716" t="str" cm="1">
        <f t="array" ref="A716">_xlfn.IFS(Append1[[#This Row],[weekday cnt]]=0,"Weekend",Append1[[#This Row],[weekday cnt]]=6,"Weekend",Append1[[#This Row],[weekday cnt]]&gt;0,"Weekday")</f>
        <v>Weekday</v>
      </c>
      <c r="B716" s="4">
        <v>0</v>
      </c>
      <c r="C716" s="4">
        <v>1</v>
      </c>
      <c r="D716" s="4">
        <v>1</v>
      </c>
    </row>
    <row r="717" spans="1:4" x14ac:dyDescent="0.3">
      <c r="A717" t="str" cm="1">
        <f t="array" ref="A717">_xlfn.IFS(Append1[[#This Row],[weekday cnt]]=0,"Weekend",Append1[[#This Row],[weekday cnt]]=6,"Weekend",Append1[[#This Row],[weekday cnt]]&gt;0,"Weekday")</f>
        <v>Weekday</v>
      </c>
      <c r="B717" s="5">
        <v>0</v>
      </c>
      <c r="C717" s="5">
        <v>1</v>
      </c>
      <c r="D717" s="5">
        <v>1</v>
      </c>
    </row>
    <row r="718" spans="1:4" x14ac:dyDescent="0.3">
      <c r="A718" t="str" cm="1">
        <f t="array" ref="A718">_xlfn.IFS(Append1[[#This Row],[weekday cnt]]=0,"Weekend",Append1[[#This Row],[weekday cnt]]=6,"Weekend",Append1[[#This Row],[weekday cnt]]&gt;0,"Weekday")</f>
        <v>Weekday</v>
      </c>
      <c r="B718" s="4">
        <v>0</v>
      </c>
      <c r="C718" s="4">
        <v>3</v>
      </c>
      <c r="D718" s="4">
        <v>3</v>
      </c>
    </row>
    <row r="719" spans="1:4" x14ac:dyDescent="0.3">
      <c r="A719" t="str" cm="1">
        <f t="array" ref="A719">_xlfn.IFS(Append1[[#This Row],[weekday cnt]]=0,"Weekend",Append1[[#This Row],[weekday cnt]]=6,"Weekend",Append1[[#This Row],[weekday cnt]]&gt;0,"Weekday")</f>
        <v>Weekday</v>
      </c>
      <c r="B719" s="5">
        <v>1</v>
      </c>
      <c r="C719" s="5">
        <v>17</v>
      </c>
      <c r="D719" s="5">
        <v>18</v>
      </c>
    </row>
    <row r="720" spans="1:4" x14ac:dyDescent="0.3">
      <c r="A720" t="str" cm="1">
        <f t="array" ref="A720">_xlfn.IFS(Append1[[#This Row],[weekday cnt]]=0,"Weekend",Append1[[#This Row],[weekday cnt]]=6,"Weekend",Append1[[#This Row],[weekday cnt]]&gt;0,"Weekday")</f>
        <v>Weekday</v>
      </c>
      <c r="B720" s="4">
        <v>1</v>
      </c>
      <c r="C720" s="4">
        <v>48</v>
      </c>
      <c r="D720" s="4">
        <v>49</v>
      </c>
    </row>
    <row r="721" spans="1:4" x14ac:dyDescent="0.3">
      <c r="A721" t="str" cm="1">
        <f t="array" ref="A721">_xlfn.IFS(Append1[[#This Row],[weekday cnt]]=0,"Weekend",Append1[[#This Row],[weekday cnt]]=6,"Weekend",Append1[[#This Row],[weekday cnt]]&gt;0,"Weekday")</f>
        <v>Weekday</v>
      </c>
      <c r="B721" s="5">
        <v>1</v>
      </c>
      <c r="C721" s="5">
        <v>154</v>
      </c>
      <c r="D721" s="5">
        <v>155</v>
      </c>
    </row>
    <row r="722" spans="1:4" x14ac:dyDescent="0.3">
      <c r="A722" t="str" cm="1">
        <f t="array" ref="A722">_xlfn.IFS(Append1[[#This Row],[weekday cnt]]=0,"Weekend",Append1[[#This Row],[weekday cnt]]=6,"Weekend",Append1[[#This Row],[weekday cnt]]&gt;0,"Weekday")</f>
        <v>Weekday</v>
      </c>
      <c r="B722" s="4">
        <v>4</v>
      </c>
      <c r="C722" s="4">
        <v>119</v>
      </c>
      <c r="D722" s="4">
        <v>123</v>
      </c>
    </row>
    <row r="723" spans="1:4" x14ac:dyDescent="0.3">
      <c r="A723" t="str" cm="1">
        <f t="array" ref="A723">_xlfn.IFS(Append1[[#This Row],[weekday cnt]]=0,"Weekend",Append1[[#This Row],[weekday cnt]]=6,"Weekend",Append1[[#This Row],[weekday cnt]]&gt;0,"Weekday")</f>
        <v>Weekday</v>
      </c>
      <c r="B723" s="5">
        <v>2</v>
      </c>
      <c r="C723" s="5">
        <v>59</v>
      </c>
      <c r="D723" s="5">
        <v>61</v>
      </c>
    </row>
    <row r="724" spans="1:4" x14ac:dyDescent="0.3">
      <c r="A724" t="str" cm="1">
        <f t="array" ref="A724">_xlfn.IFS(Append1[[#This Row],[weekday cnt]]=0,"Weekend",Append1[[#This Row],[weekday cnt]]=6,"Weekend",Append1[[#This Row],[weekday cnt]]&gt;0,"Weekday")</f>
        <v>Weekday</v>
      </c>
      <c r="B724" s="4">
        <v>5</v>
      </c>
      <c r="C724" s="4">
        <v>47</v>
      </c>
      <c r="D724" s="4">
        <v>52</v>
      </c>
    </row>
    <row r="725" spans="1:4" x14ac:dyDescent="0.3">
      <c r="A725" t="str" cm="1">
        <f t="array" ref="A725">_xlfn.IFS(Append1[[#This Row],[weekday cnt]]=0,"Weekend",Append1[[#This Row],[weekday cnt]]=6,"Weekend",Append1[[#This Row],[weekday cnt]]&gt;0,"Weekday")</f>
        <v>Weekday</v>
      </c>
      <c r="B725" s="5">
        <v>3</v>
      </c>
      <c r="C725" s="5">
        <v>61</v>
      </c>
      <c r="D725" s="5">
        <v>64</v>
      </c>
    </row>
    <row r="726" spans="1:4" x14ac:dyDescent="0.3">
      <c r="A726" t="str" cm="1">
        <f t="array" ref="A726">_xlfn.IFS(Append1[[#This Row],[weekday cnt]]=0,"Weekend",Append1[[#This Row],[weekday cnt]]=6,"Weekend",Append1[[#This Row],[weekday cnt]]&gt;0,"Weekday")</f>
        <v>Weekday</v>
      </c>
      <c r="B726" s="4">
        <v>1</v>
      </c>
      <c r="C726" s="4">
        <v>74</v>
      </c>
      <c r="D726" s="4">
        <v>75</v>
      </c>
    </row>
    <row r="727" spans="1:4" x14ac:dyDescent="0.3">
      <c r="A727" t="str" cm="1">
        <f t="array" ref="A727">_xlfn.IFS(Append1[[#This Row],[weekday cnt]]=0,"Weekend",Append1[[#This Row],[weekday cnt]]=6,"Weekend",Append1[[#This Row],[weekday cnt]]&gt;0,"Weekday")</f>
        <v>Weekday</v>
      </c>
      <c r="B727" s="5">
        <v>2</v>
      </c>
      <c r="C727" s="5">
        <v>61</v>
      </c>
      <c r="D727" s="5">
        <v>63</v>
      </c>
    </row>
    <row r="728" spans="1:4" x14ac:dyDescent="0.3">
      <c r="A728" t="str" cm="1">
        <f t="array" ref="A728">_xlfn.IFS(Append1[[#This Row],[weekday cnt]]=0,"Weekend",Append1[[#This Row],[weekday cnt]]=6,"Weekend",Append1[[#This Row],[weekday cnt]]&gt;0,"Weekday")</f>
        <v>Weekday</v>
      </c>
      <c r="B728" s="4">
        <v>10</v>
      </c>
      <c r="C728" s="4">
        <v>66</v>
      </c>
      <c r="D728" s="4">
        <v>76</v>
      </c>
    </row>
    <row r="729" spans="1:4" x14ac:dyDescent="0.3">
      <c r="A729" t="str" cm="1">
        <f t="array" ref="A729">_xlfn.IFS(Append1[[#This Row],[weekday cnt]]=0,"Weekend",Append1[[#This Row],[weekday cnt]]=6,"Weekend",Append1[[#This Row],[weekday cnt]]&gt;0,"Weekday")</f>
        <v>Weekday</v>
      </c>
      <c r="B729" s="5">
        <v>8</v>
      </c>
      <c r="C729" s="5">
        <v>95</v>
      </c>
      <c r="D729" s="5">
        <v>103</v>
      </c>
    </row>
    <row r="730" spans="1:4" x14ac:dyDescent="0.3">
      <c r="A730" t="str" cm="1">
        <f t="array" ref="A730">_xlfn.IFS(Append1[[#This Row],[weekday cnt]]=0,"Weekend",Append1[[#This Row],[weekday cnt]]=6,"Weekend",Append1[[#This Row],[weekday cnt]]&gt;0,"Weekday")</f>
        <v>Weekday</v>
      </c>
      <c r="B730" s="4">
        <v>7</v>
      </c>
      <c r="C730" s="4">
        <v>183</v>
      </c>
      <c r="D730" s="4">
        <v>190</v>
      </c>
    </row>
    <row r="731" spans="1:4" x14ac:dyDescent="0.3">
      <c r="A731" t="str" cm="1">
        <f t="array" ref="A731">_xlfn.IFS(Append1[[#This Row],[weekday cnt]]=0,"Weekend",Append1[[#This Row],[weekday cnt]]=6,"Weekend",Append1[[#This Row],[weekday cnt]]&gt;0,"Weekday")</f>
        <v>Weekday</v>
      </c>
      <c r="B731" s="5">
        <v>7</v>
      </c>
      <c r="C731" s="5">
        <v>175</v>
      </c>
      <c r="D731" s="5">
        <v>182</v>
      </c>
    </row>
    <row r="732" spans="1:4" x14ac:dyDescent="0.3">
      <c r="A732" t="str" cm="1">
        <f t="array" ref="A732">_xlfn.IFS(Append1[[#This Row],[weekday cnt]]=0,"Weekend",Append1[[#This Row],[weekday cnt]]=6,"Weekend",Append1[[#This Row],[weekday cnt]]&gt;0,"Weekday")</f>
        <v>Weekday</v>
      </c>
      <c r="B732" s="4">
        <v>3</v>
      </c>
      <c r="C732" s="4">
        <v>88</v>
      </c>
      <c r="D732" s="4">
        <v>91</v>
      </c>
    </row>
    <row r="733" spans="1:4" x14ac:dyDescent="0.3">
      <c r="A733" t="str" cm="1">
        <f t="array" ref="A733">_xlfn.IFS(Append1[[#This Row],[weekday cnt]]=0,"Weekend",Append1[[#This Row],[weekday cnt]]=6,"Weekend",Append1[[#This Row],[weekday cnt]]&gt;0,"Weekday")</f>
        <v>Weekday</v>
      </c>
      <c r="B733" s="5">
        <v>4</v>
      </c>
      <c r="C733" s="5">
        <v>71</v>
      </c>
      <c r="D733" s="5">
        <v>75</v>
      </c>
    </row>
    <row r="734" spans="1:4" x14ac:dyDescent="0.3">
      <c r="A734" t="str" cm="1">
        <f t="array" ref="A734">_xlfn.IFS(Append1[[#This Row],[weekday cnt]]=0,"Weekend",Append1[[#This Row],[weekday cnt]]=6,"Weekend",Append1[[#This Row],[weekday cnt]]&gt;0,"Weekday")</f>
        <v>Weekday</v>
      </c>
      <c r="B734" s="4">
        <v>1</v>
      </c>
      <c r="C734" s="4">
        <v>62</v>
      </c>
      <c r="D734" s="4">
        <v>63</v>
      </c>
    </row>
    <row r="735" spans="1:4" x14ac:dyDescent="0.3">
      <c r="A735" t="str" cm="1">
        <f t="array" ref="A735">_xlfn.IFS(Append1[[#This Row],[weekday cnt]]=0,"Weekend",Append1[[#This Row],[weekday cnt]]=6,"Weekend",Append1[[#This Row],[weekday cnt]]&gt;0,"Weekday")</f>
        <v>Weekday</v>
      </c>
      <c r="B735" s="5">
        <v>5</v>
      </c>
      <c r="C735" s="5">
        <v>35</v>
      </c>
      <c r="D735" s="5">
        <v>40</v>
      </c>
    </row>
    <row r="736" spans="1:4" x14ac:dyDescent="0.3">
      <c r="A736" t="str" cm="1">
        <f t="array" ref="A736">_xlfn.IFS(Append1[[#This Row],[weekday cnt]]=0,"Weekend",Append1[[#This Row],[weekday cnt]]=6,"Weekend",Append1[[#This Row],[weekday cnt]]&gt;0,"Weekday")</f>
        <v>Weekday</v>
      </c>
      <c r="B736" s="4">
        <v>3</v>
      </c>
      <c r="C736" s="4">
        <v>29</v>
      </c>
      <c r="D736" s="4">
        <v>32</v>
      </c>
    </row>
    <row r="737" spans="1:4" x14ac:dyDescent="0.3">
      <c r="A737" t="str" cm="1">
        <f t="array" ref="A737">_xlfn.IFS(Append1[[#This Row],[weekday cnt]]=0,"Weekend",Append1[[#This Row],[weekday cnt]]=6,"Weekend",Append1[[#This Row],[weekday cnt]]&gt;0,"Weekday")</f>
        <v>Weekday</v>
      </c>
      <c r="B737" s="5">
        <v>1</v>
      </c>
      <c r="C737" s="5">
        <v>11</v>
      </c>
      <c r="D737" s="5">
        <v>12</v>
      </c>
    </row>
    <row r="738" spans="1:4" x14ac:dyDescent="0.3">
      <c r="A738" t="str" cm="1">
        <f t="array" ref="A738">_xlfn.IFS(Append1[[#This Row],[weekday cnt]]=0,"Weekend",Append1[[#This Row],[weekday cnt]]=6,"Weekend",Append1[[#This Row],[weekday cnt]]&gt;0,"Weekday")</f>
        <v>Weekday</v>
      </c>
      <c r="B738" s="4">
        <v>0</v>
      </c>
      <c r="C738" s="4">
        <v>5</v>
      </c>
      <c r="D738" s="4">
        <v>5</v>
      </c>
    </row>
    <row r="739" spans="1:4" x14ac:dyDescent="0.3">
      <c r="A739" t="str" cm="1">
        <f t="array" ref="A739">_xlfn.IFS(Append1[[#This Row],[weekday cnt]]=0,"Weekend",Append1[[#This Row],[weekday cnt]]=6,"Weekend",Append1[[#This Row],[weekday cnt]]&gt;0,"Weekday")</f>
        <v>Weekday</v>
      </c>
      <c r="B739" s="5">
        <v>0</v>
      </c>
      <c r="C739" s="5">
        <v>2</v>
      </c>
      <c r="D739" s="5">
        <v>2</v>
      </c>
    </row>
    <row r="740" spans="1:4" x14ac:dyDescent="0.3">
      <c r="A740" t="str" cm="1">
        <f t="array" ref="A740">_xlfn.IFS(Append1[[#This Row],[weekday cnt]]=0,"Weekend",Append1[[#This Row],[weekday cnt]]=6,"Weekend",Append1[[#This Row],[weekday cnt]]&gt;0,"Weekday")</f>
        <v>Weekday</v>
      </c>
      <c r="B740" s="4">
        <v>0</v>
      </c>
      <c r="C740" s="4">
        <v>1</v>
      </c>
      <c r="D740" s="4">
        <v>1</v>
      </c>
    </row>
    <row r="741" spans="1:4" x14ac:dyDescent="0.3">
      <c r="A741" t="str" cm="1">
        <f t="array" ref="A741">_xlfn.IFS(Append1[[#This Row],[weekday cnt]]=0,"Weekend",Append1[[#This Row],[weekday cnt]]=6,"Weekend",Append1[[#This Row],[weekday cnt]]&gt;0,"Weekday")</f>
        <v>Weekday</v>
      </c>
      <c r="B741" s="5">
        <v>0</v>
      </c>
      <c r="C741" s="5">
        <v>2</v>
      </c>
      <c r="D741" s="5">
        <v>2</v>
      </c>
    </row>
    <row r="742" spans="1:4" x14ac:dyDescent="0.3">
      <c r="A742" t="str" cm="1">
        <f t="array" ref="A742">_xlfn.IFS(Append1[[#This Row],[weekday cnt]]=0,"Weekend",Append1[[#This Row],[weekday cnt]]=6,"Weekend",Append1[[#This Row],[weekday cnt]]&gt;0,"Weekday")</f>
        <v>Weekday</v>
      </c>
      <c r="B742" s="4">
        <v>0</v>
      </c>
      <c r="C742" s="4">
        <v>39</v>
      </c>
      <c r="D742" s="4">
        <v>39</v>
      </c>
    </row>
    <row r="743" spans="1:4" x14ac:dyDescent="0.3">
      <c r="A743" t="str" cm="1">
        <f t="array" ref="A743">_xlfn.IFS(Append1[[#This Row],[weekday cnt]]=0,"Weekend",Append1[[#This Row],[weekday cnt]]=6,"Weekend",Append1[[#This Row],[weekday cnt]]&gt;0,"Weekday")</f>
        <v>Weekday</v>
      </c>
      <c r="B743" s="5">
        <v>1</v>
      </c>
      <c r="C743" s="5">
        <v>86</v>
      </c>
      <c r="D743" s="5">
        <v>87</v>
      </c>
    </row>
    <row r="744" spans="1:4" x14ac:dyDescent="0.3">
      <c r="A744" t="str" cm="1">
        <f t="array" ref="A744">_xlfn.IFS(Append1[[#This Row],[weekday cnt]]=0,"Weekend",Append1[[#This Row],[weekday cnt]]=6,"Weekend",Append1[[#This Row],[weekday cnt]]&gt;0,"Weekday")</f>
        <v>Weekday</v>
      </c>
      <c r="B744" s="4">
        <v>4</v>
      </c>
      <c r="C744" s="4">
        <v>184</v>
      </c>
      <c r="D744" s="4">
        <v>188</v>
      </c>
    </row>
    <row r="745" spans="1:4" x14ac:dyDescent="0.3">
      <c r="A745" t="str" cm="1">
        <f t="array" ref="A745">_xlfn.IFS(Append1[[#This Row],[weekday cnt]]=0,"Weekend",Append1[[#This Row],[weekday cnt]]=6,"Weekend",Append1[[#This Row],[weekday cnt]]&gt;0,"Weekday")</f>
        <v>Weekday</v>
      </c>
      <c r="B745" s="5">
        <v>6</v>
      </c>
      <c r="C745" s="5">
        <v>127</v>
      </c>
      <c r="D745" s="5">
        <v>133</v>
      </c>
    </row>
    <row r="746" spans="1:4" x14ac:dyDescent="0.3">
      <c r="A746" t="str" cm="1">
        <f t="array" ref="A746">_xlfn.IFS(Append1[[#This Row],[weekday cnt]]=0,"Weekend",Append1[[#This Row],[weekday cnt]]=6,"Weekend",Append1[[#This Row],[weekday cnt]]&gt;0,"Weekday")</f>
        <v>Weekday</v>
      </c>
      <c r="B746" s="4">
        <v>2</v>
      </c>
      <c r="C746" s="4">
        <v>50</v>
      </c>
      <c r="D746" s="4">
        <v>52</v>
      </c>
    </row>
    <row r="747" spans="1:4" x14ac:dyDescent="0.3">
      <c r="A747" t="str" cm="1">
        <f t="array" ref="A747">_xlfn.IFS(Append1[[#This Row],[weekday cnt]]=0,"Weekend",Append1[[#This Row],[weekday cnt]]=6,"Weekend",Append1[[#This Row],[weekday cnt]]&gt;0,"Weekday")</f>
        <v>Weekday</v>
      </c>
      <c r="B747" s="5">
        <v>9</v>
      </c>
      <c r="C747" s="5">
        <v>55</v>
      </c>
      <c r="D747" s="5">
        <v>64</v>
      </c>
    </row>
    <row r="748" spans="1:4" x14ac:dyDescent="0.3">
      <c r="A748" t="str" cm="1">
        <f t="array" ref="A748">_xlfn.IFS(Append1[[#This Row],[weekday cnt]]=0,"Weekend",Append1[[#This Row],[weekday cnt]]=6,"Weekend",Append1[[#This Row],[weekday cnt]]&gt;0,"Weekday")</f>
        <v>Weekday</v>
      </c>
      <c r="B748" s="4">
        <v>2</v>
      </c>
      <c r="C748" s="4">
        <v>67</v>
      </c>
      <c r="D748" s="4">
        <v>69</v>
      </c>
    </row>
    <row r="749" spans="1:4" x14ac:dyDescent="0.3">
      <c r="A749" t="str" cm="1">
        <f t="array" ref="A749">_xlfn.IFS(Append1[[#This Row],[weekday cnt]]=0,"Weekend",Append1[[#This Row],[weekday cnt]]=6,"Weekend",Append1[[#This Row],[weekday cnt]]&gt;0,"Weekday")</f>
        <v>Weekday</v>
      </c>
      <c r="B749" s="5">
        <v>4</v>
      </c>
      <c r="C749" s="5">
        <v>47</v>
      </c>
      <c r="D749" s="5">
        <v>51</v>
      </c>
    </row>
    <row r="750" spans="1:4" x14ac:dyDescent="0.3">
      <c r="A750" t="str" cm="1">
        <f t="array" ref="A750">_xlfn.IFS(Append1[[#This Row],[weekday cnt]]=0,"Weekend",Append1[[#This Row],[weekday cnt]]=6,"Weekend",Append1[[#This Row],[weekday cnt]]&gt;0,"Weekday")</f>
        <v>Weekday</v>
      </c>
      <c r="B750" s="4">
        <v>4</v>
      </c>
      <c r="C750" s="4">
        <v>43</v>
      </c>
      <c r="D750" s="4">
        <v>47</v>
      </c>
    </row>
    <row r="751" spans="1:4" x14ac:dyDescent="0.3">
      <c r="A751" t="str" cm="1">
        <f t="array" ref="A751">_xlfn.IFS(Append1[[#This Row],[weekday cnt]]=0,"Weekend",Append1[[#This Row],[weekday cnt]]=6,"Weekend",Append1[[#This Row],[weekday cnt]]&gt;0,"Weekday")</f>
        <v>Weekday</v>
      </c>
      <c r="B751" s="5">
        <v>4</v>
      </c>
      <c r="C751" s="5">
        <v>56</v>
      </c>
      <c r="D751" s="5">
        <v>60</v>
      </c>
    </row>
    <row r="752" spans="1:4" x14ac:dyDescent="0.3">
      <c r="A752" t="str" cm="1">
        <f t="array" ref="A752">_xlfn.IFS(Append1[[#This Row],[weekday cnt]]=0,"Weekend",Append1[[#This Row],[weekday cnt]]=6,"Weekend",Append1[[#This Row],[weekday cnt]]&gt;0,"Weekday")</f>
        <v>Weekday</v>
      </c>
      <c r="B752" s="4">
        <v>5</v>
      </c>
      <c r="C752" s="4">
        <v>73</v>
      </c>
      <c r="D752" s="4">
        <v>78</v>
      </c>
    </row>
    <row r="753" spans="1:4" x14ac:dyDescent="0.3">
      <c r="A753" t="str" cm="1">
        <f t="array" ref="A753">_xlfn.IFS(Append1[[#This Row],[weekday cnt]]=0,"Weekend",Append1[[#This Row],[weekday cnt]]=6,"Weekend",Append1[[#This Row],[weekday cnt]]&gt;0,"Weekday")</f>
        <v>Weekday</v>
      </c>
      <c r="B753" s="5">
        <v>5</v>
      </c>
      <c r="C753" s="5">
        <v>170</v>
      </c>
      <c r="D753" s="5">
        <v>175</v>
      </c>
    </row>
    <row r="754" spans="1:4" x14ac:dyDescent="0.3">
      <c r="A754" t="str" cm="1">
        <f t="array" ref="A754">_xlfn.IFS(Append1[[#This Row],[weekday cnt]]=0,"Weekend",Append1[[#This Row],[weekday cnt]]=6,"Weekend",Append1[[#This Row],[weekday cnt]]&gt;0,"Weekday")</f>
        <v>Weekday</v>
      </c>
      <c r="B754" s="4">
        <v>2</v>
      </c>
      <c r="C754" s="4">
        <v>145</v>
      </c>
      <c r="D754" s="4">
        <v>147</v>
      </c>
    </row>
    <row r="755" spans="1:4" x14ac:dyDescent="0.3">
      <c r="A755" t="str" cm="1">
        <f t="array" ref="A755">_xlfn.IFS(Append1[[#This Row],[weekday cnt]]=0,"Weekend",Append1[[#This Row],[weekday cnt]]=6,"Weekend",Append1[[#This Row],[weekday cnt]]&gt;0,"Weekday")</f>
        <v>Weekday</v>
      </c>
      <c r="B755" s="5">
        <v>4</v>
      </c>
      <c r="C755" s="5">
        <v>92</v>
      </c>
      <c r="D755" s="5">
        <v>96</v>
      </c>
    </row>
    <row r="756" spans="1:4" x14ac:dyDescent="0.3">
      <c r="A756" t="str" cm="1">
        <f t="array" ref="A756">_xlfn.IFS(Append1[[#This Row],[weekday cnt]]=0,"Weekend",Append1[[#This Row],[weekday cnt]]=6,"Weekend",Append1[[#This Row],[weekday cnt]]&gt;0,"Weekday")</f>
        <v>Weekday</v>
      </c>
      <c r="B756" s="4">
        <v>1</v>
      </c>
      <c r="C756" s="4">
        <v>108</v>
      </c>
      <c r="D756" s="4">
        <v>109</v>
      </c>
    </row>
    <row r="757" spans="1:4" x14ac:dyDescent="0.3">
      <c r="A757" t="str" cm="1">
        <f t="array" ref="A757">_xlfn.IFS(Append1[[#This Row],[weekday cnt]]=0,"Weekend",Append1[[#This Row],[weekday cnt]]=6,"Weekend",Append1[[#This Row],[weekday cnt]]&gt;0,"Weekday")</f>
        <v>Weekday</v>
      </c>
      <c r="B757" s="5">
        <v>1</v>
      </c>
      <c r="C757" s="5">
        <v>53</v>
      </c>
      <c r="D757" s="5">
        <v>54</v>
      </c>
    </row>
    <row r="758" spans="1:4" x14ac:dyDescent="0.3">
      <c r="A758" t="str" cm="1">
        <f t="array" ref="A758">_xlfn.IFS(Append1[[#This Row],[weekday cnt]]=0,"Weekend",Append1[[#This Row],[weekday cnt]]=6,"Weekend",Append1[[#This Row],[weekday cnt]]&gt;0,"Weekday")</f>
        <v>Weekday</v>
      </c>
      <c r="B758" s="4">
        <v>2</v>
      </c>
      <c r="C758" s="4">
        <v>39</v>
      </c>
      <c r="D758" s="4">
        <v>41</v>
      </c>
    </row>
    <row r="759" spans="1:4" x14ac:dyDescent="0.3">
      <c r="A759" t="str" cm="1">
        <f t="array" ref="A759">_xlfn.IFS(Append1[[#This Row],[weekday cnt]]=0,"Weekend",Append1[[#This Row],[weekday cnt]]=6,"Weekend",Append1[[#This Row],[weekday cnt]]&gt;0,"Weekday")</f>
        <v>Weekday</v>
      </c>
      <c r="B759" s="5">
        <v>4</v>
      </c>
      <c r="C759" s="5">
        <v>34</v>
      </c>
      <c r="D759" s="5">
        <v>38</v>
      </c>
    </row>
    <row r="760" spans="1:4" x14ac:dyDescent="0.3">
      <c r="A760" t="str" cm="1">
        <f t="array" ref="A760">_xlfn.IFS(Append1[[#This Row],[weekday cnt]]=0,"Weekend",Append1[[#This Row],[weekday cnt]]=6,"Weekend",Append1[[#This Row],[weekday cnt]]&gt;0,"Weekday")</f>
        <v>Weekday</v>
      </c>
      <c r="B760" s="4">
        <v>3</v>
      </c>
      <c r="C760" s="4">
        <v>10</v>
      </c>
      <c r="D760" s="4">
        <v>13</v>
      </c>
    </row>
    <row r="761" spans="1:4" x14ac:dyDescent="0.3">
      <c r="A761" t="str" cm="1">
        <f t="array" ref="A761">_xlfn.IFS(Append1[[#This Row],[weekday cnt]]=0,"Weekend",Append1[[#This Row],[weekday cnt]]=6,"Weekend",Append1[[#This Row],[weekday cnt]]&gt;0,"Weekday")</f>
        <v>Weekday</v>
      </c>
      <c r="B761" s="5">
        <v>0</v>
      </c>
      <c r="C761" s="5">
        <v>7</v>
      </c>
      <c r="D761" s="5">
        <v>7</v>
      </c>
    </row>
    <row r="762" spans="1:4" x14ac:dyDescent="0.3">
      <c r="A762" t="str" cm="1">
        <f t="array" ref="A762">_xlfn.IFS(Append1[[#This Row],[weekday cnt]]=0,"Weekend",Append1[[#This Row],[weekday cnt]]=6,"Weekend",Append1[[#This Row],[weekday cnt]]&gt;0,"Weekday")</f>
        <v>Weekday</v>
      </c>
      <c r="B762" s="4">
        <v>0</v>
      </c>
      <c r="C762" s="4">
        <v>1</v>
      </c>
      <c r="D762" s="4">
        <v>1</v>
      </c>
    </row>
    <row r="763" spans="1:4" x14ac:dyDescent="0.3">
      <c r="A763" t="str" cm="1">
        <f t="array" ref="A763">_xlfn.IFS(Append1[[#This Row],[weekday cnt]]=0,"Weekend",Append1[[#This Row],[weekday cnt]]=6,"Weekend",Append1[[#This Row],[weekday cnt]]&gt;0,"Weekday")</f>
        <v>Weekday</v>
      </c>
      <c r="B763" s="5">
        <v>0</v>
      </c>
      <c r="C763" s="5">
        <v>1</v>
      </c>
      <c r="D763" s="5">
        <v>1</v>
      </c>
    </row>
    <row r="764" spans="1:4" x14ac:dyDescent="0.3">
      <c r="A764" t="str" cm="1">
        <f t="array" ref="A764">_xlfn.IFS(Append1[[#This Row],[weekday cnt]]=0,"Weekend",Append1[[#This Row],[weekday cnt]]=6,"Weekend",Append1[[#This Row],[weekday cnt]]&gt;0,"Weekday")</f>
        <v>Weekday</v>
      </c>
      <c r="B764" s="4">
        <v>0</v>
      </c>
      <c r="C764" s="4">
        <v>7</v>
      </c>
      <c r="D764" s="4">
        <v>7</v>
      </c>
    </row>
    <row r="765" spans="1:4" x14ac:dyDescent="0.3">
      <c r="A765" t="str" cm="1">
        <f t="array" ref="A765">_xlfn.IFS(Append1[[#This Row],[weekday cnt]]=0,"Weekend",Append1[[#This Row],[weekday cnt]]=6,"Weekend",Append1[[#This Row],[weekday cnt]]&gt;0,"Weekday")</f>
        <v>Weekday</v>
      </c>
      <c r="B765" s="5">
        <v>2</v>
      </c>
      <c r="C765" s="5">
        <v>26</v>
      </c>
      <c r="D765" s="5">
        <v>28</v>
      </c>
    </row>
    <row r="766" spans="1:4" x14ac:dyDescent="0.3">
      <c r="A766" t="str" cm="1">
        <f t="array" ref="A766">_xlfn.IFS(Append1[[#This Row],[weekday cnt]]=0,"Weekend",Append1[[#This Row],[weekday cnt]]=6,"Weekend",Append1[[#This Row],[weekday cnt]]&gt;0,"Weekday")</f>
        <v>Weekday</v>
      </c>
      <c r="B766" s="4">
        <v>0</v>
      </c>
      <c r="C766" s="4">
        <v>87</v>
      </c>
      <c r="D766" s="4">
        <v>87</v>
      </c>
    </row>
    <row r="767" spans="1:4" x14ac:dyDescent="0.3">
      <c r="A767" t="str" cm="1">
        <f t="array" ref="A767">_xlfn.IFS(Append1[[#This Row],[weekday cnt]]=0,"Weekend",Append1[[#This Row],[weekday cnt]]=6,"Weekend",Append1[[#This Row],[weekday cnt]]&gt;0,"Weekday")</f>
        <v>Weekday</v>
      </c>
      <c r="B767" s="5">
        <v>3</v>
      </c>
      <c r="C767" s="5">
        <v>217</v>
      </c>
      <c r="D767" s="5">
        <v>220</v>
      </c>
    </row>
    <row r="768" spans="1:4" x14ac:dyDescent="0.3">
      <c r="A768" t="str" cm="1">
        <f t="array" ref="A768">_xlfn.IFS(Append1[[#This Row],[weekday cnt]]=0,"Weekend",Append1[[#This Row],[weekday cnt]]=6,"Weekend",Append1[[#This Row],[weekday cnt]]&gt;0,"Weekday")</f>
        <v>Weekday</v>
      </c>
      <c r="B768" s="4">
        <v>3</v>
      </c>
      <c r="C768" s="4">
        <v>124</v>
      </c>
      <c r="D768" s="4">
        <v>127</v>
      </c>
    </row>
    <row r="769" spans="1:4" x14ac:dyDescent="0.3">
      <c r="A769" t="str" cm="1">
        <f t="array" ref="A769">_xlfn.IFS(Append1[[#This Row],[weekday cnt]]=0,"Weekend",Append1[[#This Row],[weekday cnt]]=6,"Weekend",Append1[[#This Row],[weekday cnt]]&gt;0,"Weekday")</f>
        <v>Weekday</v>
      </c>
      <c r="B769" s="5">
        <v>5</v>
      </c>
      <c r="C769" s="5">
        <v>46</v>
      </c>
      <c r="D769" s="5">
        <v>51</v>
      </c>
    </row>
    <row r="770" spans="1:4" x14ac:dyDescent="0.3">
      <c r="A770" t="str" cm="1">
        <f t="array" ref="A770">_xlfn.IFS(Append1[[#This Row],[weekday cnt]]=0,"Weekend",Append1[[#This Row],[weekday cnt]]=6,"Weekend",Append1[[#This Row],[weekday cnt]]&gt;0,"Weekday")</f>
        <v>Weekday</v>
      </c>
      <c r="B770" s="4">
        <v>3</v>
      </c>
      <c r="C770" s="4">
        <v>61</v>
      </c>
      <c r="D770" s="4">
        <v>64</v>
      </c>
    </row>
    <row r="771" spans="1:4" x14ac:dyDescent="0.3">
      <c r="A771" t="str" cm="1">
        <f t="array" ref="A771">_xlfn.IFS(Append1[[#This Row],[weekday cnt]]=0,"Weekend",Append1[[#This Row],[weekday cnt]]=6,"Weekend",Append1[[#This Row],[weekday cnt]]&gt;0,"Weekday")</f>
        <v>Weekday</v>
      </c>
      <c r="B771" s="5">
        <v>8</v>
      </c>
      <c r="C771" s="5">
        <v>78</v>
      </c>
      <c r="D771" s="5">
        <v>86</v>
      </c>
    </row>
    <row r="772" spans="1:4" x14ac:dyDescent="0.3">
      <c r="A772" t="str" cm="1">
        <f t="array" ref="A772">_xlfn.IFS(Append1[[#This Row],[weekday cnt]]=0,"Weekend",Append1[[#This Row],[weekday cnt]]=6,"Weekend",Append1[[#This Row],[weekday cnt]]&gt;0,"Weekday")</f>
        <v>Weekday</v>
      </c>
      <c r="B772" s="4">
        <v>9</v>
      </c>
      <c r="C772" s="4">
        <v>73</v>
      </c>
      <c r="D772" s="4">
        <v>82</v>
      </c>
    </row>
    <row r="773" spans="1:4" x14ac:dyDescent="0.3">
      <c r="A773" t="str" cm="1">
        <f t="array" ref="A773">_xlfn.IFS(Append1[[#This Row],[weekday cnt]]=0,"Weekend",Append1[[#This Row],[weekday cnt]]=6,"Weekend",Append1[[#This Row],[weekday cnt]]&gt;0,"Weekday")</f>
        <v>Weekday</v>
      </c>
      <c r="B773" s="5">
        <v>15</v>
      </c>
      <c r="C773" s="5">
        <v>76</v>
      </c>
      <c r="D773" s="5">
        <v>91</v>
      </c>
    </row>
    <row r="774" spans="1:4" x14ac:dyDescent="0.3">
      <c r="A774" t="str" cm="1">
        <f t="array" ref="A774">_xlfn.IFS(Append1[[#This Row],[weekday cnt]]=0,"Weekend",Append1[[#This Row],[weekday cnt]]=6,"Weekend",Append1[[#This Row],[weekday cnt]]&gt;0,"Weekday")</f>
        <v>Weekday</v>
      </c>
      <c r="B774" s="4">
        <v>9</v>
      </c>
      <c r="C774" s="4">
        <v>81</v>
      </c>
      <c r="D774" s="4">
        <v>90</v>
      </c>
    </row>
    <row r="775" spans="1:4" x14ac:dyDescent="0.3">
      <c r="A775" t="str" cm="1">
        <f t="array" ref="A775">_xlfn.IFS(Append1[[#This Row],[weekday cnt]]=0,"Weekend",Append1[[#This Row],[weekday cnt]]=6,"Weekend",Append1[[#This Row],[weekday cnt]]&gt;0,"Weekday")</f>
        <v>Weekday</v>
      </c>
      <c r="B775" s="5">
        <v>8</v>
      </c>
      <c r="C775" s="5">
        <v>91</v>
      </c>
      <c r="D775" s="5">
        <v>99</v>
      </c>
    </row>
    <row r="776" spans="1:4" x14ac:dyDescent="0.3">
      <c r="A776" t="str" cm="1">
        <f t="array" ref="A776">_xlfn.IFS(Append1[[#This Row],[weekday cnt]]=0,"Weekend",Append1[[#This Row],[weekday cnt]]=6,"Weekend",Append1[[#This Row],[weekday cnt]]&gt;0,"Weekday")</f>
        <v>Weekday</v>
      </c>
      <c r="B776" s="4">
        <v>10</v>
      </c>
      <c r="C776" s="4">
        <v>195</v>
      </c>
      <c r="D776" s="4">
        <v>205</v>
      </c>
    </row>
    <row r="777" spans="1:4" x14ac:dyDescent="0.3">
      <c r="A777" t="str" cm="1">
        <f t="array" ref="A777">_xlfn.IFS(Append1[[#This Row],[weekday cnt]]=0,"Weekend",Append1[[#This Row],[weekday cnt]]=6,"Weekend",Append1[[#This Row],[weekday cnt]]&gt;0,"Weekday")</f>
        <v>Weekday</v>
      </c>
      <c r="B777" s="5">
        <v>3</v>
      </c>
      <c r="C777" s="5">
        <v>152</v>
      </c>
      <c r="D777" s="5">
        <v>155</v>
      </c>
    </row>
    <row r="778" spans="1:4" x14ac:dyDescent="0.3">
      <c r="A778" t="str" cm="1">
        <f t="array" ref="A778">_xlfn.IFS(Append1[[#This Row],[weekday cnt]]=0,"Weekend",Append1[[#This Row],[weekday cnt]]=6,"Weekend",Append1[[#This Row],[weekday cnt]]&gt;0,"Weekday")</f>
        <v>Weekday</v>
      </c>
      <c r="B778" s="4">
        <v>1</v>
      </c>
      <c r="C778" s="4">
        <v>102</v>
      </c>
      <c r="D778" s="4">
        <v>103</v>
      </c>
    </row>
    <row r="779" spans="1:4" x14ac:dyDescent="0.3">
      <c r="A779" t="str" cm="1">
        <f t="array" ref="A779">_xlfn.IFS(Append1[[#This Row],[weekday cnt]]=0,"Weekend",Append1[[#This Row],[weekday cnt]]=6,"Weekend",Append1[[#This Row],[weekday cnt]]&gt;0,"Weekday")</f>
        <v>Weekday</v>
      </c>
      <c r="B779" s="5">
        <v>2</v>
      </c>
      <c r="C779" s="5">
        <v>69</v>
      </c>
      <c r="D779" s="5">
        <v>71</v>
      </c>
    </row>
    <row r="780" spans="1:4" x14ac:dyDescent="0.3">
      <c r="A780" t="str" cm="1">
        <f t="array" ref="A780">_xlfn.IFS(Append1[[#This Row],[weekday cnt]]=0,"Weekend",Append1[[#This Row],[weekday cnt]]=6,"Weekend",Append1[[#This Row],[weekday cnt]]&gt;0,"Weekday")</f>
        <v>Weekday</v>
      </c>
      <c r="B780" s="4">
        <v>2</v>
      </c>
      <c r="C780" s="4">
        <v>41</v>
      </c>
      <c r="D780" s="4">
        <v>43</v>
      </c>
    </row>
    <row r="781" spans="1:4" x14ac:dyDescent="0.3">
      <c r="A781" t="str" cm="1">
        <f t="array" ref="A781">_xlfn.IFS(Append1[[#This Row],[weekday cnt]]=0,"Weekend",Append1[[#This Row],[weekday cnt]]=6,"Weekend",Append1[[#This Row],[weekday cnt]]&gt;0,"Weekday")</f>
        <v>Weekday</v>
      </c>
      <c r="B781" s="5">
        <v>1</v>
      </c>
      <c r="C781" s="5">
        <v>45</v>
      </c>
      <c r="D781" s="5">
        <v>46</v>
      </c>
    </row>
    <row r="782" spans="1:4" x14ac:dyDescent="0.3">
      <c r="A782" t="str" cm="1">
        <f t="array" ref="A782">_xlfn.IFS(Append1[[#This Row],[weekday cnt]]=0,"Weekend",Append1[[#This Row],[weekday cnt]]=6,"Weekend",Append1[[#This Row],[weekday cnt]]&gt;0,"Weekday")</f>
        <v>Weekday</v>
      </c>
      <c r="B782" s="4">
        <v>1</v>
      </c>
      <c r="C782" s="4">
        <v>30</v>
      </c>
      <c r="D782" s="4">
        <v>31</v>
      </c>
    </row>
    <row r="783" spans="1:4" x14ac:dyDescent="0.3">
      <c r="A783" t="str" cm="1">
        <f t="array" ref="A783">_xlfn.IFS(Append1[[#This Row],[weekday cnt]]=0,"Weekend",Append1[[#This Row],[weekday cnt]]=6,"Weekend",Append1[[#This Row],[weekday cnt]]&gt;0,"Weekday")</f>
        <v>Weekend</v>
      </c>
      <c r="B783" s="5">
        <v>3</v>
      </c>
      <c r="C783" s="5">
        <v>36</v>
      </c>
      <c r="D783" s="5">
        <v>39</v>
      </c>
    </row>
    <row r="784" spans="1:4" x14ac:dyDescent="0.3">
      <c r="A784" t="str" cm="1">
        <f t="array" ref="A784">_xlfn.IFS(Append1[[#This Row],[weekday cnt]]=0,"Weekend",Append1[[#This Row],[weekday cnt]]=6,"Weekend",Append1[[#This Row],[weekday cnt]]&gt;0,"Weekday")</f>
        <v>Weekend</v>
      </c>
      <c r="B784" s="4">
        <v>1</v>
      </c>
      <c r="C784" s="4">
        <v>17</v>
      </c>
      <c r="D784" s="4">
        <v>18</v>
      </c>
    </row>
    <row r="785" spans="1:4" x14ac:dyDescent="0.3">
      <c r="A785" t="str" cm="1">
        <f t="array" ref="A785">_xlfn.IFS(Append1[[#This Row],[weekday cnt]]=0,"Weekend",Append1[[#This Row],[weekday cnt]]=6,"Weekend",Append1[[#This Row],[weekday cnt]]&gt;0,"Weekday")</f>
        <v>Weekend</v>
      </c>
      <c r="B785" s="5">
        <v>5</v>
      </c>
      <c r="C785" s="5">
        <v>12</v>
      </c>
      <c r="D785" s="5">
        <v>17</v>
      </c>
    </row>
    <row r="786" spans="1:4" x14ac:dyDescent="0.3">
      <c r="A786" t="str" cm="1">
        <f t="array" ref="A786">_xlfn.IFS(Append1[[#This Row],[weekday cnt]]=0,"Weekend",Append1[[#This Row],[weekday cnt]]=6,"Weekend",Append1[[#This Row],[weekday cnt]]&gt;0,"Weekday")</f>
        <v>Weekend</v>
      </c>
      <c r="B786" s="4">
        <v>1</v>
      </c>
      <c r="C786" s="4">
        <v>10</v>
      </c>
      <c r="D786" s="4">
        <v>11</v>
      </c>
    </row>
    <row r="787" spans="1:4" x14ac:dyDescent="0.3">
      <c r="A787" t="str" cm="1">
        <f t="array" ref="A787">_xlfn.IFS(Append1[[#This Row],[weekday cnt]]=0,"Weekend",Append1[[#This Row],[weekday cnt]]=6,"Weekend",Append1[[#This Row],[weekday cnt]]&gt;0,"Weekday")</f>
        <v>Weekend</v>
      </c>
      <c r="B787" s="5">
        <v>0</v>
      </c>
      <c r="C787" s="5">
        <v>8</v>
      </c>
      <c r="D787" s="5">
        <v>8</v>
      </c>
    </row>
    <row r="788" spans="1:4" x14ac:dyDescent="0.3">
      <c r="A788" t="str" cm="1">
        <f t="array" ref="A788">_xlfn.IFS(Append1[[#This Row],[weekday cnt]]=0,"Weekend",Append1[[#This Row],[weekday cnt]]=6,"Weekend",Append1[[#This Row],[weekday cnt]]&gt;0,"Weekday")</f>
        <v>Weekend</v>
      </c>
      <c r="B788" s="4">
        <v>0</v>
      </c>
      <c r="C788" s="4">
        <v>9</v>
      </c>
      <c r="D788" s="4">
        <v>9</v>
      </c>
    </row>
    <row r="789" spans="1:4" x14ac:dyDescent="0.3">
      <c r="A789" t="str" cm="1">
        <f t="array" ref="A789">_xlfn.IFS(Append1[[#This Row],[weekday cnt]]=0,"Weekend",Append1[[#This Row],[weekday cnt]]=6,"Weekend",Append1[[#This Row],[weekday cnt]]&gt;0,"Weekday")</f>
        <v>Weekend</v>
      </c>
      <c r="B789" s="5">
        <v>0</v>
      </c>
      <c r="C789" s="5">
        <v>4</v>
      </c>
      <c r="D789" s="5">
        <v>4</v>
      </c>
    </row>
    <row r="790" spans="1:4" x14ac:dyDescent="0.3">
      <c r="A790" t="str" cm="1">
        <f t="array" ref="A790">_xlfn.IFS(Append1[[#This Row],[weekday cnt]]=0,"Weekend",Append1[[#This Row],[weekday cnt]]=6,"Weekend",Append1[[#This Row],[weekday cnt]]&gt;0,"Weekday")</f>
        <v>Weekend</v>
      </c>
      <c r="B790" s="4">
        <v>0</v>
      </c>
      <c r="C790" s="4">
        <v>4</v>
      </c>
      <c r="D790" s="4">
        <v>4</v>
      </c>
    </row>
    <row r="791" spans="1:4" x14ac:dyDescent="0.3">
      <c r="A791" t="str" cm="1">
        <f t="array" ref="A791">_xlfn.IFS(Append1[[#This Row],[weekday cnt]]=0,"Weekend",Append1[[#This Row],[weekday cnt]]=6,"Weekend",Append1[[#This Row],[weekday cnt]]&gt;0,"Weekday")</f>
        <v>Weekend</v>
      </c>
      <c r="B791" s="5">
        <v>0</v>
      </c>
      <c r="C791" s="5">
        <v>10</v>
      </c>
      <c r="D791" s="5">
        <v>10</v>
      </c>
    </row>
    <row r="792" spans="1:4" x14ac:dyDescent="0.3">
      <c r="A792" t="str" cm="1">
        <f t="array" ref="A792">_xlfn.IFS(Append1[[#This Row],[weekday cnt]]=0,"Weekend",Append1[[#This Row],[weekday cnt]]=6,"Weekend",Append1[[#This Row],[weekday cnt]]&gt;0,"Weekday")</f>
        <v>Weekend</v>
      </c>
      <c r="B792" s="4">
        <v>3</v>
      </c>
      <c r="C792" s="4">
        <v>17</v>
      </c>
      <c r="D792" s="4">
        <v>20</v>
      </c>
    </row>
    <row r="793" spans="1:4" x14ac:dyDescent="0.3">
      <c r="A793" t="str" cm="1">
        <f t="array" ref="A793">_xlfn.IFS(Append1[[#This Row],[weekday cnt]]=0,"Weekend",Append1[[#This Row],[weekday cnt]]=6,"Weekend",Append1[[#This Row],[weekday cnt]]&gt;0,"Weekday")</f>
        <v>Weekend</v>
      </c>
      <c r="B793" s="5">
        <v>3</v>
      </c>
      <c r="C793" s="5">
        <v>31</v>
      </c>
      <c r="D793" s="5">
        <v>34</v>
      </c>
    </row>
    <row r="794" spans="1:4" x14ac:dyDescent="0.3">
      <c r="A794" t="str" cm="1">
        <f t="array" ref="A794">_xlfn.IFS(Append1[[#This Row],[weekday cnt]]=0,"Weekend",Append1[[#This Row],[weekday cnt]]=6,"Weekend",Append1[[#This Row],[weekday cnt]]&gt;0,"Weekday")</f>
        <v>Weekend</v>
      </c>
      <c r="B794" s="4">
        <v>1</v>
      </c>
      <c r="C794" s="4">
        <v>46</v>
      </c>
      <c r="D794" s="4">
        <v>47</v>
      </c>
    </row>
    <row r="795" spans="1:4" x14ac:dyDescent="0.3">
      <c r="A795" t="str" cm="1">
        <f t="array" ref="A795">_xlfn.IFS(Append1[[#This Row],[weekday cnt]]=0,"Weekend",Append1[[#This Row],[weekday cnt]]=6,"Weekend",Append1[[#This Row],[weekday cnt]]&gt;0,"Weekday")</f>
        <v>Weekend</v>
      </c>
      <c r="B795" s="5">
        <v>10</v>
      </c>
      <c r="C795" s="5">
        <v>42</v>
      </c>
      <c r="D795" s="5">
        <v>52</v>
      </c>
    </row>
    <row r="796" spans="1:4" x14ac:dyDescent="0.3">
      <c r="A796" t="str" cm="1">
        <f t="array" ref="A796">_xlfn.IFS(Append1[[#This Row],[weekday cnt]]=0,"Weekend",Append1[[#This Row],[weekday cnt]]=6,"Weekend",Append1[[#This Row],[weekday cnt]]&gt;0,"Weekday")</f>
        <v>Weekend</v>
      </c>
      <c r="B796" s="4">
        <v>10</v>
      </c>
      <c r="C796" s="4">
        <v>62</v>
      </c>
      <c r="D796" s="4">
        <v>72</v>
      </c>
    </row>
    <row r="797" spans="1:4" x14ac:dyDescent="0.3">
      <c r="A797" t="str" cm="1">
        <f t="array" ref="A797">_xlfn.IFS(Append1[[#This Row],[weekday cnt]]=0,"Weekend",Append1[[#This Row],[weekday cnt]]=6,"Weekend",Append1[[#This Row],[weekday cnt]]&gt;0,"Weekday")</f>
        <v>Weekend</v>
      </c>
      <c r="B797" s="5">
        <v>5</v>
      </c>
      <c r="C797" s="5">
        <v>50</v>
      </c>
      <c r="D797" s="5">
        <v>55</v>
      </c>
    </row>
    <row r="798" spans="1:4" x14ac:dyDescent="0.3">
      <c r="A798" t="str" cm="1">
        <f t="array" ref="A798">_xlfn.IFS(Append1[[#This Row],[weekday cnt]]=0,"Weekend",Append1[[#This Row],[weekday cnt]]=6,"Weekend",Append1[[#This Row],[weekday cnt]]&gt;0,"Weekday")</f>
        <v>Weekend</v>
      </c>
      <c r="B798" s="4">
        <v>11</v>
      </c>
      <c r="C798" s="4">
        <v>49</v>
      </c>
      <c r="D798" s="4">
        <v>60</v>
      </c>
    </row>
    <row r="799" spans="1:4" x14ac:dyDescent="0.3">
      <c r="A799" t="str" cm="1">
        <f t="array" ref="A799">_xlfn.IFS(Append1[[#This Row],[weekday cnt]]=0,"Weekend",Append1[[#This Row],[weekday cnt]]=6,"Weekend",Append1[[#This Row],[weekday cnt]]&gt;0,"Weekday")</f>
        <v>Weekend</v>
      </c>
      <c r="B799" s="5">
        <v>8</v>
      </c>
      <c r="C799" s="5">
        <v>63</v>
      </c>
      <c r="D799" s="5">
        <v>71</v>
      </c>
    </row>
    <row r="800" spans="1:4" x14ac:dyDescent="0.3">
      <c r="A800" t="str" cm="1">
        <f t="array" ref="A800">_xlfn.IFS(Append1[[#This Row],[weekday cnt]]=0,"Weekend",Append1[[#This Row],[weekday cnt]]=6,"Weekend",Append1[[#This Row],[weekday cnt]]&gt;0,"Weekday")</f>
        <v>Weekend</v>
      </c>
      <c r="B800" s="4">
        <v>14</v>
      </c>
      <c r="C800" s="4">
        <v>64</v>
      </c>
      <c r="D800" s="4">
        <v>78</v>
      </c>
    </row>
    <row r="801" spans="1:4" x14ac:dyDescent="0.3">
      <c r="A801" t="str" cm="1">
        <f t="array" ref="A801">_xlfn.IFS(Append1[[#This Row],[weekday cnt]]=0,"Weekend",Append1[[#This Row],[weekday cnt]]=6,"Weekend",Append1[[#This Row],[weekday cnt]]&gt;0,"Weekday")</f>
        <v>Weekend</v>
      </c>
      <c r="B801" s="5">
        <v>2</v>
      </c>
      <c r="C801" s="5">
        <v>81</v>
      </c>
      <c r="D801" s="5">
        <v>83</v>
      </c>
    </row>
    <row r="802" spans="1:4" x14ac:dyDescent="0.3">
      <c r="A802" t="str" cm="1">
        <f t="array" ref="A802">_xlfn.IFS(Append1[[#This Row],[weekday cnt]]=0,"Weekend",Append1[[#This Row],[weekday cnt]]=6,"Weekend",Append1[[#This Row],[weekday cnt]]&gt;0,"Weekday")</f>
        <v>Weekend</v>
      </c>
      <c r="B802" s="4">
        <v>6</v>
      </c>
      <c r="C802" s="4">
        <v>78</v>
      </c>
      <c r="D802" s="4">
        <v>84</v>
      </c>
    </row>
    <row r="803" spans="1:4" x14ac:dyDescent="0.3">
      <c r="A803" t="str" cm="1">
        <f t="array" ref="A803">_xlfn.IFS(Append1[[#This Row],[weekday cnt]]=0,"Weekend",Append1[[#This Row],[weekday cnt]]=6,"Weekend",Append1[[#This Row],[weekday cnt]]&gt;0,"Weekday")</f>
        <v>Weekend</v>
      </c>
      <c r="B803" s="5">
        <v>5</v>
      </c>
      <c r="C803" s="5">
        <v>64</v>
      </c>
      <c r="D803" s="5">
        <v>69</v>
      </c>
    </row>
    <row r="804" spans="1:4" x14ac:dyDescent="0.3">
      <c r="A804" t="str" cm="1">
        <f t="array" ref="A804">_xlfn.IFS(Append1[[#This Row],[weekday cnt]]=0,"Weekend",Append1[[#This Row],[weekday cnt]]=6,"Weekend",Append1[[#This Row],[weekday cnt]]&gt;0,"Weekday")</f>
        <v>Weekend</v>
      </c>
      <c r="B804" s="4">
        <v>3</v>
      </c>
      <c r="C804" s="4">
        <v>53</v>
      </c>
      <c r="D804" s="4">
        <v>56</v>
      </c>
    </row>
    <row r="805" spans="1:4" x14ac:dyDescent="0.3">
      <c r="A805" t="str" cm="1">
        <f t="array" ref="A805">_xlfn.IFS(Append1[[#This Row],[weekday cnt]]=0,"Weekend",Append1[[#This Row],[weekday cnt]]=6,"Weekend",Append1[[#This Row],[weekday cnt]]&gt;0,"Weekday")</f>
        <v>Weekend</v>
      </c>
      <c r="B805" s="5">
        <v>2</v>
      </c>
      <c r="C805" s="5">
        <v>43</v>
      </c>
      <c r="D805" s="5">
        <v>45</v>
      </c>
    </row>
    <row r="806" spans="1:4" x14ac:dyDescent="0.3">
      <c r="A806" t="str" cm="1">
        <f t="array" ref="A806">_xlfn.IFS(Append1[[#This Row],[weekday cnt]]=0,"Weekend",Append1[[#This Row],[weekday cnt]]=6,"Weekend",Append1[[#This Row],[weekday cnt]]&gt;0,"Weekday")</f>
        <v>Weekend</v>
      </c>
      <c r="B806" s="4">
        <v>7</v>
      </c>
      <c r="C806" s="4">
        <v>52</v>
      </c>
      <c r="D806" s="4">
        <v>59</v>
      </c>
    </row>
    <row r="807" spans="1:4" x14ac:dyDescent="0.3">
      <c r="A807" t="str" cm="1">
        <f t="array" ref="A807">_xlfn.IFS(Append1[[#This Row],[weekday cnt]]=0,"Weekend",Append1[[#This Row],[weekday cnt]]=6,"Weekend",Append1[[#This Row],[weekday cnt]]&gt;0,"Weekday")</f>
        <v>Weekend</v>
      </c>
      <c r="B807" s="5">
        <v>2</v>
      </c>
      <c r="C807" s="5">
        <v>37</v>
      </c>
      <c r="D807" s="5">
        <v>39</v>
      </c>
    </row>
    <row r="808" spans="1:4" x14ac:dyDescent="0.3">
      <c r="A808" t="str" cm="1">
        <f t="array" ref="A808">_xlfn.IFS(Append1[[#This Row],[weekday cnt]]=0,"Weekend",Append1[[#This Row],[weekday cnt]]=6,"Weekend",Append1[[#This Row],[weekday cnt]]&gt;0,"Weekday")</f>
        <v>Weekend</v>
      </c>
      <c r="B808" s="4">
        <v>4</v>
      </c>
      <c r="C808" s="4">
        <v>40</v>
      </c>
      <c r="D808" s="4">
        <v>44</v>
      </c>
    </row>
    <row r="809" spans="1:4" x14ac:dyDescent="0.3">
      <c r="A809" t="str" cm="1">
        <f t="array" ref="A809">_xlfn.IFS(Append1[[#This Row],[weekday cnt]]=0,"Weekend",Append1[[#This Row],[weekday cnt]]=6,"Weekend",Append1[[#This Row],[weekday cnt]]&gt;0,"Weekday")</f>
        <v>Weekend</v>
      </c>
      <c r="B809" s="5">
        <v>0</v>
      </c>
      <c r="C809" s="5">
        <v>20</v>
      </c>
      <c r="D809" s="5">
        <v>20</v>
      </c>
    </row>
    <row r="810" spans="1:4" x14ac:dyDescent="0.3">
      <c r="A810" t="str" cm="1">
        <f t="array" ref="A810">_xlfn.IFS(Append1[[#This Row],[weekday cnt]]=0,"Weekend",Append1[[#This Row],[weekday cnt]]=6,"Weekend",Append1[[#This Row],[weekday cnt]]&gt;0,"Weekday")</f>
        <v>Weekend</v>
      </c>
      <c r="B810" s="4">
        <v>3</v>
      </c>
      <c r="C810" s="4">
        <v>10</v>
      </c>
      <c r="D810" s="4">
        <v>13</v>
      </c>
    </row>
    <row r="811" spans="1:4" x14ac:dyDescent="0.3">
      <c r="A811" t="str" cm="1">
        <f t="array" ref="A811">_xlfn.IFS(Append1[[#This Row],[weekday cnt]]=0,"Weekend",Append1[[#This Row],[weekday cnt]]=6,"Weekend",Append1[[#This Row],[weekday cnt]]&gt;0,"Weekday")</f>
        <v>Weekend</v>
      </c>
      <c r="B811" s="5">
        <v>0</v>
      </c>
      <c r="C811" s="5">
        <v>2</v>
      </c>
      <c r="D811" s="5">
        <v>2</v>
      </c>
    </row>
    <row r="812" spans="1:4" x14ac:dyDescent="0.3">
      <c r="A812" t="str" cm="1">
        <f t="array" ref="A812">_xlfn.IFS(Append1[[#This Row],[weekday cnt]]=0,"Weekend",Append1[[#This Row],[weekday cnt]]=6,"Weekend",Append1[[#This Row],[weekday cnt]]&gt;0,"Weekday")</f>
        <v>Weekend</v>
      </c>
      <c r="B812" s="4">
        <v>0</v>
      </c>
      <c r="C812" s="4">
        <v>1</v>
      </c>
      <c r="D812" s="4">
        <v>1</v>
      </c>
    </row>
    <row r="813" spans="1:4" x14ac:dyDescent="0.3">
      <c r="A813" t="str" cm="1">
        <f t="array" ref="A813">_xlfn.IFS(Append1[[#This Row],[weekday cnt]]=0,"Weekend",Append1[[#This Row],[weekday cnt]]=6,"Weekend",Append1[[#This Row],[weekday cnt]]&gt;0,"Weekday")</f>
        <v>Weekend</v>
      </c>
      <c r="B813" s="5">
        <v>0</v>
      </c>
      <c r="C813" s="5">
        <v>1</v>
      </c>
      <c r="D813" s="5">
        <v>1</v>
      </c>
    </row>
    <row r="814" spans="1:4" x14ac:dyDescent="0.3">
      <c r="A814" t="str" cm="1">
        <f t="array" ref="A814">_xlfn.IFS(Append1[[#This Row],[weekday cnt]]=0,"Weekend",Append1[[#This Row],[weekday cnt]]=6,"Weekend",Append1[[#This Row],[weekday cnt]]&gt;0,"Weekday")</f>
        <v>Weekend</v>
      </c>
      <c r="B814" s="4">
        <v>0</v>
      </c>
      <c r="C814" s="4">
        <v>8</v>
      </c>
      <c r="D814" s="4">
        <v>8</v>
      </c>
    </row>
    <row r="815" spans="1:4" x14ac:dyDescent="0.3">
      <c r="A815" t="str" cm="1">
        <f t="array" ref="A815">_xlfn.IFS(Append1[[#This Row],[weekday cnt]]=0,"Weekend",Append1[[#This Row],[weekday cnt]]=6,"Weekend",Append1[[#This Row],[weekday cnt]]&gt;0,"Weekday")</f>
        <v>Weekend</v>
      </c>
      <c r="B815" s="5">
        <v>2</v>
      </c>
      <c r="C815" s="5">
        <v>21</v>
      </c>
      <c r="D815" s="5">
        <v>23</v>
      </c>
    </row>
    <row r="816" spans="1:4" x14ac:dyDescent="0.3">
      <c r="A816" t="str" cm="1">
        <f t="array" ref="A816">_xlfn.IFS(Append1[[#This Row],[weekday cnt]]=0,"Weekend",Append1[[#This Row],[weekday cnt]]=6,"Weekend",Append1[[#This Row],[weekday cnt]]&gt;0,"Weekday")</f>
        <v>Weekend</v>
      </c>
      <c r="B816" s="4">
        <v>7</v>
      </c>
      <c r="C816" s="4">
        <v>38</v>
      </c>
      <c r="D816" s="4">
        <v>45</v>
      </c>
    </row>
    <row r="817" spans="1:4" x14ac:dyDescent="0.3">
      <c r="A817" t="str" cm="1">
        <f t="array" ref="A817">_xlfn.IFS(Append1[[#This Row],[weekday cnt]]=0,"Weekend",Append1[[#This Row],[weekday cnt]]=6,"Weekend",Append1[[#This Row],[weekday cnt]]&gt;0,"Weekday")</f>
        <v>Weekend</v>
      </c>
      <c r="B817" s="5">
        <v>15</v>
      </c>
      <c r="C817" s="5">
        <v>74</v>
      </c>
      <c r="D817" s="5">
        <v>89</v>
      </c>
    </row>
    <row r="818" spans="1:4" x14ac:dyDescent="0.3">
      <c r="A818" t="str" cm="1">
        <f t="array" ref="A818">_xlfn.IFS(Append1[[#This Row],[weekday cnt]]=0,"Weekend",Append1[[#This Row],[weekday cnt]]=6,"Weekend",Append1[[#This Row],[weekday cnt]]&gt;0,"Weekday")</f>
        <v>Weekend</v>
      </c>
      <c r="B818" s="4">
        <v>28</v>
      </c>
      <c r="C818" s="4">
        <v>89</v>
      </c>
      <c r="D818" s="4">
        <v>117</v>
      </c>
    </row>
    <row r="819" spans="1:4" x14ac:dyDescent="0.3">
      <c r="A819" t="str" cm="1">
        <f t="array" ref="A819">_xlfn.IFS(Append1[[#This Row],[weekday cnt]]=0,"Weekend",Append1[[#This Row],[weekday cnt]]=6,"Weekend",Append1[[#This Row],[weekday cnt]]&gt;0,"Weekday")</f>
        <v>Weekend</v>
      </c>
      <c r="B819" s="5">
        <v>48</v>
      </c>
      <c r="C819" s="5">
        <v>126</v>
      </c>
      <c r="D819" s="5">
        <v>174</v>
      </c>
    </row>
    <row r="820" spans="1:4" x14ac:dyDescent="0.3">
      <c r="A820" t="str" cm="1">
        <f t="array" ref="A820">_xlfn.IFS(Append1[[#This Row],[weekday cnt]]=0,"Weekend",Append1[[#This Row],[weekday cnt]]=6,"Weekend",Append1[[#This Row],[weekday cnt]]&gt;0,"Weekday")</f>
        <v>Weekend</v>
      </c>
      <c r="B820" s="4">
        <v>47</v>
      </c>
      <c r="C820" s="4">
        <v>135</v>
      </c>
      <c r="D820" s="4">
        <v>182</v>
      </c>
    </row>
    <row r="821" spans="1:4" x14ac:dyDescent="0.3">
      <c r="A821" t="str" cm="1">
        <f t="array" ref="A821">_xlfn.IFS(Append1[[#This Row],[weekday cnt]]=0,"Weekend",Append1[[#This Row],[weekday cnt]]=6,"Weekend",Append1[[#This Row],[weekday cnt]]&gt;0,"Weekday")</f>
        <v>Weekend</v>
      </c>
      <c r="B821" s="5">
        <v>47</v>
      </c>
      <c r="C821" s="5">
        <v>114</v>
      </c>
      <c r="D821" s="5">
        <v>161</v>
      </c>
    </row>
    <row r="822" spans="1:4" x14ac:dyDescent="0.3">
      <c r="A822" t="str" cm="1">
        <f t="array" ref="A822">_xlfn.IFS(Append1[[#This Row],[weekday cnt]]=0,"Weekend",Append1[[#This Row],[weekday cnt]]=6,"Weekend",Append1[[#This Row],[weekday cnt]]&gt;0,"Weekday")</f>
        <v>Weekend</v>
      </c>
      <c r="B822" s="4">
        <v>52</v>
      </c>
      <c r="C822" s="4">
        <v>130</v>
      </c>
      <c r="D822" s="4">
        <v>182</v>
      </c>
    </row>
    <row r="823" spans="1:4" x14ac:dyDescent="0.3">
      <c r="A823" t="str" cm="1">
        <f t="array" ref="A823">_xlfn.IFS(Append1[[#This Row],[weekday cnt]]=0,"Weekend",Append1[[#This Row],[weekday cnt]]=6,"Weekend",Append1[[#This Row],[weekday cnt]]&gt;0,"Weekday")</f>
        <v>Weekend</v>
      </c>
      <c r="B823" s="5">
        <v>42</v>
      </c>
      <c r="C823" s="5">
        <v>115</v>
      </c>
      <c r="D823" s="5">
        <v>157</v>
      </c>
    </row>
    <row r="824" spans="1:4" x14ac:dyDescent="0.3">
      <c r="A824" t="str" cm="1">
        <f t="array" ref="A824">_xlfn.IFS(Append1[[#This Row],[weekday cnt]]=0,"Weekend",Append1[[#This Row],[weekday cnt]]=6,"Weekend",Append1[[#This Row],[weekday cnt]]&gt;0,"Weekday")</f>
        <v>Weekend</v>
      </c>
      <c r="B824" s="4">
        <v>24</v>
      </c>
      <c r="C824" s="4">
        <v>97</v>
      </c>
      <c r="D824" s="4">
        <v>121</v>
      </c>
    </row>
    <row r="825" spans="1:4" x14ac:dyDescent="0.3">
      <c r="A825" t="str" cm="1">
        <f t="array" ref="A825">_xlfn.IFS(Append1[[#This Row],[weekday cnt]]=0,"Weekend",Append1[[#This Row],[weekday cnt]]=6,"Weekend",Append1[[#This Row],[weekday cnt]]&gt;0,"Weekday")</f>
        <v>Weekend</v>
      </c>
      <c r="B825" s="5">
        <v>13</v>
      </c>
      <c r="C825" s="5">
        <v>65</v>
      </c>
      <c r="D825" s="5">
        <v>78</v>
      </c>
    </row>
    <row r="826" spans="1:4" x14ac:dyDescent="0.3">
      <c r="A826" t="str" cm="1">
        <f t="array" ref="A826">_xlfn.IFS(Append1[[#This Row],[weekday cnt]]=0,"Weekend",Append1[[#This Row],[weekday cnt]]=6,"Weekend",Append1[[#This Row],[weekday cnt]]&gt;0,"Weekday")</f>
        <v>Weekend</v>
      </c>
      <c r="B826" s="4">
        <v>1</v>
      </c>
      <c r="C826" s="4">
        <v>20</v>
      </c>
      <c r="D826" s="4">
        <v>21</v>
      </c>
    </row>
    <row r="827" spans="1:4" x14ac:dyDescent="0.3">
      <c r="A827" t="str" cm="1">
        <f t="array" ref="A827">_xlfn.IFS(Append1[[#This Row],[weekday cnt]]=0,"Weekend",Append1[[#This Row],[weekday cnt]]=6,"Weekend",Append1[[#This Row],[weekday cnt]]&gt;0,"Weekday")</f>
        <v>Weekend</v>
      </c>
      <c r="B827" s="5">
        <v>5</v>
      </c>
      <c r="C827" s="5">
        <v>21</v>
      </c>
      <c r="D827" s="5">
        <v>26</v>
      </c>
    </row>
    <row r="828" spans="1:4" x14ac:dyDescent="0.3">
      <c r="A828" t="str" cm="1">
        <f t="array" ref="A828">_xlfn.IFS(Append1[[#This Row],[weekday cnt]]=0,"Weekend",Append1[[#This Row],[weekday cnt]]=6,"Weekend",Append1[[#This Row],[weekday cnt]]&gt;0,"Weekday")</f>
        <v>Weekend</v>
      </c>
      <c r="B828" s="4">
        <v>5</v>
      </c>
      <c r="C828" s="4">
        <v>22</v>
      </c>
      <c r="D828" s="4">
        <v>27</v>
      </c>
    </row>
    <row r="829" spans="1:4" x14ac:dyDescent="0.3">
      <c r="A829" t="str" cm="1">
        <f t="array" ref="A829">_xlfn.IFS(Append1[[#This Row],[weekday cnt]]=0,"Weekend",Append1[[#This Row],[weekday cnt]]=6,"Weekend",Append1[[#This Row],[weekday cnt]]&gt;0,"Weekday")</f>
        <v>Weekend</v>
      </c>
      <c r="B829" s="5">
        <v>5</v>
      </c>
      <c r="C829" s="5">
        <v>57</v>
      </c>
      <c r="D829" s="5">
        <v>62</v>
      </c>
    </row>
    <row r="830" spans="1:4" x14ac:dyDescent="0.3">
      <c r="A830" t="str" cm="1">
        <f t="array" ref="A830">_xlfn.IFS(Append1[[#This Row],[weekday cnt]]=0,"Weekend",Append1[[#This Row],[weekday cnt]]=6,"Weekend",Append1[[#This Row],[weekday cnt]]&gt;0,"Weekday")</f>
        <v>Weekend</v>
      </c>
      <c r="B830" s="4">
        <v>4</v>
      </c>
      <c r="C830" s="4">
        <v>26</v>
      </c>
      <c r="D830" s="4">
        <v>30</v>
      </c>
    </row>
    <row r="831" spans="1:4" x14ac:dyDescent="0.3">
      <c r="A831" t="str" cm="1">
        <f t="array" ref="A831">_xlfn.IFS(Append1[[#This Row],[weekday cnt]]=0,"Weekend",Append1[[#This Row],[weekday cnt]]=6,"Weekend",Append1[[#This Row],[weekday cnt]]&gt;0,"Weekday")</f>
        <v>Weekday</v>
      </c>
      <c r="B831" s="5">
        <v>1</v>
      </c>
      <c r="C831" s="5">
        <v>14</v>
      </c>
      <c r="D831" s="5">
        <v>15</v>
      </c>
    </row>
    <row r="832" spans="1:4" x14ac:dyDescent="0.3">
      <c r="A832" t="str" cm="1">
        <f t="array" ref="A832">_xlfn.IFS(Append1[[#This Row],[weekday cnt]]=0,"Weekend",Append1[[#This Row],[weekday cnt]]=6,"Weekend",Append1[[#This Row],[weekday cnt]]&gt;0,"Weekday")</f>
        <v>Weekday</v>
      </c>
      <c r="B832" s="4">
        <v>1</v>
      </c>
      <c r="C832" s="4">
        <v>4</v>
      </c>
      <c r="D832" s="4">
        <v>5</v>
      </c>
    </row>
    <row r="833" spans="1:4" x14ac:dyDescent="0.3">
      <c r="A833" t="str" cm="1">
        <f t="array" ref="A833">_xlfn.IFS(Append1[[#This Row],[weekday cnt]]=0,"Weekend",Append1[[#This Row],[weekday cnt]]=6,"Weekend",Append1[[#This Row],[weekday cnt]]&gt;0,"Weekday")</f>
        <v>Weekday</v>
      </c>
      <c r="B833" s="5">
        <v>0</v>
      </c>
      <c r="C833" s="5">
        <v>3</v>
      </c>
      <c r="D833" s="5">
        <v>3</v>
      </c>
    </row>
    <row r="834" spans="1:4" x14ac:dyDescent="0.3">
      <c r="A834" t="str" cm="1">
        <f t="array" ref="A834">_xlfn.IFS(Append1[[#This Row],[weekday cnt]]=0,"Weekend",Append1[[#This Row],[weekday cnt]]=6,"Weekend",Append1[[#This Row],[weekday cnt]]&gt;0,"Weekday")</f>
        <v>Weekday</v>
      </c>
      <c r="B834" s="4">
        <v>0</v>
      </c>
      <c r="C834" s="4">
        <v>1</v>
      </c>
      <c r="D834" s="4">
        <v>1</v>
      </c>
    </row>
    <row r="835" spans="1:4" x14ac:dyDescent="0.3">
      <c r="A835" t="str" cm="1">
        <f t="array" ref="A835">_xlfn.IFS(Append1[[#This Row],[weekday cnt]]=0,"Weekend",Append1[[#This Row],[weekday cnt]]=6,"Weekend",Append1[[#This Row],[weekday cnt]]&gt;0,"Weekday")</f>
        <v>Weekday</v>
      </c>
      <c r="B835" s="5">
        <v>1</v>
      </c>
      <c r="C835" s="5">
        <v>1</v>
      </c>
      <c r="D835" s="5">
        <v>2</v>
      </c>
    </row>
    <row r="836" spans="1:4" x14ac:dyDescent="0.3">
      <c r="A836" t="str" cm="1">
        <f t="array" ref="A836">_xlfn.IFS(Append1[[#This Row],[weekday cnt]]=0,"Weekend",Append1[[#This Row],[weekday cnt]]=6,"Weekend",Append1[[#This Row],[weekday cnt]]&gt;0,"Weekday")</f>
        <v>Weekday</v>
      </c>
      <c r="B836" s="4">
        <v>1</v>
      </c>
      <c r="C836" s="4">
        <v>9</v>
      </c>
      <c r="D836" s="4">
        <v>10</v>
      </c>
    </row>
    <row r="837" spans="1:4" x14ac:dyDescent="0.3">
      <c r="A837" t="str" cm="1">
        <f t="array" ref="A837">_xlfn.IFS(Append1[[#This Row],[weekday cnt]]=0,"Weekend",Append1[[#This Row],[weekday cnt]]=6,"Weekend",Append1[[#This Row],[weekday cnt]]&gt;0,"Weekday")</f>
        <v>Weekday</v>
      </c>
      <c r="B837" s="5">
        <v>1</v>
      </c>
      <c r="C837" s="5">
        <v>29</v>
      </c>
      <c r="D837" s="5">
        <v>30</v>
      </c>
    </row>
    <row r="838" spans="1:4" x14ac:dyDescent="0.3">
      <c r="A838" t="str" cm="1">
        <f t="array" ref="A838">_xlfn.IFS(Append1[[#This Row],[weekday cnt]]=0,"Weekend",Append1[[#This Row],[weekday cnt]]=6,"Weekend",Append1[[#This Row],[weekday cnt]]&gt;0,"Weekday")</f>
        <v>Weekday</v>
      </c>
      <c r="B838" s="4">
        <v>6</v>
      </c>
      <c r="C838" s="4">
        <v>89</v>
      </c>
      <c r="D838" s="4">
        <v>95</v>
      </c>
    </row>
    <row r="839" spans="1:4" x14ac:dyDescent="0.3">
      <c r="A839" t="str" cm="1">
        <f t="array" ref="A839">_xlfn.IFS(Append1[[#This Row],[weekday cnt]]=0,"Weekend",Append1[[#This Row],[weekday cnt]]=6,"Weekend",Append1[[#This Row],[weekday cnt]]&gt;0,"Weekday")</f>
        <v>Weekday</v>
      </c>
      <c r="B839" s="5">
        <v>7</v>
      </c>
      <c r="C839" s="5">
        <v>223</v>
      </c>
      <c r="D839" s="5">
        <v>230</v>
      </c>
    </row>
    <row r="840" spans="1:4" x14ac:dyDescent="0.3">
      <c r="A840" t="str" cm="1">
        <f t="array" ref="A840">_xlfn.IFS(Append1[[#This Row],[weekday cnt]]=0,"Weekend",Append1[[#This Row],[weekday cnt]]=6,"Weekend",Append1[[#This Row],[weekday cnt]]&gt;0,"Weekday")</f>
        <v>Weekday</v>
      </c>
      <c r="B840" s="4">
        <v>3</v>
      </c>
      <c r="C840" s="4">
        <v>115</v>
      </c>
      <c r="D840" s="4">
        <v>118</v>
      </c>
    </row>
    <row r="841" spans="1:4" x14ac:dyDescent="0.3">
      <c r="A841" t="str" cm="1">
        <f t="array" ref="A841">_xlfn.IFS(Append1[[#This Row],[weekday cnt]]=0,"Weekend",Append1[[#This Row],[weekday cnt]]=6,"Weekend",Append1[[#This Row],[weekday cnt]]&gt;0,"Weekday")</f>
        <v>Weekday</v>
      </c>
      <c r="B841" s="5">
        <v>6</v>
      </c>
      <c r="C841" s="5">
        <v>49</v>
      </c>
      <c r="D841" s="5">
        <v>55</v>
      </c>
    </row>
    <row r="842" spans="1:4" x14ac:dyDescent="0.3">
      <c r="A842" t="str" cm="1">
        <f t="array" ref="A842">_xlfn.IFS(Append1[[#This Row],[weekday cnt]]=0,"Weekend",Append1[[#This Row],[weekday cnt]]=6,"Weekend",Append1[[#This Row],[weekday cnt]]&gt;0,"Weekday")</f>
        <v>Weekday</v>
      </c>
      <c r="B842" s="4">
        <v>11</v>
      </c>
      <c r="C842" s="4">
        <v>36</v>
      </c>
      <c r="D842" s="4">
        <v>47</v>
      </c>
    </row>
    <row r="843" spans="1:4" x14ac:dyDescent="0.3">
      <c r="A843" t="str" cm="1">
        <f t="array" ref="A843">_xlfn.IFS(Append1[[#This Row],[weekday cnt]]=0,"Weekend",Append1[[#This Row],[weekday cnt]]=6,"Weekend",Append1[[#This Row],[weekday cnt]]&gt;0,"Weekday")</f>
        <v>Weekday</v>
      </c>
      <c r="B843" s="5">
        <v>7</v>
      </c>
      <c r="C843" s="5">
        <v>59</v>
      </c>
      <c r="D843" s="5">
        <v>66</v>
      </c>
    </row>
    <row r="844" spans="1:4" x14ac:dyDescent="0.3">
      <c r="A844" t="str" cm="1">
        <f t="array" ref="A844">_xlfn.IFS(Append1[[#This Row],[weekday cnt]]=0,"Weekend",Append1[[#This Row],[weekday cnt]]=6,"Weekend",Append1[[#This Row],[weekday cnt]]&gt;0,"Weekday")</f>
        <v>Weekday</v>
      </c>
      <c r="B844" s="4">
        <v>10</v>
      </c>
      <c r="C844" s="4">
        <v>54</v>
      </c>
      <c r="D844" s="4">
        <v>64</v>
      </c>
    </row>
    <row r="845" spans="1:4" x14ac:dyDescent="0.3">
      <c r="A845" t="str" cm="1">
        <f t="array" ref="A845">_xlfn.IFS(Append1[[#This Row],[weekday cnt]]=0,"Weekend",Append1[[#This Row],[weekday cnt]]=6,"Weekend",Append1[[#This Row],[weekday cnt]]&gt;0,"Weekday")</f>
        <v>Weekday</v>
      </c>
      <c r="B845" s="5">
        <v>8</v>
      </c>
      <c r="C845" s="5">
        <v>52</v>
      </c>
      <c r="D845" s="5">
        <v>60</v>
      </c>
    </row>
    <row r="846" spans="1:4" x14ac:dyDescent="0.3">
      <c r="A846" t="str" cm="1">
        <f t="array" ref="A846">_xlfn.IFS(Append1[[#This Row],[weekday cnt]]=0,"Weekend",Append1[[#This Row],[weekday cnt]]=6,"Weekend",Append1[[#This Row],[weekday cnt]]&gt;0,"Weekday")</f>
        <v>Weekday</v>
      </c>
      <c r="B846" s="4">
        <v>4</v>
      </c>
      <c r="C846" s="4">
        <v>46</v>
      </c>
      <c r="D846" s="4">
        <v>50</v>
      </c>
    </row>
    <row r="847" spans="1:4" x14ac:dyDescent="0.3">
      <c r="A847" t="str" cm="1">
        <f t="array" ref="A847">_xlfn.IFS(Append1[[#This Row],[weekday cnt]]=0,"Weekend",Append1[[#This Row],[weekday cnt]]=6,"Weekend",Append1[[#This Row],[weekday cnt]]&gt;0,"Weekday")</f>
        <v>Weekday</v>
      </c>
      <c r="B847" s="5">
        <v>16</v>
      </c>
      <c r="C847" s="5">
        <v>98</v>
      </c>
      <c r="D847" s="5">
        <v>114</v>
      </c>
    </row>
    <row r="848" spans="1:4" x14ac:dyDescent="0.3">
      <c r="A848" t="str" cm="1">
        <f t="array" ref="A848">_xlfn.IFS(Append1[[#This Row],[weekday cnt]]=0,"Weekend",Append1[[#This Row],[weekday cnt]]=6,"Weekend",Append1[[#This Row],[weekday cnt]]&gt;0,"Weekday")</f>
        <v>Weekday</v>
      </c>
      <c r="B848" s="4">
        <v>9</v>
      </c>
      <c r="C848" s="4">
        <v>207</v>
      </c>
      <c r="D848" s="4">
        <v>216</v>
      </c>
    </row>
    <row r="849" spans="1:4" x14ac:dyDescent="0.3">
      <c r="A849" t="str" cm="1">
        <f t="array" ref="A849">_xlfn.IFS(Append1[[#This Row],[weekday cnt]]=0,"Weekend",Append1[[#This Row],[weekday cnt]]=6,"Weekend",Append1[[#This Row],[weekday cnt]]&gt;0,"Weekday")</f>
        <v>Weekday</v>
      </c>
      <c r="B849" s="5">
        <v>5</v>
      </c>
      <c r="C849" s="5">
        <v>170</v>
      </c>
      <c r="D849" s="5">
        <v>175</v>
      </c>
    </row>
    <row r="850" spans="1:4" x14ac:dyDescent="0.3">
      <c r="A850" t="str" cm="1">
        <f t="array" ref="A850">_xlfn.IFS(Append1[[#This Row],[weekday cnt]]=0,"Weekend",Append1[[#This Row],[weekday cnt]]=6,"Weekend",Append1[[#This Row],[weekday cnt]]&gt;0,"Weekday")</f>
        <v>Weekday</v>
      </c>
      <c r="B850" s="4">
        <v>5</v>
      </c>
      <c r="C850" s="4">
        <v>123</v>
      </c>
      <c r="D850" s="4">
        <v>128</v>
      </c>
    </row>
    <row r="851" spans="1:4" x14ac:dyDescent="0.3">
      <c r="A851" t="str" cm="1">
        <f t="array" ref="A851">_xlfn.IFS(Append1[[#This Row],[weekday cnt]]=0,"Weekend",Append1[[#This Row],[weekday cnt]]=6,"Weekend",Append1[[#This Row],[weekday cnt]]&gt;0,"Weekday")</f>
        <v>Weekday</v>
      </c>
      <c r="B851" s="5">
        <v>6</v>
      </c>
      <c r="C851" s="5">
        <v>82</v>
      </c>
      <c r="D851" s="5">
        <v>88</v>
      </c>
    </row>
    <row r="852" spans="1:4" x14ac:dyDescent="0.3">
      <c r="A852" t="str" cm="1">
        <f t="array" ref="A852">_xlfn.IFS(Append1[[#This Row],[weekday cnt]]=0,"Weekend",Append1[[#This Row],[weekday cnt]]=6,"Weekend",Append1[[#This Row],[weekday cnt]]&gt;0,"Weekday")</f>
        <v>Weekday</v>
      </c>
      <c r="B852" s="4">
        <v>3</v>
      </c>
      <c r="C852" s="4">
        <v>75</v>
      </c>
      <c r="D852" s="4">
        <v>78</v>
      </c>
    </row>
    <row r="853" spans="1:4" x14ac:dyDescent="0.3">
      <c r="A853" t="str" cm="1">
        <f t="array" ref="A853">_xlfn.IFS(Append1[[#This Row],[weekday cnt]]=0,"Weekend",Append1[[#This Row],[weekday cnt]]=6,"Weekend",Append1[[#This Row],[weekday cnt]]&gt;0,"Weekday")</f>
        <v>Weekday</v>
      </c>
      <c r="B853" s="5">
        <v>3</v>
      </c>
      <c r="C853" s="5">
        <v>34</v>
      </c>
      <c r="D853" s="5">
        <v>37</v>
      </c>
    </row>
    <row r="854" spans="1:4" x14ac:dyDescent="0.3">
      <c r="A854" t="str" cm="1">
        <f t="array" ref="A854">_xlfn.IFS(Append1[[#This Row],[weekday cnt]]=0,"Weekend",Append1[[#This Row],[weekday cnt]]=6,"Weekend",Append1[[#This Row],[weekday cnt]]&gt;0,"Weekday")</f>
        <v>Weekday</v>
      </c>
      <c r="B854" s="4">
        <v>6</v>
      </c>
      <c r="C854" s="4">
        <v>19</v>
      </c>
      <c r="D854" s="4">
        <v>25</v>
      </c>
    </row>
    <row r="855" spans="1:4" x14ac:dyDescent="0.3">
      <c r="A855" t="str" cm="1">
        <f t="array" ref="A855">_xlfn.IFS(Append1[[#This Row],[weekday cnt]]=0,"Weekend",Append1[[#This Row],[weekday cnt]]=6,"Weekend",Append1[[#This Row],[weekday cnt]]&gt;0,"Weekday")</f>
        <v>Weekday</v>
      </c>
      <c r="B855" s="5">
        <v>4</v>
      </c>
      <c r="C855" s="5">
        <v>6</v>
      </c>
      <c r="D855" s="5">
        <v>10</v>
      </c>
    </row>
    <row r="856" spans="1:4" x14ac:dyDescent="0.3">
      <c r="A856" t="str" cm="1">
        <f t="array" ref="A856">_xlfn.IFS(Append1[[#This Row],[weekday cnt]]=0,"Weekend",Append1[[#This Row],[weekday cnt]]=6,"Weekend",Append1[[#This Row],[weekday cnt]]&gt;0,"Weekday")</f>
        <v>Weekday</v>
      </c>
      <c r="B856" s="4">
        <v>0</v>
      </c>
      <c r="C856" s="4">
        <v>4</v>
      </c>
      <c r="D856" s="4">
        <v>4</v>
      </c>
    </row>
    <row r="857" spans="1:4" x14ac:dyDescent="0.3">
      <c r="A857" t="str" cm="1">
        <f t="array" ref="A857">_xlfn.IFS(Append1[[#This Row],[weekday cnt]]=0,"Weekend",Append1[[#This Row],[weekday cnt]]=6,"Weekend",Append1[[#This Row],[weekday cnt]]&gt;0,"Weekday")</f>
        <v>Weekday</v>
      </c>
      <c r="B857" s="5">
        <v>1</v>
      </c>
      <c r="C857" s="5">
        <v>1</v>
      </c>
      <c r="D857" s="5">
        <v>2</v>
      </c>
    </row>
    <row r="858" spans="1:4" x14ac:dyDescent="0.3">
      <c r="A858" t="str" cm="1">
        <f t="array" ref="A858">_xlfn.IFS(Append1[[#This Row],[weekday cnt]]=0,"Weekend",Append1[[#This Row],[weekday cnt]]=6,"Weekend",Append1[[#This Row],[weekday cnt]]&gt;0,"Weekday")</f>
        <v>Weekday</v>
      </c>
      <c r="B858" s="4">
        <v>0</v>
      </c>
      <c r="C858" s="4">
        <v>1</v>
      </c>
      <c r="D858" s="4">
        <v>1</v>
      </c>
    </row>
    <row r="859" spans="1:4" x14ac:dyDescent="0.3">
      <c r="A859" t="str" cm="1">
        <f t="array" ref="A859">_xlfn.IFS(Append1[[#This Row],[weekday cnt]]=0,"Weekend",Append1[[#This Row],[weekday cnt]]=6,"Weekend",Append1[[#This Row],[weekday cnt]]&gt;0,"Weekday")</f>
        <v>Weekday</v>
      </c>
      <c r="B859" s="5">
        <v>0</v>
      </c>
      <c r="C859" s="5">
        <v>3</v>
      </c>
      <c r="D859" s="5">
        <v>3</v>
      </c>
    </row>
    <row r="860" spans="1:4" x14ac:dyDescent="0.3">
      <c r="A860" t="str" cm="1">
        <f t="array" ref="A860">_xlfn.IFS(Append1[[#This Row],[weekday cnt]]=0,"Weekend",Append1[[#This Row],[weekday cnt]]=6,"Weekend",Append1[[#This Row],[weekday cnt]]&gt;0,"Weekday")</f>
        <v>Weekday</v>
      </c>
      <c r="B860" s="4">
        <v>0</v>
      </c>
      <c r="C860" s="4">
        <v>2</v>
      </c>
      <c r="D860" s="4">
        <v>2</v>
      </c>
    </row>
    <row r="861" spans="1:4" x14ac:dyDescent="0.3">
      <c r="A861" t="str" cm="1">
        <f t="array" ref="A861">_xlfn.IFS(Append1[[#This Row],[weekday cnt]]=0,"Weekend",Append1[[#This Row],[weekday cnt]]=6,"Weekend",Append1[[#This Row],[weekday cnt]]&gt;0,"Weekday")</f>
        <v>Weekday</v>
      </c>
      <c r="B861" s="5">
        <v>0</v>
      </c>
      <c r="C861" s="5">
        <v>39</v>
      </c>
      <c r="D861" s="5">
        <v>39</v>
      </c>
    </row>
    <row r="862" spans="1:4" x14ac:dyDescent="0.3">
      <c r="A862" t="str" cm="1">
        <f t="array" ref="A862">_xlfn.IFS(Append1[[#This Row],[weekday cnt]]=0,"Weekend",Append1[[#This Row],[weekday cnt]]=6,"Weekend",Append1[[#This Row],[weekday cnt]]&gt;0,"Weekday")</f>
        <v>Weekday</v>
      </c>
      <c r="B862" s="4">
        <v>3</v>
      </c>
      <c r="C862" s="4">
        <v>97</v>
      </c>
      <c r="D862" s="4">
        <v>100</v>
      </c>
    </row>
    <row r="863" spans="1:4" x14ac:dyDescent="0.3">
      <c r="A863" t="str" cm="1">
        <f t="array" ref="A863">_xlfn.IFS(Append1[[#This Row],[weekday cnt]]=0,"Weekend",Append1[[#This Row],[weekday cnt]]=6,"Weekend",Append1[[#This Row],[weekday cnt]]&gt;0,"Weekday")</f>
        <v>Weekday</v>
      </c>
      <c r="B863" s="5">
        <v>7</v>
      </c>
      <c r="C863" s="5">
        <v>236</v>
      </c>
      <c r="D863" s="5">
        <v>243</v>
      </c>
    </row>
    <row r="864" spans="1:4" x14ac:dyDescent="0.3">
      <c r="A864" t="str" cm="1">
        <f t="array" ref="A864">_xlfn.IFS(Append1[[#This Row],[weekday cnt]]=0,"Weekend",Append1[[#This Row],[weekday cnt]]=6,"Weekend",Append1[[#This Row],[weekday cnt]]&gt;0,"Weekday")</f>
        <v>Weekday</v>
      </c>
      <c r="B864" s="4">
        <v>7</v>
      </c>
      <c r="C864" s="4">
        <v>128</v>
      </c>
      <c r="D864" s="4">
        <v>135</v>
      </c>
    </row>
    <row r="865" spans="1:4" x14ac:dyDescent="0.3">
      <c r="A865" t="str" cm="1">
        <f t="array" ref="A865">_xlfn.IFS(Append1[[#This Row],[weekday cnt]]=0,"Weekend",Append1[[#This Row],[weekday cnt]]=6,"Weekend",Append1[[#This Row],[weekday cnt]]&gt;0,"Weekday")</f>
        <v>Weekday</v>
      </c>
      <c r="B865" s="5">
        <v>4</v>
      </c>
      <c r="C865" s="5">
        <v>44</v>
      </c>
      <c r="D865" s="5">
        <v>48</v>
      </c>
    </row>
    <row r="866" spans="1:4" x14ac:dyDescent="0.3">
      <c r="A866" t="str" cm="1">
        <f t="array" ref="A866">_xlfn.IFS(Append1[[#This Row],[weekday cnt]]=0,"Weekend",Append1[[#This Row],[weekday cnt]]=6,"Weekend",Append1[[#This Row],[weekday cnt]]&gt;0,"Weekday")</f>
        <v>Weekday</v>
      </c>
      <c r="B866" s="4">
        <v>1</v>
      </c>
      <c r="C866" s="4">
        <v>49</v>
      </c>
      <c r="D866" s="4">
        <v>50</v>
      </c>
    </row>
    <row r="867" spans="1:4" x14ac:dyDescent="0.3">
      <c r="A867" t="str" cm="1">
        <f t="array" ref="A867">_xlfn.IFS(Append1[[#This Row],[weekday cnt]]=0,"Weekend",Append1[[#This Row],[weekday cnt]]=6,"Weekend",Append1[[#This Row],[weekday cnt]]&gt;0,"Weekday")</f>
        <v>Weekday</v>
      </c>
      <c r="B867" s="5">
        <v>2</v>
      </c>
      <c r="C867" s="5">
        <v>63</v>
      </c>
      <c r="D867" s="5">
        <v>65</v>
      </c>
    </row>
    <row r="868" spans="1:4" x14ac:dyDescent="0.3">
      <c r="A868" t="str" cm="1">
        <f t="array" ref="A868">_xlfn.IFS(Append1[[#This Row],[weekday cnt]]=0,"Weekend",Append1[[#This Row],[weekday cnt]]=6,"Weekend",Append1[[#This Row],[weekday cnt]]&gt;0,"Weekday")</f>
        <v>Weekday</v>
      </c>
      <c r="B868" s="4">
        <v>2</v>
      </c>
      <c r="C868" s="4">
        <v>48</v>
      </c>
      <c r="D868" s="4">
        <v>50</v>
      </c>
    </row>
    <row r="869" spans="1:4" x14ac:dyDescent="0.3">
      <c r="A869" t="str" cm="1">
        <f t="array" ref="A869">_xlfn.IFS(Append1[[#This Row],[weekday cnt]]=0,"Weekend",Append1[[#This Row],[weekday cnt]]=6,"Weekend",Append1[[#This Row],[weekday cnt]]&gt;0,"Weekday")</f>
        <v>Weekday</v>
      </c>
      <c r="B869" s="5">
        <v>3</v>
      </c>
      <c r="C869" s="5">
        <v>61</v>
      </c>
      <c r="D869" s="5">
        <v>64</v>
      </c>
    </row>
    <row r="870" spans="1:4" x14ac:dyDescent="0.3">
      <c r="A870" t="str" cm="1">
        <f t="array" ref="A870">_xlfn.IFS(Append1[[#This Row],[weekday cnt]]=0,"Weekend",Append1[[#This Row],[weekday cnt]]=6,"Weekend",Append1[[#This Row],[weekday cnt]]&gt;0,"Weekday")</f>
        <v>Weekday</v>
      </c>
      <c r="B870" s="4">
        <v>6</v>
      </c>
      <c r="C870" s="4">
        <v>45</v>
      </c>
      <c r="D870" s="4">
        <v>51</v>
      </c>
    </row>
    <row r="871" spans="1:4" x14ac:dyDescent="0.3">
      <c r="A871" t="str" cm="1">
        <f t="array" ref="A871">_xlfn.IFS(Append1[[#This Row],[weekday cnt]]=0,"Weekend",Append1[[#This Row],[weekday cnt]]=6,"Weekend",Append1[[#This Row],[weekday cnt]]&gt;0,"Weekday")</f>
        <v>Weekday</v>
      </c>
      <c r="B871" s="5">
        <v>4</v>
      </c>
      <c r="C871" s="5">
        <v>79</v>
      </c>
      <c r="D871" s="5">
        <v>83</v>
      </c>
    </row>
    <row r="872" spans="1:4" x14ac:dyDescent="0.3">
      <c r="A872" t="str" cm="1">
        <f t="array" ref="A872">_xlfn.IFS(Append1[[#This Row],[weekday cnt]]=0,"Weekend",Append1[[#This Row],[weekday cnt]]=6,"Weekend",Append1[[#This Row],[weekday cnt]]&gt;0,"Weekday")</f>
        <v>Weekday</v>
      </c>
      <c r="B872" s="4">
        <v>4</v>
      </c>
      <c r="C872" s="4">
        <v>172</v>
      </c>
      <c r="D872" s="4">
        <v>176</v>
      </c>
    </row>
    <row r="873" spans="1:4" x14ac:dyDescent="0.3">
      <c r="A873" t="str" cm="1">
        <f t="array" ref="A873">_xlfn.IFS(Append1[[#This Row],[weekday cnt]]=0,"Weekend",Append1[[#This Row],[weekday cnt]]=6,"Weekend",Append1[[#This Row],[weekday cnt]]&gt;0,"Weekday")</f>
        <v>Weekday</v>
      </c>
      <c r="B873" s="5">
        <v>1</v>
      </c>
      <c r="C873" s="5">
        <v>151</v>
      </c>
      <c r="D873" s="5">
        <v>152</v>
      </c>
    </row>
    <row r="874" spans="1:4" x14ac:dyDescent="0.3">
      <c r="A874" t="str" cm="1">
        <f t="array" ref="A874">_xlfn.IFS(Append1[[#This Row],[weekday cnt]]=0,"Weekend",Append1[[#This Row],[weekday cnt]]=6,"Weekend",Append1[[#This Row],[weekday cnt]]&gt;0,"Weekday")</f>
        <v>Weekday</v>
      </c>
      <c r="B874" s="4">
        <v>1</v>
      </c>
      <c r="C874" s="4">
        <v>100</v>
      </c>
      <c r="D874" s="4">
        <v>101</v>
      </c>
    </row>
    <row r="875" spans="1:4" x14ac:dyDescent="0.3">
      <c r="A875" t="str" cm="1">
        <f t="array" ref="A875">_xlfn.IFS(Append1[[#This Row],[weekday cnt]]=0,"Weekend",Append1[[#This Row],[weekday cnt]]=6,"Weekend",Append1[[#This Row],[weekday cnt]]&gt;0,"Weekday")</f>
        <v>Weekday</v>
      </c>
      <c r="B875" s="5">
        <v>3</v>
      </c>
      <c r="C875" s="5">
        <v>53</v>
      </c>
      <c r="D875" s="5">
        <v>56</v>
      </c>
    </row>
    <row r="876" spans="1:4" x14ac:dyDescent="0.3">
      <c r="A876" t="str" cm="1">
        <f t="array" ref="A876">_xlfn.IFS(Append1[[#This Row],[weekday cnt]]=0,"Weekend",Append1[[#This Row],[weekday cnt]]=6,"Weekend",Append1[[#This Row],[weekday cnt]]&gt;0,"Weekday")</f>
        <v>Weekday</v>
      </c>
      <c r="B876" s="4">
        <v>8</v>
      </c>
      <c r="C876" s="4">
        <v>46</v>
      </c>
      <c r="D876" s="4">
        <v>54</v>
      </c>
    </row>
    <row r="877" spans="1:4" x14ac:dyDescent="0.3">
      <c r="A877" t="str" cm="1">
        <f t="array" ref="A877">_xlfn.IFS(Append1[[#This Row],[weekday cnt]]=0,"Weekend",Append1[[#This Row],[weekday cnt]]=6,"Weekend",Append1[[#This Row],[weekday cnt]]&gt;0,"Weekday")</f>
        <v>Weekday</v>
      </c>
      <c r="B877" s="5">
        <v>0</v>
      </c>
      <c r="C877" s="5">
        <v>29</v>
      </c>
      <c r="D877" s="5">
        <v>29</v>
      </c>
    </row>
    <row r="878" spans="1:4" x14ac:dyDescent="0.3">
      <c r="A878" t="str" cm="1">
        <f t="array" ref="A878">_xlfn.IFS(Append1[[#This Row],[weekday cnt]]=0,"Weekend",Append1[[#This Row],[weekday cnt]]=6,"Weekend",Append1[[#This Row],[weekday cnt]]&gt;0,"Weekday")</f>
        <v>Weekday</v>
      </c>
      <c r="B878" s="4">
        <v>3</v>
      </c>
      <c r="C878" s="4">
        <v>9</v>
      </c>
      <c r="D878" s="4">
        <v>12</v>
      </c>
    </row>
    <row r="879" spans="1:4" x14ac:dyDescent="0.3">
      <c r="A879" t="str" cm="1">
        <f t="array" ref="A879">_xlfn.IFS(Append1[[#This Row],[weekday cnt]]=0,"Weekend",Append1[[#This Row],[weekday cnt]]=6,"Weekend",Append1[[#This Row],[weekday cnt]]&gt;0,"Weekday")</f>
        <v>Weekday</v>
      </c>
      <c r="B879" s="5">
        <v>0</v>
      </c>
      <c r="C879" s="5">
        <v>17</v>
      </c>
      <c r="D879" s="5">
        <v>17</v>
      </c>
    </row>
    <row r="880" spans="1:4" x14ac:dyDescent="0.3">
      <c r="A880" t="str" cm="1">
        <f t="array" ref="A880">_xlfn.IFS(Append1[[#This Row],[weekday cnt]]=0,"Weekend",Append1[[#This Row],[weekday cnt]]=6,"Weekend",Append1[[#This Row],[weekday cnt]]&gt;0,"Weekday")</f>
        <v>Weekday</v>
      </c>
      <c r="B880" s="4">
        <v>0</v>
      </c>
      <c r="C880" s="4">
        <v>7</v>
      </c>
      <c r="D880" s="4">
        <v>7</v>
      </c>
    </row>
    <row r="881" spans="1:4" x14ac:dyDescent="0.3">
      <c r="A881" t="str" cm="1">
        <f t="array" ref="A881">_xlfn.IFS(Append1[[#This Row],[weekday cnt]]=0,"Weekend",Append1[[#This Row],[weekday cnt]]=6,"Weekend",Append1[[#This Row],[weekday cnt]]&gt;0,"Weekday")</f>
        <v>Weekday</v>
      </c>
      <c r="B881" s="5">
        <v>1</v>
      </c>
      <c r="C881" s="5">
        <v>2</v>
      </c>
      <c r="D881" s="5">
        <v>3</v>
      </c>
    </row>
    <row r="882" spans="1:4" x14ac:dyDescent="0.3">
      <c r="A882" t="str" cm="1">
        <f t="array" ref="A882">_xlfn.IFS(Append1[[#This Row],[weekday cnt]]=0,"Weekend",Append1[[#This Row],[weekday cnt]]=6,"Weekend",Append1[[#This Row],[weekday cnt]]&gt;0,"Weekday")</f>
        <v>Weekday</v>
      </c>
      <c r="B882" s="4">
        <v>0</v>
      </c>
      <c r="C882" s="4">
        <v>2</v>
      </c>
      <c r="D882" s="4">
        <v>2</v>
      </c>
    </row>
    <row r="883" spans="1:4" x14ac:dyDescent="0.3">
      <c r="A883" t="str" cm="1">
        <f t="array" ref="A883">_xlfn.IFS(Append1[[#This Row],[weekday cnt]]=0,"Weekend",Append1[[#This Row],[weekday cnt]]=6,"Weekend",Append1[[#This Row],[weekday cnt]]&gt;0,"Weekday")</f>
        <v>Weekday</v>
      </c>
      <c r="B883" s="5">
        <v>0</v>
      </c>
      <c r="C883" s="5">
        <v>7</v>
      </c>
      <c r="D883" s="5">
        <v>7</v>
      </c>
    </row>
    <row r="884" spans="1:4" x14ac:dyDescent="0.3">
      <c r="A884" t="str" cm="1">
        <f t="array" ref="A884">_xlfn.IFS(Append1[[#This Row],[weekday cnt]]=0,"Weekend",Append1[[#This Row],[weekday cnt]]=6,"Weekend",Append1[[#This Row],[weekday cnt]]&gt;0,"Weekday")</f>
        <v>Weekday</v>
      </c>
      <c r="B884" s="4">
        <v>0</v>
      </c>
      <c r="C884" s="4">
        <v>43</v>
      </c>
      <c r="D884" s="4">
        <v>43</v>
      </c>
    </row>
    <row r="885" spans="1:4" x14ac:dyDescent="0.3">
      <c r="A885" t="str" cm="1">
        <f t="array" ref="A885">_xlfn.IFS(Append1[[#This Row],[weekday cnt]]=0,"Weekend",Append1[[#This Row],[weekday cnt]]=6,"Weekend",Append1[[#This Row],[weekday cnt]]&gt;0,"Weekday")</f>
        <v>Weekday</v>
      </c>
      <c r="B885" s="5">
        <v>4</v>
      </c>
      <c r="C885" s="5">
        <v>95</v>
      </c>
      <c r="D885" s="5">
        <v>99</v>
      </c>
    </row>
    <row r="886" spans="1:4" x14ac:dyDescent="0.3">
      <c r="A886" t="str" cm="1">
        <f t="array" ref="A886">_xlfn.IFS(Append1[[#This Row],[weekday cnt]]=0,"Weekend",Append1[[#This Row],[weekday cnt]]=6,"Weekend",Append1[[#This Row],[weekday cnt]]&gt;0,"Weekday")</f>
        <v>Weekday</v>
      </c>
      <c r="B886" s="4">
        <v>1</v>
      </c>
      <c r="C886" s="4">
        <v>198</v>
      </c>
      <c r="D886" s="4">
        <v>199</v>
      </c>
    </row>
    <row r="887" spans="1:4" x14ac:dyDescent="0.3">
      <c r="A887" t="str" cm="1">
        <f t="array" ref="A887">_xlfn.IFS(Append1[[#This Row],[weekday cnt]]=0,"Weekend",Append1[[#This Row],[weekday cnt]]=6,"Weekend",Append1[[#This Row],[weekday cnt]]&gt;0,"Weekday")</f>
        <v>Weekday</v>
      </c>
      <c r="B887" s="5">
        <v>4</v>
      </c>
      <c r="C887" s="5">
        <v>119</v>
      </c>
      <c r="D887" s="5">
        <v>123</v>
      </c>
    </row>
    <row r="888" spans="1:4" x14ac:dyDescent="0.3">
      <c r="A888" t="str" cm="1">
        <f t="array" ref="A888">_xlfn.IFS(Append1[[#This Row],[weekday cnt]]=0,"Weekend",Append1[[#This Row],[weekday cnt]]=6,"Weekend",Append1[[#This Row],[weekday cnt]]&gt;0,"Weekday")</f>
        <v>Weekday</v>
      </c>
      <c r="B888" s="4">
        <v>8</v>
      </c>
      <c r="C888" s="4">
        <v>51</v>
      </c>
      <c r="D888" s="4">
        <v>59</v>
      </c>
    </row>
    <row r="889" spans="1:4" x14ac:dyDescent="0.3">
      <c r="A889" t="str" cm="1">
        <f t="array" ref="A889">_xlfn.IFS(Append1[[#This Row],[weekday cnt]]=0,"Weekend",Append1[[#This Row],[weekday cnt]]=6,"Weekend",Append1[[#This Row],[weekday cnt]]&gt;0,"Weekday")</f>
        <v>Weekday</v>
      </c>
      <c r="B889" s="5">
        <v>1</v>
      </c>
      <c r="C889" s="5">
        <v>40</v>
      </c>
      <c r="D889" s="5">
        <v>41</v>
      </c>
    </row>
    <row r="890" spans="1:4" x14ac:dyDescent="0.3">
      <c r="A890" t="str" cm="1">
        <f t="array" ref="A890">_xlfn.IFS(Append1[[#This Row],[weekday cnt]]=0,"Weekend",Append1[[#This Row],[weekday cnt]]=6,"Weekend",Append1[[#This Row],[weekday cnt]]&gt;0,"Weekday")</f>
        <v>Weekday</v>
      </c>
      <c r="B890" s="4">
        <v>4</v>
      </c>
      <c r="C890" s="4">
        <v>57</v>
      </c>
      <c r="D890" s="4">
        <v>61</v>
      </c>
    </row>
    <row r="891" spans="1:4" x14ac:dyDescent="0.3">
      <c r="A891" t="str" cm="1">
        <f t="array" ref="A891">_xlfn.IFS(Append1[[#This Row],[weekday cnt]]=0,"Weekend",Append1[[#This Row],[weekday cnt]]=6,"Weekend",Append1[[#This Row],[weekday cnt]]&gt;0,"Weekday")</f>
        <v>Weekday</v>
      </c>
      <c r="B891" s="5">
        <v>2</v>
      </c>
      <c r="C891" s="5">
        <v>67</v>
      </c>
      <c r="D891" s="5">
        <v>69</v>
      </c>
    </row>
    <row r="892" spans="1:4" x14ac:dyDescent="0.3">
      <c r="A892" t="str" cm="1">
        <f t="array" ref="A892">_xlfn.IFS(Append1[[#This Row],[weekday cnt]]=0,"Weekend",Append1[[#This Row],[weekday cnt]]=6,"Weekend",Append1[[#This Row],[weekday cnt]]&gt;0,"Weekday")</f>
        <v>Weekday</v>
      </c>
      <c r="B892" s="4">
        <v>2</v>
      </c>
      <c r="C892" s="4">
        <v>56</v>
      </c>
      <c r="D892" s="4">
        <v>58</v>
      </c>
    </row>
    <row r="893" spans="1:4" x14ac:dyDescent="0.3">
      <c r="A893" t="str" cm="1">
        <f t="array" ref="A893">_xlfn.IFS(Append1[[#This Row],[weekday cnt]]=0,"Weekend",Append1[[#This Row],[weekday cnt]]=6,"Weekend",Append1[[#This Row],[weekday cnt]]&gt;0,"Weekday")</f>
        <v>Weekday</v>
      </c>
      <c r="B893" s="5">
        <v>3</v>
      </c>
      <c r="C893" s="5">
        <v>61</v>
      </c>
      <c r="D893" s="5">
        <v>64</v>
      </c>
    </row>
    <row r="894" spans="1:4" x14ac:dyDescent="0.3">
      <c r="A894" t="str" cm="1">
        <f t="array" ref="A894">_xlfn.IFS(Append1[[#This Row],[weekday cnt]]=0,"Weekend",Append1[[#This Row],[weekday cnt]]=6,"Weekend",Append1[[#This Row],[weekday cnt]]&gt;0,"Weekday")</f>
        <v>Weekday</v>
      </c>
      <c r="B894" s="4">
        <v>7</v>
      </c>
      <c r="C894" s="4">
        <v>72</v>
      </c>
      <c r="D894" s="4">
        <v>79</v>
      </c>
    </row>
    <row r="895" spans="1:4" x14ac:dyDescent="0.3">
      <c r="A895" t="str" cm="1">
        <f t="array" ref="A895">_xlfn.IFS(Append1[[#This Row],[weekday cnt]]=0,"Weekend",Append1[[#This Row],[weekday cnt]]=6,"Weekend",Append1[[#This Row],[weekday cnt]]&gt;0,"Weekday")</f>
        <v>Weekday</v>
      </c>
      <c r="B895" s="5">
        <v>9</v>
      </c>
      <c r="C895" s="5">
        <v>157</v>
      </c>
      <c r="D895" s="5">
        <v>166</v>
      </c>
    </row>
    <row r="896" spans="1:4" x14ac:dyDescent="0.3">
      <c r="A896" t="str" cm="1">
        <f t="array" ref="A896">_xlfn.IFS(Append1[[#This Row],[weekday cnt]]=0,"Weekend",Append1[[#This Row],[weekday cnt]]=6,"Weekend",Append1[[#This Row],[weekday cnt]]&gt;0,"Weekday")</f>
        <v>Weekday</v>
      </c>
      <c r="B896" s="4">
        <v>2</v>
      </c>
      <c r="C896" s="4">
        <v>168</v>
      </c>
      <c r="D896" s="4">
        <v>170</v>
      </c>
    </row>
    <row r="897" spans="1:4" x14ac:dyDescent="0.3">
      <c r="A897" t="str" cm="1">
        <f t="array" ref="A897">_xlfn.IFS(Append1[[#This Row],[weekday cnt]]=0,"Weekend",Append1[[#This Row],[weekday cnt]]=6,"Weekend",Append1[[#This Row],[weekday cnt]]&gt;0,"Weekday")</f>
        <v>Weekday</v>
      </c>
      <c r="B897" s="5">
        <v>1</v>
      </c>
      <c r="C897" s="5">
        <v>87</v>
      </c>
      <c r="D897" s="5">
        <v>88</v>
      </c>
    </row>
    <row r="898" spans="1:4" x14ac:dyDescent="0.3">
      <c r="A898" t="str" cm="1">
        <f t="array" ref="A898">_xlfn.IFS(Append1[[#This Row],[weekday cnt]]=0,"Weekend",Append1[[#This Row],[weekday cnt]]=6,"Weekend",Append1[[#This Row],[weekday cnt]]&gt;0,"Weekday")</f>
        <v>Weekday</v>
      </c>
      <c r="B898" s="4">
        <v>0</v>
      </c>
      <c r="C898" s="4">
        <v>84</v>
      </c>
      <c r="D898" s="4">
        <v>84</v>
      </c>
    </row>
    <row r="899" spans="1:4" x14ac:dyDescent="0.3">
      <c r="A899" t="str" cm="1">
        <f t="array" ref="A899">_xlfn.IFS(Append1[[#This Row],[weekday cnt]]=0,"Weekend",Append1[[#This Row],[weekday cnt]]=6,"Weekend",Append1[[#This Row],[weekday cnt]]&gt;0,"Weekday")</f>
        <v>Weekday</v>
      </c>
      <c r="B899" s="5">
        <v>0</v>
      </c>
      <c r="C899" s="5">
        <v>83</v>
      </c>
      <c r="D899" s="5">
        <v>83</v>
      </c>
    </row>
    <row r="900" spans="1:4" x14ac:dyDescent="0.3">
      <c r="A900" t="str" cm="1">
        <f t="array" ref="A900">_xlfn.IFS(Append1[[#This Row],[weekday cnt]]=0,"Weekend",Append1[[#This Row],[weekday cnt]]=6,"Weekend",Append1[[#This Row],[weekday cnt]]&gt;0,"Weekday")</f>
        <v>Weekday</v>
      </c>
      <c r="B900" s="4">
        <v>4</v>
      </c>
      <c r="C900" s="4">
        <v>42</v>
      </c>
      <c r="D900" s="4">
        <v>46</v>
      </c>
    </row>
    <row r="901" spans="1:4" x14ac:dyDescent="0.3">
      <c r="A901" t="str" cm="1">
        <f t="array" ref="A901">_xlfn.IFS(Append1[[#This Row],[weekday cnt]]=0,"Weekend",Append1[[#This Row],[weekday cnt]]=6,"Weekend",Append1[[#This Row],[weekday cnt]]&gt;0,"Weekday")</f>
        <v>Weekday</v>
      </c>
      <c r="B901" s="5">
        <v>0</v>
      </c>
      <c r="C901" s="5">
        <v>37</v>
      </c>
      <c r="D901" s="5">
        <v>37</v>
      </c>
    </row>
    <row r="902" spans="1:4" x14ac:dyDescent="0.3">
      <c r="A902" t="str" cm="1">
        <f t="array" ref="A902">_xlfn.IFS(Append1[[#This Row],[weekday cnt]]=0,"Weekend",Append1[[#This Row],[weekday cnt]]=6,"Weekend",Append1[[#This Row],[weekday cnt]]&gt;0,"Weekday")</f>
        <v>Weekday</v>
      </c>
      <c r="B902" s="4">
        <v>0</v>
      </c>
      <c r="C902" s="4">
        <v>16</v>
      </c>
      <c r="D902" s="4">
        <v>16</v>
      </c>
    </row>
    <row r="903" spans="1:4" x14ac:dyDescent="0.3">
      <c r="A903" t="str" cm="1">
        <f t="array" ref="A903">_xlfn.IFS(Append1[[#This Row],[weekday cnt]]=0,"Weekend",Append1[[#This Row],[weekday cnt]]=6,"Weekend",Append1[[#This Row],[weekday cnt]]&gt;0,"Weekday")</f>
        <v>Weekday</v>
      </c>
      <c r="B903" s="5">
        <v>0</v>
      </c>
      <c r="C903" s="5">
        <v>7</v>
      </c>
      <c r="D903" s="5">
        <v>7</v>
      </c>
    </row>
    <row r="904" spans="1:4" x14ac:dyDescent="0.3">
      <c r="A904" t="str" cm="1">
        <f t="array" ref="A904">_xlfn.IFS(Append1[[#This Row],[weekday cnt]]=0,"Weekend",Append1[[#This Row],[weekday cnt]]=6,"Weekend",Append1[[#This Row],[weekday cnt]]&gt;0,"Weekday")</f>
        <v>Weekday</v>
      </c>
      <c r="B904" s="4">
        <v>0</v>
      </c>
      <c r="C904" s="4">
        <v>3</v>
      </c>
      <c r="D904" s="4">
        <v>3</v>
      </c>
    </row>
    <row r="905" spans="1:4" x14ac:dyDescent="0.3">
      <c r="A905" t="str" cm="1">
        <f t="array" ref="A905">_xlfn.IFS(Append1[[#This Row],[weekday cnt]]=0,"Weekend",Append1[[#This Row],[weekday cnt]]=6,"Weekend",Append1[[#This Row],[weekday cnt]]&gt;0,"Weekday")</f>
        <v>Weekday</v>
      </c>
      <c r="B905" s="5">
        <v>0</v>
      </c>
      <c r="C905" s="5">
        <v>1</v>
      </c>
      <c r="D905" s="5">
        <v>1</v>
      </c>
    </row>
    <row r="906" spans="1:4" x14ac:dyDescent="0.3">
      <c r="A906" t="str" cm="1">
        <f t="array" ref="A906">_xlfn.IFS(Append1[[#This Row],[weekday cnt]]=0,"Weekend",Append1[[#This Row],[weekday cnt]]=6,"Weekend",Append1[[#This Row],[weekday cnt]]&gt;0,"Weekday")</f>
        <v>Weekday</v>
      </c>
      <c r="B906" s="4">
        <v>0</v>
      </c>
      <c r="C906" s="4">
        <v>6</v>
      </c>
      <c r="D906" s="4">
        <v>6</v>
      </c>
    </row>
    <row r="907" spans="1:4" x14ac:dyDescent="0.3">
      <c r="A907" t="str" cm="1">
        <f t="array" ref="A907">_xlfn.IFS(Append1[[#This Row],[weekday cnt]]=0,"Weekend",Append1[[#This Row],[weekday cnt]]=6,"Weekend",Append1[[#This Row],[weekday cnt]]&gt;0,"Weekday")</f>
        <v>Weekday</v>
      </c>
      <c r="B907" s="5">
        <v>0</v>
      </c>
      <c r="C907" s="5">
        <v>26</v>
      </c>
      <c r="D907" s="5">
        <v>26</v>
      </c>
    </row>
    <row r="908" spans="1:4" x14ac:dyDescent="0.3">
      <c r="A908" t="str" cm="1">
        <f t="array" ref="A908">_xlfn.IFS(Append1[[#This Row],[weekday cnt]]=0,"Weekend",Append1[[#This Row],[weekday cnt]]=6,"Weekend",Append1[[#This Row],[weekday cnt]]&gt;0,"Weekday")</f>
        <v>Weekday</v>
      </c>
      <c r="B908" s="4">
        <v>0</v>
      </c>
      <c r="C908" s="4">
        <v>99</v>
      </c>
      <c r="D908" s="4">
        <v>99</v>
      </c>
    </row>
    <row r="909" spans="1:4" x14ac:dyDescent="0.3">
      <c r="A909" t="str" cm="1">
        <f t="array" ref="A909">_xlfn.IFS(Append1[[#This Row],[weekday cnt]]=0,"Weekend",Append1[[#This Row],[weekday cnt]]=6,"Weekend",Append1[[#This Row],[weekday cnt]]&gt;0,"Weekday")</f>
        <v>Weekday</v>
      </c>
      <c r="B909" s="5">
        <v>5</v>
      </c>
      <c r="C909" s="5">
        <v>173</v>
      </c>
      <c r="D909" s="5">
        <v>178</v>
      </c>
    </row>
    <row r="910" spans="1:4" x14ac:dyDescent="0.3">
      <c r="A910" t="str" cm="1">
        <f t="array" ref="A910">_xlfn.IFS(Append1[[#This Row],[weekday cnt]]=0,"Weekend",Append1[[#This Row],[weekday cnt]]=6,"Weekend",Append1[[#This Row],[weekday cnt]]&gt;0,"Weekday")</f>
        <v>Weekday</v>
      </c>
      <c r="B910" s="4">
        <v>1</v>
      </c>
      <c r="C910" s="4">
        <v>121</v>
      </c>
      <c r="D910" s="4">
        <v>122</v>
      </c>
    </row>
    <row r="911" spans="1:4" x14ac:dyDescent="0.3">
      <c r="A911" t="str" cm="1">
        <f t="array" ref="A911">_xlfn.IFS(Append1[[#This Row],[weekday cnt]]=0,"Weekend",Append1[[#This Row],[weekday cnt]]=6,"Weekend",Append1[[#This Row],[weekday cnt]]&gt;0,"Weekday")</f>
        <v>Weekday</v>
      </c>
      <c r="B911" s="5">
        <v>1</v>
      </c>
      <c r="C911" s="5">
        <v>34</v>
      </c>
      <c r="D911" s="5">
        <v>35</v>
      </c>
    </row>
    <row r="912" spans="1:4" x14ac:dyDescent="0.3">
      <c r="A912" t="str" cm="1">
        <f t="array" ref="A912">_xlfn.IFS(Append1[[#This Row],[weekday cnt]]=0,"Weekend",Append1[[#This Row],[weekday cnt]]=6,"Weekend",Append1[[#This Row],[weekday cnt]]&gt;0,"Weekday")</f>
        <v>Weekday</v>
      </c>
      <c r="B912" s="4">
        <v>1</v>
      </c>
      <c r="C912" s="4">
        <v>44</v>
      </c>
      <c r="D912" s="4">
        <v>45</v>
      </c>
    </row>
    <row r="913" spans="1:4" x14ac:dyDescent="0.3">
      <c r="A913" t="str" cm="1">
        <f t="array" ref="A913">_xlfn.IFS(Append1[[#This Row],[weekday cnt]]=0,"Weekend",Append1[[#This Row],[weekday cnt]]=6,"Weekend",Append1[[#This Row],[weekday cnt]]&gt;0,"Weekday")</f>
        <v>Weekday</v>
      </c>
      <c r="B913" s="5">
        <v>4</v>
      </c>
      <c r="C913" s="5">
        <v>65</v>
      </c>
      <c r="D913" s="5">
        <v>69</v>
      </c>
    </row>
    <row r="914" spans="1:4" x14ac:dyDescent="0.3">
      <c r="A914" t="str" cm="1">
        <f t="array" ref="A914">_xlfn.IFS(Append1[[#This Row],[weekday cnt]]=0,"Weekend",Append1[[#This Row],[weekday cnt]]=6,"Weekend",Append1[[#This Row],[weekday cnt]]&gt;0,"Weekday")</f>
        <v>Weekday</v>
      </c>
      <c r="B914" s="4">
        <v>3</v>
      </c>
      <c r="C914" s="4">
        <v>59</v>
      </c>
      <c r="D914" s="4">
        <v>62</v>
      </c>
    </row>
    <row r="915" spans="1:4" x14ac:dyDescent="0.3">
      <c r="A915" t="str" cm="1">
        <f t="array" ref="A915">_xlfn.IFS(Append1[[#This Row],[weekday cnt]]=0,"Weekend",Append1[[#This Row],[weekday cnt]]=6,"Weekend",Append1[[#This Row],[weekday cnt]]&gt;0,"Weekday")</f>
        <v>Weekday</v>
      </c>
      <c r="B915" s="5">
        <v>6</v>
      </c>
      <c r="C915" s="5">
        <v>42</v>
      </c>
      <c r="D915" s="5">
        <v>48</v>
      </c>
    </row>
    <row r="916" spans="1:4" x14ac:dyDescent="0.3">
      <c r="A916" t="str" cm="1">
        <f t="array" ref="A916">_xlfn.IFS(Append1[[#This Row],[weekday cnt]]=0,"Weekend",Append1[[#This Row],[weekday cnt]]=6,"Weekend",Append1[[#This Row],[weekday cnt]]&gt;0,"Weekday")</f>
        <v>Weekday</v>
      </c>
      <c r="B916" s="4">
        <v>0</v>
      </c>
      <c r="C916" s="4">
        <v>50</v>
      </c>
      <c r="D916" s="4">
        <v>50</v>
      </c>
    </row>
    <row r="917" spans="1:4" x14ac:dyDescent="0.3">
      <c r="A917" t="str" cm="1">
        <f t="array" ref="A917">_xlfn.IFS(Append1[[#This Row],[weekday cnt]]=0,"Weekend",Append1[[#This Row],[weekday cnt]]=6,"Weekend",Append1[[#This Row],[weekday cnt]]&gt;0,"Weekday")</f>
        <v>Weekday</v>
      </c>
      <c r="B917" s="5">
        <v>4</v>
      </c>
      <c r="C917" s="5">
        <v>76</v>
      </c>
      <c r="D917" s="5">
        <v>80</v>
      </c>
    </row>
    <row r="918" spans="1:4" x14ac:dyDescent="0.3">
      <c r="A918" t="str" cm="1">
        <f t="array" ref="A918">_xlfn.IFS(Append1[[#This Row],[weekday cnt]]=0,"Weekend",Append1[[#This Row],[weekday cnt]]=6,"Weekend",Append1[[#This Row],[weekday cnt]]&gt;0,"Weekday")</f>
        <v>Weekday</v>
      </c>
      <c r="B918" s="4">
        <v>6</v>
      </c>
      <c r="C918" s="4">
        <v>159</v>
      </c>
      <c r="D918" s="4">
        <v>165</v>
      </c>
    </row>
    <row r="919" spans="1:4" x14ac:dyDescent="0.3">
      <c r="A919" t="str" cm="1">
        <f t="array" ref="A919">_xlfn.IFS(Append1[[#This Row],[weekday cnt]]=0,"Weekend",Append1[[#This Row],[weekday cnt]]=6,"Weekend",Append1[[#This Row],[weekday cnt]]&gt;0,"Weekday")</f>
        <v>Weekday</v>
      </c>
      <c r="B919" s="5">
        <v>3</v>
      </c>
      <c r="C919" s="5">
        <v>157</v>
      </c>
      <c r="D919" s="5">
        <v>160</v>
      </c>
    </row>
    <row r="920" spans="1:4" x14ac:dyDescent="0.3">
      <c r="A920" t="str" cm="1">
        <f t="array" ref="A920">_xlfn.IFS(Append1[[#This Row],[weekday cnt]]=0,"Weekend",Append1[[#This Row],[weekday cnt]]=6,"Weekend",Append1[[#This Row],[weekday cnt]]&gt;0,"Weekday")</f>
        <v>Weekday</v>
      </c>
      <c r="B920" s="4">
        <v>2</v>
      </c>
      <c r="C920" s="4">
        <v>110</v>
      </c>
      <c r="D920" s="4">
        <v>112</v>
      </c>
    </row>
    <row r="921" spans="1:4" x14ac:dyDescent="0.3">
      <c r="A921" t="str" cm="1">
        <f t="array" ref="A921">_xlfn.IFS(Append1[[#This Row],[weekday cnt]]=0,"Weekend",Append1[[#This Row],[weekday cnt]]=6,"Weekend",Append1[[#This Row],[weekday cnt]]&gt;0,"Weekday")</f>
        <v>Weekday</v>
      </c>
      <c r="B921" s="5">
        <v>4</v>
      </c>
      <c r="C921" s="5">
        <v>93</v>
      </c>
      <c r="D921" s="5">
        <v>97</v>
      </c>
    </row>
    <row r="922" spans="1:4" x14ac:dyDescent="0.3">
      <c r="A922" t="str" cm="1">
        <f t="array" ref="A922">_xlfn.IFS(Append1[[#This Row],[weekday cnt]]=0,"Weekend",Append1[[#This Row],[weekday cnt]]=6,"Weekend",Append1[[#This Row],[weekday cnt]]&gt;0,"Weekday")</f>
        <v>Weekday</v>
      </c>
      <c r="B922" s="4">
        <v>2</v>
      </c>
      <c r="C922" s="4">
        <v>70</v>
      </c>
      <c r="D922" s="4">
        <v>72</v>
      </c>
    </row>
    <row r="923" spans="1:4" x14ac:dyDescent="0.3">
      <c r="A923" t="str" cm="1">
        <f t="array" ref="A923">_xlfn.IFS(Append1[[#This Row],[weekday cnt]]=0,"Weekend",Append1[[#This Row],[weekday cnt]]=6,"Weekend",Append1[[#This Row],[weekday cnt]]&gt;0,"Weekday")</f>
        <v>Weekday</v>
      </c>
      <c r="B923" s="5">
        <v>4</v>
      </c>
      <c r="C923" s="5">
        <v>47</v>
      </c>
      <c r="D923" s="5">
        <v>51</v>
      </c>
    </row>
    <row r="924" spans="1:4" x14ac:dyDescent="0.3">
      <c r="A924" t="str" cm="1">
        <f t="array" ref="A924">_xlfn.IFS(Append1[[#This Row],[weekday cnt]]=0,"Weekend",Append1[[#This Row],[weekday cnt]]=6,"Weekend",Append1[[#This Row],[weekday cnt]]&gt;0,"Weekday")</f>
        <v>Weekday</v>
      </c>
      <c r="B924" s="4">
        <v>1</v>
      </c>
      <c r="C924" s="4">
        <v>33</v>
      </c>
      <c r="D924" s="4">
        <v>34</v>
      </c>
    </row>
    <row r="925" spans="1:4" x14ac:dyDescent="0.3">
      <c r="A925" t="str" cm="1">
        <f t="array" ref="A925">_xlfn.IFS(Append1[[#This Row],[weekday cnt]]=0,"Weekend",Append1[[#This Row],[weekday cnt]]=6,"Weekend",Append1[[#This Row],[weekday cnt]]&gt;0,"Weekday")</f>
        <v>Weekday</v>
      </c>
      <c r="B925" s="5">
        <v>2</v>
      </c>
      <c r="C925" s="5">
        <v>12</v>
      </c>
      <c r="D925" s="5">
        <v>14</v>
      </c>
    </row>
    <row r="926" spans="1:4" x14ac:dyDescent="0.3">
      <c r="A926" t="str" cm="1">
        <f t="array" ref="A926">_xlfn.IFS(Append1[[#This Row],[weekday cnt]]=0,"Weekend",Append1[[#This Row],[weekday cnt]]=6,"Weekend",Append1[[#This Row],[weekday cnt]]&gt;0,"Weekday")</f>
        <v>Weekday</v>
      </c>
      <c r="B926" s="4">
        <v>1</v>
      </c>
      <c r="C926" s="4">
        <v>6</v>
      </c>
      <c r="D926" s="4">
        <v>7</v>
      </c>
    </row>
    <row r="927" spans="1:4" x14ac:dyDescent="0.3">
      <c r="A927" t="str" cm="1">
        <f t="array" ref="A927">_xlfn.IFS(Append1[[#This Row],[weekday cnt]]=0,"Weekend",Append1[[#This Row],[weekday cnt]]=6,"Weekend",Append1[[#This Row],[weekday cnt]]&gt;0,"Weekday")</f>
        <v>Weekday</v>
      </c>
      <c r="B927" s="5">
        <v>0</v>
      </c>
      <c r="C927" s="5">
        <v>3</v>
      </c>
      <c r="D927" s="5">
        <v>3</v>
      </c>
    </row>
    <row r="928" spans="1:4" x14ac:dyDescent="0.3">
      <c r="A928" t="str" cm="1">
        <f t="array" ref="A928">_xlfn.IFS(Append1[[#This Row],[weekday cnt]]=0,"Weekend",Append1[[#This Row],[weekday cnt]]=6,"Weekend",Append1[[#This Row],[weekday cnt]]&gt;0,"Weekday")</f>
        <v>Weekday</v>
      </c>
      <c r="B928" s="4">
        <v>0</v>
      </c>
      <c r="C928" s="4">
        <v>4</v>
      </c>
      <c r="D928" s="4">
        <v>4</v>
      </c>
    </row>
    <row r="929" spans="1:4" x14ac:dyDescent="0.3">
      <c r="A929" t="str" cm="1">
        <f t="array" ref="A929">_xlfn.IFS(Append1[[#This Row],[weekday cnt]]=0,"Weekend",Append1[[#This Row],[weekday cnt]]=6,"Weekend",Append1[[#This Row],[weekday cnt]]&gt;0,"Weekday")</f>
        <v>Weekday</v>
      </c>
      <c r="B929" s="5">
        <v>1</v>
      </c>
      <c r="C929" s="5">
        <v>23</v>
      </c>
      <c r="D929" s="5">
        <v>24</v>
      </c>
    </row>
    <row r="930" spans="1:4" x14ac:dyDescent="0.3">
      <c r="A930" t="str" cm="1">
        <f t="array" ref="A930">_xlfn.IFS(Append1[[#This Row],[weekday cnt]]=0,"Weekend",Append1[[#This Row],[weekday cnt]]=6,"Weekend",Append1[[#This Row],[weekday cnt]]&gt;0,"Weekday")</f>
        <v>Weekday</v>
      </c>
      <c r="B930" s="4">
        <v>1</v>
      </c>
      <c r="C930" s="4">
        <v>73</v>
      </c>
      <c r="D930" s="4">
        <v>74</v>
      </c>
    </row>
    <row r="931" spans="1:4" x14ac:dyDescent="0.3">
      <c r="A931" t="str" cm="1">
        <f t="array" ref="A931">_xlfn.IFS(Append1[[#This Row],[weekday cnt]]=0,"Weekend",Append1[[#This Row],[weekday cnt]]=6,"Weekend",Append1[[#This Row],[weekday cnt]]&gt;0,"Weekday")</f>
        <v>Weekday</v>
      </c>
      <c r="B931" s="5">
        <v>4</v>
      </c>
      <c r="C931" s="5">
        <v>212</v>
      </c>
      <c r="D931" s="5">
        <v>216</v>
      </c>
    </row>
    <row r="932" spans="1:4" x14ac:dyDescent="0.3">
      <c r="A932" t="str" cm="1">
        <f t="array" ref="A932">_xlfn.IFS(Append1[[#This Row],[weekday cnt]]=0,"Weekend",Append1[[#This Row],[weekday cnt]]=6,"Weekend",Append1[[#This Row],[weekday cnt]]&gt;0,"Weekday")</f>
        <v>Weekday</v>
      </c>
      <c r="B932" s="4">
        <v>8</v>
      </c>
      <c r="C932" s="4">
        <v>132</v>
      </c>
      <c r="D932" s="4">
        <v>140</v>
      </c>
    </row>
    <row r="933" spans="1:4" x14ac:dyDescent="0.3">
      <c r="A933" t="str" cm="1">
        <f t="array" ref="A933">_xlfn.IFS(Append1[[#This Row],[weekday cnt]]=0,"Weekend",Append1[[#This Row],[weekday cnt]]=6,"Weekend",Append1[[#This Row],[weekday cnt]]&gt;0,"Weekday")</f>
        <v>Weekday</v>
      </c>
      <c r="B933" s="5">
        <v>5</v>
      </c>
      <c r="C933" s="5">
        <v>39</v>
      </c>
      <c r="D933" s="5">
        <v>44</v>
      </c>
    </row>
    <row r="934" spans="1:4" x14ac:dyDescent="0.3">
      <c r="A934" t="str" cm="1">
        <f t="array" ref="A934">_xlfn.IFS(Append1[[#This Row],[weekday cnt]]=0,"Weekend",Append1[[#This Row],[weekday cnt]]=6,"Weekend",Append1[[#This Row],[weekday cnt]]&gt;0,"Weekday")</f>
        <v>Weekday</v>
      </c>
      <c r="B934" s="4">
        <v>12</v>
      </c>
      <c r="C934" s="4">
        <v>52</v>
      </c>
      <c r="D934" s="4">
        <v>64</v>
      </c>
    </row>
    <row r="935" spans="1:4" x14ac:dyDescent="0.3">
      <c r="A935" t="str" cm="1">
        <f t="array" ref="A935">_xlfn.IFS(Append1[[#This Row],[weekday cnt]]=0,"Weekend",Append1[[#This Row],[weekday cnt]]=6,"Weekend",Append1[[#This Row],[weekday cnt]]&gt;0,"Weekday")</f>
        <v>Weekday</v>
      </c>
      <c r="B935" s="5">
        <v>7</v>
      </c>
      <c r="C935" s="5">
        <v>64</v>
      </c>
      <c r="D935" s="5">
        <v>71</v>
      </c>
    </row>
    <row r="936" spans="1:4" x14ac:dyDescent="0.3">
      <c r="A936" t="str" cm="1">
        <f t="array" ref="A936">_xlfn.IFS(Append1[[#This Row],[weekday cnt]]=0,"Weekend",Append1[[#This Row],[weekday cnt]]=6,"Weekend",Append1[[#This Row],[weekday cnt]]&gt;0,"Weekday")</f>
        <v>Weekday</v>
      </c>
      <c r="B936" s="4">
        <v>21</v>
      </c>
      <c r="C936" s="4">
        <v>89</v>
      </c>
      <c r="D936" s="4">
        <v>110</v>
      </c>
    </row>
    <row r="937" spans="1:4" x14ac:dyDescent="0.3">
      <c r="A937" t="str" cm="1">
        <f t="array" ref="A937">_xlfn.IFS(Append1[[#This Row],[weekday cnt]]=0,"Weekend",Append1[[#This Row],[weekday cnt]]=6,"Weekend",Append1[[#This Row],[weekday cnt]]&gt;0,"Weekday")</f>
        <v>Weekday</v>
      </c>
      <c r="B937" s="5">
        <v>17</v>
      </c>
      <c r="C937" s="5">
        <v>67</v>
      </c>
      <c r="D937" s="5">
        <v>84</v>
      </c>
    </row>
    <row r="938" spans="1:4" x14ac:dyDescent="0.3">
      <c r="A938" t="str" cm="1">
        <f t="array" ref="A938">_xlfn.IFS(Append1[[#This Row],[weekday cnt]]=0,"Weekend",Append1[[#This Row],[weekday cnt]]=6,"Weekend",Append1[[#This Row],[weekday cnt]]&gt;0,"Weekday")</f>
        <v>Weekday</v>
      </c>
      <c r="B938" s="4">
        <v>12</v>
      </c>
      <c r="C938" s="4">
        <v>62</v>
      </c>
      <c r="D938" s="4">
        <v>74</v>
      </c>
    </row>
    <row r="939" spans="1:4" x14ac:dyDescent="0.3">
      <c r="A939" t="str" cm="1">
        <f t="array" ref="A939">_xlfn.IFS(Append1[[#This Row],[weekday cnt]]=0,"Weekend",Append1[[#This Row],[weekday cnt]]=6,"Weekend",Append1[[#This Row],[weekday cnt]]&gt;0,"Weekday")</f>
        <v>Weekday</v>
      </c>
      <c r="B939" s="5">
        <v>14</v>
      </c>
      <c r="C939" s="5">
        <v>111</v>
      </c>
      <c r="D939" s="5">
        <v>125</v>
      </c>
    </row>
    <row r="940" spans="1:4" x14ac:dyDescent="0.3">
      <c r="A940" t="str" cm="1">
        <f t="array" ref="A940">_xlfn.IFS(Append1[[#This Row],[weekday cnt]]=0,"Weekend",Append1[[#This Row],[weekday cnt]]=6,"Weekend",Append1[[#This Row],[weekday cnt]]&gt;0,"Weekday")</f>
        <v>Weekday</v>
      </c>
      <c r="B940" s="4">
        <v>18</v>
      </c>
      <c r="C940" s="4">
        <v>193</v>
      </c>
      <c r="D940" s="4">
        <v>211</v>
      </c>
    </row>
    <row r="941" spans="1:4" x14ac:dyDescent="0.3">
      <c r="A941" t="str" cm="1">
        <f t="array" ref="A941">_xlfn.IFS(Append1[[#This Row],[weekday cnt]]=0,"Weekend",Append1[[#This Row],[weekday cnt]]=6,"Weekend",Append1[[#This Row],[weekday cnt]]&gt;0,"Weekday")</f>
        <v>Weekday</v>
      </c>
      <c r="B941" s="5">
        <v>9</v>
      </c>
      <c r="C941" s="5">
        <v>165</v>
      </c>
      <c r="D941" s="5">
        <v>174</v>
      </c>
    </row>
    <row r="942" spans="1:4" x14ac:dyDescent="0.3">
      <c r="A942" t="str" cm="1">
        <f t="array" ref="A942">_xlfn.IFS(Append1[[#This Row],[weekday cnt]]=0,"Weekend",Append1[[#This Row],[weekday cnt]]=6,"Weekend",Append1[[#This Row],[weekday cnt]]&gt;0,"Weekday")</f>
        <v>Weekday</v>
      </c>
      <c r="B942" s="4">
        <v>7</v>
      </c>
      <c r="C942" s="4">
        <v>94</v>
      </c>
      <c r="D942" s="4">
        <v>101</v>
      </c>
    </row>
    <row r="943" spans="1:4" x14ac:dyDescent="0.3">
      <c r="A943" t="str" cm="1">
        <f t="array" ref="A943">_xlfn.IFS(Append1[[#This Row],[weekday cnt]]=0,"Weekend",Append1[[#This Row],[weekday cnt]]=6,"Weekend",Append1[[#This Row],[weekday cnt]]&gt;0,"Weekday")</f>
        <v>Weekday</v>
      </c>
      <c r="B943" s="5">
        <v>2</v>
      </c>
      <c r="C943" s="5">
        <v>61</v>
      </c>
      <c r="D943" s="5">
        <v>63</v>
      </c>
    </row>
    <row r="944" spans="1:4" x14ac:dyDescent="0.3">
      <c r="A944" t="str" cm="1">
        <f t="array" ref="A944">_xlfn.IFS(Append1[[#This Row],[weekday cnt]]=0,"Weekend",Append1[[#This Row],[weekday cnt]]=6,"Weekend",Append1[[#This Row],[weekday cnt]]&gt;0,"Weekday")</f>
        <v>Weekday</v>
      </c>
      <c r="B944" s="4">
        <v>1</v>
      </c>
      <c r="C944" s="4">
        <v>46</v>
      </c>
      <c r="D944" s="4">
        <v>47</v>
      </c>
    </row>
    <row r="945" spans="1:4" x14ac:dyDescent="0.3">
      <c r="A945" t="str" cm="1">
        <f t="array" ref="A945">_xlfn.IFS(Append1[[#This Row],[weekday cnt]]=0,"Weekend",Append1[[#This Row],[weekday cnt]]=6,"Weekend",Append1[[#This Row],[weekday cnt]]&gt;0,"Weekday")</f>
        <v>Weekday</v>
      </c>
      <c r="B945" s="5">
        <v>2</v>
      </c>
      <c r="C945" s="5">
        <v>41</v>
      </c>
      <c r="D945" s="5">
        <v>43</v>
      </c>
    </row>
    <row r="946" spans="1:4" x14ac:dyDescent="0.3">
      <c r="A946" t="str" cm="1">
        <f t="array" ref="A946">_xlfn.IFS(Append1[[#This Row],[weekday cnt]]=0,"Weekend",Append1[[#This Row],[weekday cnt]]=6,"Weekend",Append1[[#This Row],[weekday cnt]]&gt;0,"Weekday")</f>
        <v>Weekday</v>
      </c>
      <c r="B946" s="4">
        <v>5</v>
      </c>
      <c r="C946" s="4">
        <v>48</v>
      </c>
      <c r="D946" s="4">
        <v>53</v>
      </c>
    </row>
    <row r="947" spans="1:4" x14ac:dyDescent="0.3">
      <c r="A947" t="str" cm="1">
        <f t="array" ref="A947">_xlfn.IFS(Append1[[#This Row],[weekday cnt]]=0,"Weekend",Append1[[#This Row],[weekday cnt]]=6,"Weekend",Append1[[#This Row],[weekday cnt]]&gt;0,"Weekday")</f>
        <v>Weekend</v>
      </c>
      <c r="B947" s="5">
        <v>3</v>
      </c>
      <c r="C947" s="5">
        <v>27</v>
      </c>
      <c r="D947" s="5">
        <v>30</v>
      </c>
    </row>
    <row r="948" spans="1:4" x14ac:dyDescent="0.3">
      <c r="A948" t="str" cm="1">
        <f t="array" ref="A948">_xlfn.IFS(Append1[[#This Row],[weekday cnt]]=0,"Weekend",Append1[[#This Row],[weekday cnt]]=6,"Weekend",Append1[[#This Row],[weekday cnt]]&gt;0,"Weekday")</f>
        <v>Weekend</v>
      </c>
      <c r="B948" s="4">
        <v>2</v>
      </c>
      <c r="C948" s="4">
        <v>22</v>
      </c>
      <c r="D948" s="4">
        <v>24</v>
      </c>
    </row>
    <row r="949" spans="1:4" x14ac:dyDescent="0.3">
      <c r="A949" t="str" cm="1">
        <f t="array" ref="A949">_xlfn.IFS(Append1[[#This Row],[weekday cnt]]=0,"Weekend",Append1[[#This Row],[weekday cnt]]=6,"Weekend",Append1[[#This Row],[weekday cnt]]&gt;0,"Weekday")</f>
        <v>Weekend</v>
      </c>
      <c r="B949" s="5">
        <v>2</v>
      </c>
      <c r="C949" s="5">
        <v>13</v>
      </c>
      <c r="D949" s="5">
        <v>15</v>
      </c>
    </row>
    <row r="950" spans="1:4" x14ac:dyDescent="0.3">
      <c r="A950" t="str" cm="1">
        <f t="array" ref="A950">_xlfn.IFS(Append1[[#This Row],[weekday cnt]]=0,"Weekend",Append1[[#This Row],[weekday cnt]]=6,"Weekend",Append1[[#This Row],[weekday cnt]]&gt;0,"Weekday")</f>
        <v>Weekend</v>
      </c>
      <c r="B950" s="4">
        <v>3</v>
      </c>
      <c r="C950" s="4">
        <v>7</v>
      </c>
      <c r="D950" s="4">
        <v>10</v>
      </c>
    </row>
    <row r="951" spans="1:4" x14ac:dyDescent="0.3">
      <c r="A951" t="str" cm="1">
        <f t="array" ref="A951">_xlfn.IFS(Append1[[#This Row],[weekday cnt]]=0,"Weekend",Append1[[#This Row],[weekday cnt]]=6,"Weekend",Append1[[#This Row],[weekday cnt]]&gt;0,"Weekday")</f>
        <v>Weekend</v>
      </c>
      <c r="B951" s="5">
        <v>0</v>
      </c>
      <c r="C951" s="5">
        <v>4</v>
      </c>
      <c r="D951" s="5">
        <v>4</v>
      </c>
    </row>
    <row r="952" spans="1:4" x14ac:dyDescent="0.3">
      <c r="A952" t="str" cm="1">
        <f t="array" ref="A952">_xlfn.IFS(Append1[[#This Row],[weekday cnt]]=0,"Weekend",Append1[[#This Row],[weekday cnt]]=6,"Weekend",Append1[[#This Row],[weekday cnt]]&gt;0,"Weekday")</f>
        <v>Weekend</v>
      </c>
      <c r="B952" s="4">
        <v>0</v>
      </c>
      <c r="C952" s="4">
        <v>1</v>
      </c>
      <c r="D952" s="4">
        <v>1</v>
      </c>
    </row>
    <row r="953" spans="1:4" x14ac:dyDescent="0.3">
      <c r="A953" t="str" cm="1">
        <f t="array" ref="A953">_xlfn.IFS(Append1[[#This Row],[weekday cnt]]=0,"Weekend",Append1[[#This Row],[weekday cnt]]=6,"Weekend",Append1[[#This Row],[weekday cnt]]&gt;0,"Weekday")</f>
        <v>Weekend</v>
      </c>
      <c r="B953" s="5">
        <v>1</v>
      </c>
      <c r="C953" s="5">
        <v>1</v>
      </c>
      <c r="D953" s="5">
        <v>2</v>
      </c>
    </row>
    <row r="954" spans="1:4" x14ac:dyDescent="0.3">
      <c r="A954" t="str" cm="1">
        <f t="array" ref="A954">_xlfn.IFS(Append1[[#This Row],[weekday cnt]]=0,"Weekend",Append1[[#This Row],[weekday cnt]]=6,"Weekend",Append1[[#This Row],[weekday cnt]]&gt;0,"Weekday")</f>
        <v>Weekend</v>
      </c>
      <c r="B954" s="4">
        <v>2</v>
      </c>
      <c r="C954" s="4">
        <v>9</v>
      </c>
      <c r="D954" s="4">
        <v>11</v>
      </c>
    </row>
    <row r="955" spans="1:4" x14ac:dyDescent="0.3">
      <c r="A955" t="str" cm="1">
        <f t="array" ref="A955">_xlfn.IFS(Append1[[#This Row],[weekday cnt]]=0,"Weekend",Append1[[#This Row],[weekday cnt]]=6,"Weekend",Append1[[#This Row],[weekday cnt]]&gt;0,"Weekday")</f>
        <v>Weekend</v>
      </c>
      <c r="B955" s="5">
        <v>2</v>
      </c>
      <c r="C955" s="5">
        <v>28</v>
      </c>
      <c r="D955" s="5">
        <v>30</v>
      </c>
    </row>
    <row r="956" spans="1:4" x14ac:dyDescent="0.3">
      <c r="A956" t="str" cm="1">
        <f t="array" ref="A956">_xlfn.IFS(Append1[[#This Row],[weekday cnt]]=0,"Weekend",Append1[[#This Row],[weekday cnt]]=6,"Weekend",Append1[[#This Row],[weekday cnt]]&gt;0,"Weekday")</f>
        <v>Weekend</v>
      </c>
      <c r="B956" s="4">
        <v>5</v>
      </c>
      <c r="C956" s="4">
        <v>38</v>
      </c>
      <c r="D956" s="4">
        <v>43</v>
      </c>
    </row>
    <row r="957" spans="1:4" x14ac:dyDescent="0.3">
      <c r="A957" t="str" cm="1">
        <f t="array" ref="A957">_xlfn.IFS(Append1[[#This Row],[weekday cnt]]=0,"Weekend",Append1[[#This Row],[weekday cnt]]=6,"Weekend",Append1[[#This Row],[weekday cnt]]&gt;0,"Weekday")</f>
        <v>Weekend</v>
      </c>
      <c r="B957" s="5">
        <v>13</v>
      </c>
      <c r="C957" s="5">
        <v>71</v>
      </c>
      <c r="D957" s="5">
        <v>84</v>
      </c>
    </row>
    <row r="958" spans="1:4" x14ac:dyDescent="0.3">
      <c r="A958" t="str" cm="1">
        <f t="array" ref="A958">_xlfn.IFS(Append1[[#This Row],[weekday cnt]]=0,"Weekend",Append1[[#This Row],[weekday cnt]]=6,"Weekend",Append1[[#This Row],[weekday cnt]]&gt;0,"Weekday")</f>
        <v>Weekend</v>
      </c>
      <c r="B958" s="4">
        <v>30</v>
      </c>
      <c r="C958" s="4">
        <v>84</v>
      </c>
      <c r="D958" s="4">
        <v>114</v>
      </c>
    </row>
    <row r="959" spans="1:4" x14ac:dyDescent="0.3">
      <c r="A959" t="str" cm="1">
        <f t="array" ref="A959">_xlfn.IFS(Append1[[#This Row],[weekday cnt]]=0,"Weekend",Append1[[#This Row],[weekday cnt]]=6,"Weekend",Append1[[#This Row],[weekday cnt]]&gt;0,"Weekday")</f>
        <v>Weekend</v>
      </c>
      <c r="B959" s="5">
        <v>27</v>
      </c>
      <c r="C959" s="5">
        <v>93</v>
      </c>
      <c r="D959" s="5">
        <v>120</v>
      </c>
    </row>
    <row r="960" spans="1:4" x14ac:dyDescent="0.3">
      <c r="A960" t="str" cm="1">
        <f t="array" ref="A960">_xlfn.IFS(Append1[[#This Row],[weekday cnt]]=0,"Weekend",Append1[[#This Row],[weekday cnt]]=6,"Weekend",Append1[[#This Row],[weekday cnt]]&gt;0,"Weekday")</f>
        <v>Weekend</v>
      </c>
      <c r="B960" s="4">
        <v>32</v>
      </c>
      <c r="C960" s="4">
        <v>103</v>
      </c>
      <c r="D960" s="4">
        <v>135</v>
      </c>
    </row>
    <row r="961" spans="1:4" x14ac:dyDescent="0.3">
      <c r="A961" t="str" cm="1">
        <f t="array" ref="A961">_xlfn.IFS(Append1[[#This Row],[weekday cnt]]=0,"Weekend",Append1[[#This Row],[weekday cnt]]=6,"Weekend",Append1[[#This Row],[weekday cnt]]&gt;0,"Weekday")</f>
        <v>Weekend</v>
      </c>
      <c r="B961" s="5">
        <v>30</v>
      </c>
      <c r="C961" s="5">
        <v>90</v>
      </c>
      <c r="D961" s="5">
        <v>120</v>
      </c>
    </row>
    <row r="962" spans="1:4" x14ac:dyDescent="0.3">
      <c r="A962" t="str" cm="1">
        <f t="array" ref="A962">_xlfn.IFS(Append1[[#This Row],[weekday cnt]]=0,"Weekend",Append1[[#This Row],[weekday cnt]]=6,"Weekend",Append1[[#This Row],[weekday cnt]]&gt;0,"Weekday")</f>
        <v>Weekend</v>
      </c>
      <c r="B962" s="4">
        <v>47</v>
      </c>
      <c r="C962" s="4">
        <v>127</v>
      </c>
      <c r="D962" s="4">
        <v>174</v>
      </c>
    </row>
    <row r="963" spans="1:4" x14ac:dyDescent="0.3">
      <c r="A963" t="str" cm="1">
        <f t="array" ref="A963">_xlfn.IFS(Append1[[#This Row],[weekday cnt]]=0,"Weekend",Append1[[#This Row],[weekday cnt]]=6,"Weekend",Append1[[#This Row],[weekday cnt]]&gt;0,"Weekday")</f>
        <v>Weekend</v>
      </c>
      <c r="B963" s="5">
        <v>42</v>
      </c>
      <c r="C963" s="5">
        <v>103</v>
      </c>
      <c r="D963" s="5">
        <v>145</v>
      </c>
    </row>
    <row r="964" spans="1:4" x14ac:dyDescent="0.3">
      <c r="A964" t="str" cm="1">
        <f t="array" ref="A964">_xlfn.IFS(Append1[[#This Row],[weekday cnt]]=0,"Weekend",Append1[[#This Row],[weekday cnt]]=6,"Weekend",Append1[[#This Row],[weekday cnt]]&gt;0,"Weekday")</f>
        <v>Weekend</v>
      </c>
      <c r="B964" s="4">
        <v>24</v>
      </c>
      <c r="C964" s="4">
        <v>113</v>
      </c>
      <c r="D964" s="4">
        <v>137</v>
      </c>
    </row>
    <row r="965" spans="1:4" x14ac:dyDescent="0.3">
      <c r="A965" t="str" cm="1">
        <f t="array" ref="A965">_xlfn.IFS(Append1[[#This Row],[weekday cnt]]=0,"Weekend",Append1[[#This Row],[weekday cnt]]=6,"Weekend",Append1[[#This Row],[weekday cnt]]&gt;0,"Weekday")</f>
        <v>Weekend</v>
      </c>
      <c r="B965" s="5">
        <v>4</v>
      </c>
      <c r="C965" s="5">
        <v>60</v>
      </c>
      <c r="D965" s="5">
        <v>64</v>
      </c>
    </row>
    <row r="966" spans="1:4" x14ac:dyDescent="0.3">
      <c r="A966" t="str" cm="1">
        <f t="array" ref="A966">_xlfn.IFS(Append1[[#This Row],[weekday cnt]]=0,"Weekend",Append1[[#This Row],[weekday cnt]]=6,"Weekend",Append1[[#This Row],[weekday cnt]]&gt;0,"Weekday")</f>
        <v>Weekend</v>
      </c>
      <c r="B966" s="4">
        <v>2</v>
      </c>
      <c r="C966" s="4">
        <v>39</v>
      </c>
      <c r="D966" s="4">
        <v>41</v>
      </c>
    </row>
    <row r="967" spans="1:4" x14ac:dyDescent="0.3">
      <c r="A967" t="str" cm="1">
        <f t="array" ref="A967">_xlfn.IFS(Append1[[#This Row],[weekday cnt]]=0,"Weekend",Append1[[#This Row],[weekday cnt]]=6,"Weekend",Append1[[#This Row],[weekday cnt]]&gt;0,"Weekday")</f>
        <v>Weekend</v>
      </c>
      <c r="B967" s="5">
        <v>1</v>
      </c>
      <c r="C967" s="5">
        <v>39</v>
      </c>
      <c r="D967" s="5">
        <v>40</v>
      </c>
    </row>
    <row r="968" spans="1:4" x14ac:dyDescent="0.3">
      <c r="A968" t="str" cm="1">
        <f t="array" ref="A968">_xlfn.IFS(Append1[[#This Row],[weekday cnt]]=0,"Weekend",Append1[[#This Row],[weekday cnt]]=6,"Weekend",Append1[[#This Row],[weekday cnt]]&gt;0,"Weekday")</f>
        <v>Weekend</v>
      </c>
      <c r="B968" s="4">
        <v>9</v>
      </c>
      <c r="C968" s="4">
        <v>42</v>
      </c>
      <c r="D968" s="4">
        <v>51</v>
      </c>
    </row>
    <row r="969" spans="1:4" x14ac:dyDescent="0.3">
      <c r="A969" t="str" cm="1">
        <f t="array" ref="A969">_xlfn.IFS(Append1[[#This Row],[weekday cnt]]=0,"Weekend",Append1[[#This Row],[weekday cnt]]=6,"Weekend",Append1[[#This Row],[weekday cnt]]&gt;0,"Weekday")</f>
        <v>Weekend</v>
      </c>
      <c r="B969" s="5">
        <v>6</v>
      </c>
      <c r="C969" s="5">
        <v>39</v>
      </c>
      <c r="D969" s="5">
        <v>45</v>
      </c>
    </row>
    <row r="970" spans="1:4" x14ac:dyDescent="0.3">
      <c r="A970" t="str" cm="1">
        <f t="array" ref="A970">_xlfn.IFS(Append1[[#This Row],[weekday cnt]]=0,"Weekend",Append1[[#This Row],[weekday cnt]]=6,"Weekend",Append1[[#This Row],[weekday cnt]]&gt;0,"Weekday")</f>
        <v>Weekend</v>
      </c>
      <c r="B970" s="4">
        <v>1</v>
      </c>
      <c r="C970" s="4">
        <v>31</v>
      </c>
      <c r="D970" s="4">
        <v>32</v>
      </c>
    </row>
    <row r="971" spans="1:4" x14ac:dyDescent="0.3">
      <c r="A971" t="str" cm="1">
        <f t="array" ref="A971">_xlfn.IFS(Append1[[#This Row],[weekday cnt]]=0,"Weekend",Append1[[#This Row],[weekday cnt]]=6,"Weekend",Append1[[#This Row],[weekday cnt]]&gt;0,"Weekday")</f>
        <v>Weekend</v>
      </c>
      <c r="B971" s="5">
        <v>5</v>
      </c>
      <c r="C971" s="5">
        <v>34</v>
      </c>
      <c r="D971" s="5">
        <v>39</v>
      </c>
    </row>
    <row r="972" spans="1:4" x14ac:dyDescent="0.3">
      <c r="A972" t="str" cm="1">
        <f t="array" ref="A972">_xlfn.IFS(Append1[[#This Row],[weekday cnt]]=0,"Weekend",Append1[[#This Row],[weekday cnt]]=6,"Weekend",Append1[[#This Row],[weekday cnt]]&gt;0,"Weekday")</f>
        <v>Weekend</v>
      </c>
      <c r="B972" s="4">
        <v>1</v>
      </c>
      <c r="C972" s="4">
        <v>23</v>
      </c>
      <c r="D972" s="4">
        <v>24</v>
      </c>
    </row>
    <row r="973" spans="1:4" x14ac:dyDescent="0.3">
      <c r="A973" t="str" cm="1">
        <f t="array" ref="A973">_xlfn.IFS(Append1[[#This Row],[weekday cnt]]=0,"Weekend",Append1[[#This Row],[weekday cnt]]=6,"Weekend",Append1[[#This Row],[weekday cnt]]&gt;0,"Weekday")</f>
        <v>Weekend</v>
      </c>
      <c r="B973" s="5">
        <v>1</v>
      </c>
      <c r="C973" s="5">
        <v>19</v>
      </c>
      <c r="D973" s="5">
        <v>20</v>
      </c>
    </row>
    <row r="974" spans="1:4" x14ac:dyDescent="0.3">
      <c r="A974" t="str" cm="1">
        <f t="array" ref="A974">_xlfn.IFS(Append1[[#This Row],[weekday cnt]]=0,"Weekend",Append1[[#This Row],[weekday cnt]]=6,"Weekend",Append1[[#This Row],[weekday cnt]]&gt;0,"Weekday")</f>
        <v>Weekend</v>
      </c>
      <c r="B974" s="4">
        <v>4</v>
      </c>
      <c r="C974" s="4">
        <v>8</v>
      </c>
      <c r="D974" s="4">
        <v>12</v>
      </c>
    </row>
    <row r="975" spans="1:4" x14ac:dyDescent="0.3">
      <c r="A975" t="str" cm="1">
        <f t="array" ref="A975">_xlfn.IFS(Append1[[#This Row],[weekday cnt]]=0,"Weekend",Append1[[#This Row],[weekday cnt]]=6,"Weekend",Append1[[#This Row],[weekday cnt]]&gt;0,"Weekday")</f>
        <v>Weekend</v>
      </c>
      <c r="B975" s="5">
        <v>0</v>
      </c>
      <c r="C975" s="5">
        <v>2</v>
      </c>
      <c r="D975" s="5">
        <v>2</v>
      </c>
    </row>
    <row r="976" spans="1:4" x14ac:dyDescent="0.3">
      <c r="A976" t="str" cm="1">
        <f t="array" ref="A976">_xlfn.IFS(Append1[[#This Row],[weekday cnt]]=0,"Weekend",Append1[[#This Row],[weekday cnt]]=6,"Weekend",Append1[[#This Row],[weekday cnt]]&gt;0,"Weekday")</f>
        <v>Weekend</v>
      </c>
      <c r="B976" s="4">
        <v>2</v>
      </c>
      <c r="C976" s="4">
        <v>3</v>
      </c>
      <c r="D976" s="4">
        <v>5</v>
      </c>
    </row>
    <row r="977" spans="1:4" x14ac:dyDescent="0.3">
      <c r="A977" t="str" cm="1">
        <f t="array" ref="A977">_xlfn.IFS(Append1[[#This Row],[weekday cnt]]=0,"Weekend",Append1[[#This Row],[weekday cnt]]=6,"Weekend",Append1[[#This Row],[weekday cnt]]&gt;0,"Weekday")</f>
        <v>Weekend</v>
      </c>
      <c r="B977" s="5">
        <v>0</v>
      </c>
      <c r="C977" s="5">
        <v>3</v>
      </c>
      <c r="D977" s="5">
        <v>3</v>
      </c>
    </row>
    <row r="978" spans="1:4" x14ac:dyDescent="0.3">
      <c r="A978" t="str" cm="1">
        <f t="array" ref="A978">_xlfn.IFS(Append1[[#This Row],[weekday cnt]]=0,"Weekend",Append1[[#This Row],[weekday cnt]]=6,"Weekend",Append1[[#This Row],[weekday cnt]]&gt;0,"Weekday")</f>
        <v>Weekend</v>
      </c>
      <c r="B978" s="4">
        <v>1</v>
      </c>
      <c r="C978" s="4">
        <v>11</v>
      </c>
      <c r="D978" s="4">
        <v>12</v>
      </c>
    </row>
    <row r="979" spans="1:4" x14ac:dyDescent="0.3">
      <c r="A979" t="str" cm="1">
        <f t="array" ref="A979">_xlfn.IFS(Append1[[#This Row],[weekday cnt]]=0,"Weekend",Append1[[#This Row],[weekday cnt]]=6,"Weekend",Append1[[#This Row],[weekday cnt]]&gt;0,"Weekday")</f>
        <v>Weekend</v>
      </c>
      <c r="B979" s="5">
        <v>12</v>
      </c>
      <c r="C979" s="5">
        <v>35</v>
      </c>
      <c r="D979" s="5">
        <v>47</v>
      </c>
    </row>
    <row r="980" spans="1:4" x14ac:dyDescent="0.3">
      <c r="A980" t="str" cm="1">
        <f t="array" ref="A980">_xlfn.IFS(Append1[[#This Row],[weekday cnt]]=0,"Weekend",Append1[[#This Row],[weekday cnt]]=6,"Weekend",Append1[[#This Row],[weekday cnt]]&gt;0,"Weekday")</f>
        <v>Weekend</v>
      </c>
      <c r="B980" s="4">
        <v>19</v>
      </c>
      <c r="C980" s="4">
        <v>86</v>
      </c>
      <c r="D980" s="4">
        <v>105</v>
      </c>
    </row>
    <row r="981" spans="1:4" x14ac:dyDescent="0.3">
      <c r="A981" t="str" cm="1">
        <f t="array" ref="A981">_xlfn.IFS(Append1[[#This Row],[weekday cnt]]=0,"Weekend",Append1[[#This Row],[weekday cnt]]=6,"Weekend",Append1[[#This Row],[weekday cnt]]&gt;0,"Weekday")</f>
        <v>Weekend</v>
      </c>
      <c r="B981" s="5">
        <v>26</v>
      </c>
      <c r="C981" s="5">
        <v>86</v>
      </c>
      <c r="D981" s="5">
        <v>112</v>
      </c>
    </row>
    <row r="982" spans="1:4" x14ac:dyDescent="0.3">
      <c r="A982" t="str" cm="1">
        <f t="array" ref="A982">_xlfn.IFS(Append1[[#This Row],[weekday cnt]]=0,"Weekend",Append1[[#This Row],[weekday cnt]]=6,"Weekend",Append1[[#This Row],[weekday cnt]]&gt;0,"Weekday")</f>
        <v>Weekend</v>
      </c>
      <c r="B982" s="4">
        <v>58</v>
      </c>
      <c r="C982" s="4">
        <v>94</v>
      </c>
      <c r="D982" s="4">
        <v>152</v>
      </c>
    </row>
    <row r="983" spans="1:4" x14ac:dyDescent="0.3">
      <c r="A983" t="str" cm="1">
        <f t="array" ref="A983">_xlfn.IFS(Append1[[#This Row],[weekday cnt]]=0,"Weekend",Append1[[#This Row],[weekday cnt]]=6,"Weekend",Append1[[#This Row],[weekday cnt]]&gt;0,"Weekday")</f>
        <v>Weekend</v>
      </c>
      <c r="B983" s="5">
        <v>62</v>
      </c>
      <c r="C983" s="5">
        <v>92</v>
      </c>
      <c r="D983" s="5">
        <v>154</v>
      </c>
    </row>
    <row r="984" spans="1:4" x14ac:dyDescent="0.3">
      <c r="A984" t="str" cm="1">
        <f t="array" ref="A984">_xlfn.IFS(Append1[[#This Row],[weekday cnt]]=0,"Weekend",Append1[[#This Row],[weekday cnt]]=6,"Weekend",Append1[[#This Row],[weekday cnt]]&gt;0,"Weekday")</f>
        <v>Weekend</v>
      </c>
      <c r="B984" s="4">
        <v>51</v>
      </c>
      <c r="C984" s="4">
        <v>110</v>
      </c>
      <c r="D984" s="4">
        <v>161</v>
      </c>
    </row>
    <row r="985" spans="1:4" x14ac:dyDescent="0.3">
      <c r="A985" t="str" cm="1">
        <f t="array" ref="A985">_xlfn.IFS(Append1[[#This Row],[weekday cnt]]=0,"Weekend",Append1[[#This Row],[weekday cnt]]=6,"Weekend",Append1[[#This Row],[weekday cnt]]&gt;0,"Weekday")</f>
        <v>Weekend</v>
      </c>
      <c r="B985" s="5">
        <v>40</v>
      </c>
      <c r="C985" s="5">
        <v>122</v>
      </c>
      <c r="D985" s="5">
        <v>162</v>
      </c>
    </row>
    <row r="986" spans="1:4" x14ac:dyDescent="0.3">
      <c r="A986" t="str" cm="1">
        <f t="array" ref="A986">_xlfn.IFS(Append1[[#This Row],[weekday cnt]]=0,"Weekend",Append1[[#This Row],[weekday cnt]]=6,"Weekend",Append1[[#This Row],[weekday cnt]]&gt;0,"Weekday")</f>
        <v>Weekend</v>
      </c>
      <c r="B986" s="4">
        <v>28</v>
      </c>
      <c r="C986" s="4">
        <v>106</v>
      </c>
      <c r="D986" s="4">
        <v>134</v>
      </c>
    </row>
    <row r="987" spans="1:4" x14ac:dyDescent="0.3">
      <c r="A987" t="str" cm="1">
        <f t="array" ref="A987">_xlfn.IFS(Append1[[#This Row],[weekday cnt]]=0,"Weekend",Append1[[#This Row],[weekday cnt]]=6,"Weekend",Append1[[#This Row],[weekday cnt]]&gt;0,"Weekday")</f>
        <v>Weekend</v>
      </c>
      <c r="B987" s="5">
        <v>30</v>
      </c>
      <c r="C987" s="5">
        <v>95</v>
      </c>
      <c r="D987" s="5">
        <v>125</v>
      </c>
    </row>
    <row r="988" spans="1:4" x14ac:dyDescent="0.3">
      <c r="A988" t="str" cm="1">
        <f t="array" ref="A988">_xlfn.IFS(Append1[[#This Row],[weekday cnt]]=0,"Weekend",Append1[[#This Row],[weekday cnt]]=6,"Weekend",Append1[[#This Row],[weekday cnt]]&gt;0,"Weekday")</f>
        <v>Weekend</v>
      </c>
      <c r="B988" s="4">
        <v>17</v>
      </c>
      <c r="C988" s="4">
        <v>78</v>
      </c>
      <c r="D988" s="4">
        <v>95</v>
      </c>
    </row>
    <row r="989" spans="1:4" x14ac:dyDescent="0.3">
      <c r="A989" t="str" cm="1">
        <f t="array" ref="A989">_xlfn.IFS(Append1[[#This Row],[weekday cnt]]=0,"Weekend",Append1[[#This Row],[weekday cnt]]=6,"Weekend",Append1[[#This Row],[weekday cnt]]&gt;0,"Weekday")</f>
        <v>Weekend</v>
      </c>
      <c r="B989" s="5">
        <v>11</v>
      </c>
      <c r="C989" s="5">
        <v>50</v>
      </c>
      <c r="D989" s="5">
        <v>61</v>
      </c>
    </row>
    <row r="990" spans="1:4" x14ac:dyDescent="0.3">
      <c r="A990" t="str" cm="1">
        <f t="array" ref="A990">_xlfn.IFS(Append1[[#This Row],[weekday cnt]]=0,"Weekend",Append1[[#This Row],[weekday cnt]]=6,"Weekend",Append1[[#This Row],[weekday cnt]]&gt;0,"Weekday")</f>
        <v>Weekend</v>
      </c>
      <c r="B990" s="4">
        <v>15</v>
      </c>
      <c r="C990" s="4">
        <v>32</v>
      </c>
      <c r="D990" s="4">
        <v>47</v>
      </c>
    </row>
    <row r="991" spans="1:4" x14ac:dyDescent="0.3">
      <c r="A991" t="str" cm="1">
        <f t="array" ref="A991">_xlfn.IFS(Append1[[#This Row],[weekday cnt]]=0,"Weekend",Append1[[#This Row],[weekday cnt]]=6,"Weekend",Append1[[#This Row],[weekday cnt]]&gt;0,"Weekday")</f>
        <v>Weekend</v>
      </c>
      <c r="B991" s="5">
        <v>6</v>
      </c>
      <c r="C991" s="5">
        <v>45</v>
      </c>
      <c r="D991" s="5">
        <v>51</v>
      </c>
    </row>
    <row r="992" spans="1:4" x14ac:dyDescent="0.3">
      <c r="A992" t="str" cm="1">
        <f t="array" ref="A992">_xlfn.IFS(Append1[[#This Row],[weekday cnt]]=0,"Weekend",Append1[[#This Row],[weekday cnt]]=6,"Weekend",Append1[[#This Row],[weekday cnt]]&gt;0,"Weekday")</f>
        <v>Weekend</v>
      </c>
      <c r="B992" s="4">
        <v>5</v>
      </c>
      <c r="C992" s="4">
        <v>31</v>
      </c>
      <c r="D992" s="4">
        <v>36</v>
      </c>
    </row>
    <row r="993" spans="1:4" x14ac:dyDescent="0.3">
      <c r="A993" t="str" cm="1">
        <f t="array" ref="A993">_xlfn.IFS(Append1[[#This Row],[weekday cnt]]=0,"Weekend",Append1[[#This Row],[weekday cnt]]=6,"Weekend",Append1[[#This Row],[weekday cnt]]&gt;0,"Weekday")</f>
        <v>Weekend</v>
      </c>
      <c r="B993" s="5">
        <v>3</v>
      </c>
      <c r="C993" s="5">
        <v>27</v>
      </c>
      <c r="D993" s="5">
        <v>30</v>
      </c>
    </row>
    <row r="994" spans="1:4" x14ac:dyDescent="0.3">
      <c r="A994" t="str" cm="1">
        <f t="array" ref="A994">_xlfn.IFS(Append1[[#This Row],[weekday cnt]]=0,"Weekend",Append1[[#This Row],[weekday cnt]]=6,"Weekend",Append1[[#This Row],[weekday cnt]]&gt;0,"Weekday")</f>
        <v>Weekday</v>
      </c>
      <c r="B994" s="4">
        <v>3</v>
      </c>
      <c r="C994" s="4">
        <v>8</v>
      </c>
      <c r="D994" s="4">
        <v>11</v>
      </c>
    </row>
    <row r="995" spans="1:4" x14ac:dyDescent="0.3">
      <c r="A995" t="str" cm="1">
        <f t="array" ref="A995">_xlfn.IFS(Append1[[#This Row],[weekday cnt]]=0,"Weekend",Append1[[#This Row],[weekday cnt]]=6,"Weekend",Append1[[#This Row],[weekday cnt]]&gt;0,"Weekday")</f>
        <v>Weekday</v>
      </c>
      <c r="B995" s="5">
        <v>1</v>
      </c>
      <c r="C995" s="5">
        <v>6</v>
      </c>
      <c r="D995" s="5">
        <v>7</v>
      </c>
    </row>
    <row r="996" spans="1:4" x14ac:dyDescent="0.3">
      <c r="A996" t="str" cm="1">
        <f t="array" ref="A996">_xlfn.IFS(Append1[[#This Row],[weekday cnt]]=0,"Weekend",Append1[[#This Row],[weekday cnt]]=6,"Weekend",Append1[[#This Row],[weekday cnt]]&gt;0,"Weekday")</f>
        <v>Weekday</v>
      </c>
      <c r="B996" s="4">
        <v>0</v>
      </c>
      <c r="C996" s="4">
        <v>2</v>
      </c>
      <c r="D996" s="4">
        <v>2</v>
      </c>
    </row>
    <row r="997" spans="1:4" x14ac:dyDescent="0.3">
      <c r="A997" t="str" cm="1">
        <f t="array" ref="A997">_xlfn.IFS(Append1[[#This Row],[weekday cnt]]=0,"Weekend",Append1[[#This Row],[weekday cnt]]=6,"Weekend",Append1[[#This Row],[weekday cnt]]&gt;0,"Weekday")</f>
        <v>Weekday</v>
      </c>
      <c r="B997" s="5">
        <v>1</v>
      </c>
      <c r="C997" s="5">
        <v>1</v>
      </c>
      <c r="D997" s="5">
        <v>2</v>
      </c>
    </row>
    <row r="998" spans="1:4" x14ac:dyDescent="0.3">
      <c r="A998" t="str" cm="1">
        <f t="array" ref="A998">_xlfn.IFS(Append1[[#This Row],[weekday cnt]]=0,"Weekend",Append1[[#This Row],[weekday cnt]]=6,"Weekend",Append1[[#This Row],[weekday cnt]]&gt;0,"Weekday")</f>
        <v>Weekday</v>
      </c>
      <c r="B998" s="4">
        <v>0</v>
      </c>
      <c r="C998" s="4">
        <v>2</v>
      </c>
      <c r="D998" s="4">
        <v>2</v>
      </c>
    </row>
    <row r="999" spans="1:4" x14ac:dyDescent="0.3">
      <c r="A999" t="str" cm="1">
        <f t="array" ref="A999">_xlfn.IFS(Append1[[#This Row],[weekday cnt]]=0,"Weekend",Append1[[#This Row],[weekday cnt]]=6,"Weekend",Append1[[#This Row],[weekday cnt]]&gt;0,"Weekday")</f>
        <v>Weekday</v>
      </c>
      <c r="B999" s="5">
        <v>0</v>
      </c>
      <c r="C999" s="5">
        <v>3</v>
      </c>
      <c r="D999" s="5">
        <v>3</v>
      </c>
    </row>
    <row r="1000" spans="1:4" x14ac:dyDescent="0.3">
      <c r="A1000" t="str" cm="1">
        <f t="array" ref="A1000">_xlfn.IFS(Append1[[#This Row],[weekday cnt]]=0,"Weekend",Append1[[#This Row],[weekday cnt]]=6,"Weekend",Append1[[#This Row],[weekday cnt]]&gt;0,"Weekday")</f>
        <v>Weekday</v>
      </c>
      <c r="B1000" s="4">
        <v>1</v>
      </c>
      <c r="C1000" s="4">
        <v>25</v>
      </c>
      <c r="D1000" s="4">
        <v>26</v>
      </c>
    </row>
    <row r="1001" spans="1:4" x14ac:dyDescent="0.3">
      <c r="A1001" t="str" cm="1">
        <f t="array" ref="A1001">_xlfn.IFS(Append1[[#This Row],[weekday cnt]]=0,"Weekend",Append1[[#This Row],[weekday cnt]]=6,"Weekend",Append1[[#This Row],[weekday cnt]]&gt;0,"Weekday")</f>
        <v>Weekday</v>
      </c>
      <c r="B1001" s="5">
        <v>2</v>
      </c>
      <c r="C1001" s="5">
        <v>96</v>
      </c>
      <c r="D1001" s="5">
        <v>98</v>
      </c>
    </row>
  </sheetData>
  <mergeCells count="3">
    <mergeCell ref="F5:H5"/>
    <mergeCell ref="F12:H12"/>
    <mergeCell ref="F19:H19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96A2-924A-40E0-99D7-CF06AE1EF3F8}">
  <dimension ref="A1:H1001"/>
  <sheetViews>
    <sheetView workbookViewId="0">
      <selection activeCell="J7" sqref="J7"/>
    </sheetView>
  </sheetViews>
  <sheetFormatPr defaultRowHeight="14.4" x14ac:dyDescent="0.3"/>
  <sheetData>
    <row r="1" spans="1:8" x14ac:dyDescent="0.3">
      <c r="A1" s="3" t="s">
        <v>20</v>
      </c>
      <c r="B1" s="3" t="s">
        <v>15</v>
      </c>
      <c r="C1" s="3" t="s">
        <v>16</v>
      </c>
      <c r="D1" s="21" t="s">
        <v>17</v>
      </c>
    </row>
    <row r="2" spans="1:8" x14ac:dyDescent="0.3">
      <c r="A2" s="4" t="str">
        <f>TEXT(Append1[[#This Row],[dteday]],"MMMM")</f>
        <v>January</v>
      </c>
      <c r="B2" s="4">
        <v>3</v>
      </c>
      <c r="C2" s="4">
        <v>13</v>
      </c>
      <c r="D2" s="19">
        <v>16</v>
      </c>
      <c r="F2" s="52" t="s">
        <v>60</v>
      </c>
      <c r="G2" s="53"/>
      <c r="H2" s="26" t="s">
        <v>41</v>
      </c>
    </row>
    <row r="3" spans="1:8" x14ac:dyDescent="0.3">
      <c r="A3" s="5" t="str">
        <f>TEXT(Append1[[#This Row],[dteday]],"MMMM")</f>
        <v>January</v>
      </c>
      <c r="B3" s="5">
        <v>8</v>
      </c>
      <c r="C3" s="5">
        <v>32</v>
      </c>
      <c r="D3" s="20">
        <v>40</v>
      </c>
      <c r="F3" s="23" t="s">
        <v>20</v>
      </c>
      <c r="G3" s="23" t="s">
        <v>53</v>
      </c>
      <c r="H3" s="22"/>
    </row>
    <row r="4" spans="1:8" x14ac:dyDescent="0.3">
      <c r="A4" s="4" t="str">
        <f>TEXT(Append1[[#This Row],[dteday]],"MMMM")</f>
        <v>January</v>
      </c>
      <c r="B4" s="4">
        <v>5</v>
      </c>
      <c r="C4" s="4">
        <v>27</v>
      </c>
      <c r="D4" s="19">
        <v>32</v>
      </c>
      <c r="F4" s="23" t="s">
        <v>39</v>
      </c>
      <c r="G4" s="27">
        <f>DSUM(A1:D1001,2,F3:F4)</f>
        <v>3073</v>
      </c>
      <c r="H4" s="27" t="s">
        <v>58</v>
      </c>
    </row>
    <row r="5" spans="1:8" x14ac:dyDescent="0.3">
      <c r="A5" s="5" t="str">
        <f>TEXT(Append1[[#This Row],[dteday]],"MMMM")</f>
        <v>January</v>
      </c>
      <c r="B5" s="5">
        <v>3</v>
      </c>
      <c r="C5" s="5">
        <v>10</v>
      </c>
      <c r="D5" s="20">
        <v>13</v>
      </c>
      <c r="F5" s="22" t="s">
        <v>20</v>
      </c>
      <c r="G5" s="22" t="s">
        <v>53</v>
      </c>
      <c r="H5" s="22"/>
    </row>
    <row r="6" spans="1:8" x14ac:dyDescent="0.3">
      <c r="A6" s="4" t="str">
        <f>TEXT(Append1[[#This Row],[dteday]],"MMMM")</f>
        <v>January</v>
      </c>
      <c r="B6" s="4">
        <v>0</v>
      </c>
      <c r="C6" s="4">
        <v>1</v>
      </c>
      <c r="D6" s="19">
        <v>1</v>
      </c>
      <c r="F6" s="23" t="s">
        <v>61</v>
      </c>
      <c r="G6" s="27">
        <f>DSUM(A1:D1001,2,F5:F6)</f>
        <v>1848</v>
      </c>
      <c r="H6" s="27" t="s">
        <v>59</v>
      </c>
    </row>
    <row r="7" spans="1:8" x14ac:dyDescent="0.3">
      <c r="A7" s="5" t="str">
        <f>TEXT(Append1[[#This Row],[dteday]],"MMMM")</f>
        <v>January</v>
      </c>
      <c r="B7" s="5">
        <v>0</v>
      </c>
      <c r="C7" s="5">
        <v>1</v>
      </c>
      <c r="D7" s="20">
        <v>1</v>
      </c>
    </row>
    <row r="8" spans="1:8" x14ac:dyDescent="0.3">
      <c r="A8" s="4" t="str">
        <f>TEXT(Append1[[#This Row],[dteday]],"MMMM")</f>
        <v>January</v>
      </c>
      <c r="B8" s="4">
        <v>2</v>
      </c>
      <c r="C8" s="4">
        <v>0</v>
      </c>
      <c r="D8" s="19">
        <v>2</v>
      </c>
    </row>
    <row r="9" spans="1:8" x14ac:dyDescent="0.3">
      <c r="A9" s="5" t="str">
        <f>TEXT(Append1[[#This Row],[dteday]],"MMMM")</f>
        <v>January</v>
      </c>
      <c r="B9" s="5">
        <v>1</v>
      </c>
      <c r="C9" s="5">
        <v>2</v>
      </c>
      <c r="D9" s="20">
        <v>3</v>
      </c>
      <c r="F9" s="52" t="s">
        <v>62</v>
      </c>
      <c r="G9" s="53"/>
      <c r="H9" s="26" t="s">
        <v>41</v>
      </c>
    </row>
    <row r="10" spans="1:8" x14ac:dyDescent="0.3">
      <c r="A10" s="4" t="str">
        <f>TEXT(Append1[[#This Row],[dteday]],"MMMM")</f>
        <v>January</v>
      </c>
      <c r="B10" s="4">
        <v>1</v>
      </c>
      <c r="C10" s="4">
        <v>7</v>
      </c>
      <c r="D10" s="19">
        <v>8</v>
      </c>
      <c r="F10" s="23" t="s">
        <v>20</v>
      </c>
      <c r="G10" s="23" t="s">
        <v>53</v>
      </c>
      <c r="H10" s="22"/>
    </row>
    <row r="11" spans="1:8" x14ac:dyDescent="0.3">
      <c r="A11" s="5" t="str">
        <f>TEXT(Append1[[#This Row],[dteday]],"MMMM")</f>
        <v>January</v>
      </c>
      <c r="B11" s="5">
        <v>8</v>
      </c>
      <c r="C11" s="5">
        <v>6</v>
      </c>
      <c r="D11" s="20">
        <v>14</v>
      </c>
      <c r="F11" s="23" t="s">
        <v>39</v>
      </c>
      <c r="G11" s="27">
        <f>DSUM(A1:D1001,3,F10:F11)</f>
        <v>35116</v>
      </c>
      <c r="H11" s="27" t="s">
        <v>58</v>
      </c>
    </row>
    <row r="12" spans="1:8" x14ac:dyDescent="0.3">
      <c r="A12" s="4" t="str">
        <f>TEXT(Append1[[#This Row],[dteday]],"MMMM")</f>
        <v>January</v>
      </c>
      <c r="B12" s="4">
        <v>12</v>
      </c>
      <c r="C12" s="4">
        <v>24</v>
      </c>
      <c r="D12" s="19">
        <v>36</v>
      </c>
      <c r="F12" s="22" t="s">
        <v>20</v>
      </c>
      <c r="G12" s="22" t="s">
        <v>53</v>
      </c>
      <c r="H12" s="22"/>
    </row>
    <row r="13" spans="1:8" x14ac:dyDescent="0.3">
      <c r="A13" s="5" t="str">
        <f>TEXT(Append1[[#This Row],[dteday]],"MMMM")</f>
        <v>January</v>
      </c>
      <c r="B13" s="5">
        <v>26</v>
      </c>
      <c r="C13" s="5">
        <v>30</v>
      </c>
      <c r="D13" s="20">
        <v>56</v>
      </c>
      <c r="F13" s="23" t="s">
        <v>61</v>
      </c>
      <c r="G13" s="27">
        <f>DSUM(A1:D1001,3,F12:F13)</f>
        <v>18267</v>
      </c>
      <c r="H13" s="27" t="s">
        <v>59</v>
      </c>
    </row>
    <row r="14" spans="1:8" x14ac:dyDescent="0.3">
      <c r="A14" s="4" t="str">
        <f>TEXT(Append1[[#This Row],[dteday]],"MMMM")</f>
        <v>January</v>
      </c>
      <c r="B14" s="4">
        <v>29</v>
      </c>
      <c r="C14" s="4">
        <v>55</v>
      </c>
      <c r="D14" s="19">
        <v>84</v>
      </c>
    </row>
    <row r="15" spans="1:8" x14ac:dyDescent="0.3">
      <c r="A15" s="5" t="str">
        <f>TEXT(Append1[[#This Row],[dteday]],"MMMM")</f>
        <v>January</v>
      </c>
      <c r="B15" s="5">
        <v>47</v>
      </c>
      <c r="C15" s="5">
        <v>47</v>
      </c>
      <c r="D15" s="20">
        <v>94</v>
      </c>
    </row>
    <row r="16" spans="1:8" x14ac:dyDescent="0.3">
      <c r="A16" s="4" t="str">
        <f>TEXT(Append1[[#This Row],[dteday]],"MMMM")</f>
        <v>January</v>
      </c>
      <c r="B16" s="4">
        <v>35</v>
      </c>
      <c r="C16" s="4">
        <v>71</v>
      </c>
      <c r="D16" s="19">
        <v>106</v>
      </c>
      <c r="F16" s="52" t="s">
        <v>63</v>
      </c>
      <c r="G16" s="53"/>
      <c r="H16" s="26" t="s">
        <v>41</v>
      </c>
    </row>
    <row r="17" spans="1:8" x14ac:dyDescent="0.3">
      <c r="A17" s="5" t="str">
        <f>TEXT(Append1[[#This Row],[dteday]],"MMMM")</f>
        <v>January</v>
      </c>
      <c r="B17" s="5">
        <v>40</v>
      </c>
      <c r="C17" s="5">
        <v>70</v>
      </c>
      <c r="D17" s="20">
        <v>110</v>
      </c>
      <c r="F17" s="23" t="s">
        <v>20</v>
      </c>
      <c r="G17" s="23" t="s">
        <v>53</v>
      </c>
      <c r="H17" s="22"/>
    </row>
    <row r="18" spans="1:8" x14ac:dyDescent="0.3">
      <c r="A18" s="4" t="str">
        <f>TEXT(Append1[[#This Row],[dteday]],"MMMM")</f>
        <v>January</v>
      </c>
      <c r="B18" s="4">
        <v>41</v>
      </c>
      <c r="C18" s="4">
        <v>52</v>
      </c>
      <c r="D18" s="19">
        <v>93</v>
      </c>
      <c r="F18" s="23" t="s">
        <v>39</v>
      </c>
      <c r="G18" s="27">
        <f>DSUM(A1:D1001,4,F17:F18)</f>
        <v>38189</v>
      </c>
      <c r="H18" s="27" t="s">
        <v>58</v>
      </c>
    </row>
    <row r="19" spans="1:8" x14ac:dyDescent="0.3">
      <c r="A19" s="5" t="str">
        <f>TEXT(Append1[[#This Row],[dteday]],"MMMM")</f>
        <v>January</v>
      </c>
      <c r="B19" s="5">
        <v>15</v>
      </c>
      <c r="C19" s="5">
        <v>52</v>
      </c>
      <c r="D19" s="20">
        <v>67</v>
      </c>
      <c r="F19" s="22" t="s">
        <v>20</v>
      </c>
      <c r="G19" s="22" t="s">
        <v>53</v>
      </c>
      <c r="H19" s="22"/>
    </row>
    <row r="20" spans="1:8" x14ac:dyDescent="0.3">
      <c r="A20" s="4" t="str">
        <f>TEXT(Append1[[#This Row],[dteday]],"MMMM")</f>
        <v>January</v>
      </c>
      <c r="B20" s="4">
        <v>9</v>
      </c>
      <c r="C20" s="4">
        <v>26</v>
      </c>
      <c r="D20" s="19">
        <v>35</v>
      </c>
      <c r="F20" s="23" t="s">
        <v>61</v>
      </c>
      <c r="G20" s="27">
        <f>DSUM(A1:D1001,4,F19:F20)</f>
        <v>20115</v>
      </c>
      <c r="H20" s="27" t="s">
        <v>59</v>
      </c>
    </row>
    <row r="21" spans="1:8" x14ac:dyDescent="0.3">
      <c r="A21" s="5" t="str">
        <f>TEXT(Append1[[#This Row],[dteday]],"MMMM")</f>
        <v>January</v>
      </c>
      <c r="B21" s="5">
        <v>6</v>
      </c>
      <c r="C21" s="5">
        <v>31</v>
      </c>
      <c r="D21" s="20">
        <v>37</v>
      </c>
    </row>
    <row r="22" spans="1:8" x14ac:dyDescent="0.3">
      <c r="A22" s="4" t="str">
        <f>TEXT(Append1[[#This Row],[dteday]],"MMMM")</f>
        <v>January</v>
      </c>
      <c r="B22" s="4">
        <v>11</v>
      </c>
      <c r="C22" s="4">
        <v>25</v>
      </c>
      <c r="D22" s="19">
        <v>36</v>
      </c>
    </row>
    <row r="23" spans="1:8" x14ac:dyDescent="0.3">
      <c r="A23" s="5" t="str">
        <f>TEXT(Append1[[#This Row],[dteday]],"MMMM")</f>
        <v>January</v>
      </c>
      <c r="B23" s="5">
        <v>3</v>
      </c>
      <c r="C23" s="5">
        <v>31</v>
      </c>
      <c r="D23" s="20">
        <v>34</v>
      </c>
    </row>
    <row r="24" spans="1:8" x14ac:dyDescent="0.3">
      <c r="A24" s="4" t="str">
        <f>TEXT(Append1[[#This Row],[dteday]],"MMMM")</f>
        <v>January</v>
      </c>
      <c r="B24" s="4">
        <v>11</v>
      </c>
      <c r="C24" s="4">
        <v>17</v>
      </c>
      <c r="D24" s="19">
        <v>28</v>
      </c>
    </row>
    <row r="25" spans="1:8" x14ac:dyDescent="0.3">
      <c r="A25" s="5" t="str">
        <f>TEXT(Append1[[#This Row],[dteday]],"MMMM")</f>
        <v>January</v>
      </c>
      <c r="B25" s="5">
        <v>15</v>
      </c>
      <c r="C25" s="5">
        <v>24</v>
      </c>
      <c r="D25" s="20">
        <v>39</v>
      </c>
    </row>
    <row r="26" spans="1:8" x14ac:dyDescent="0.3">
      <c r="A26" s="4" t="str">
        <f>TEXT(Append1[[#This Row],[dteday]],"MMMM")</f>
        <v>January</v>
      </c>
      <c r="B26" s="4">
        <v>4</v>
      </c>
      <c r="C26" s="4">
        <v>13</v>
      </c>
      <c r="D26" s="19">
        <v>17</v>
      </c>
    </row>
    <row r="27" spans="1:8" x14ac:dyDescent="0.3">
      <c r="A27" s="5" t="str">
        <f>TEXT(Append1[[#This Row],[dteday]],"MMMM")</f>
        <v>January</v>
      </c>
      <c r="B27" s="5">
        <v>1</v>
      </c>
      <c r="C27" s="5">
        <v>16</v>
      </c>
      <c r="D27" s="20">
        <v>17</v>
      </c>
    </row>
    <row r="28" spans="1:8" x14ac:dyDescent="0.3">
      <c r="A28" s="4" t="str">
        <f>TEXT(Append1[[#This Row],[dteday]],"MMMM")</f>
        <v>January</v>
      </c>
      <c r="B28" s="4">
        <v>1</v>
      </c>
      <c r="C28" s="4">
        <v>8</v>
      </c>
      <c r="D28" s="19">
        <v>9</v>
      </c>
    </row>
    <row r="29" spans="1:8" x14ac:dyDescent="0.3">
      <c r="A29" s="5" t="str">
        <f>TEXT(Append1[[#This Row],[dteday]],"MMMM")</f>
        <v>January</v>
      </c>
      <c r="B29" s="5">
        <v>2</v>
      </c>
      <c r="C29" s="5">
        <v>4</v>
      </c>
      <c r="D29" s="20">
        <v>6</v>
      </c>
    </row>
    <row r="30" spans="1:8" x14ac:dyDescent="0.3">
      <c r="A30" s="4" t="str">
        <f>TEXT(Append1[[#This Row],[dteday]],"MMMM")</f>
        <v>January</v>
      </c>
      <c r="B30" s="4">
        <v>2</v>
      </c>
      <c r="C30" s="4">
        <v>1</v>
      </c>
      <c r="D30" s="19">
        <v>3</v>
      </c>
    </row>
    <row r="31" spans="1:8" x14ac:dyDescent="0.3">
      <c r="A31" s="5" t="str">
        <f>TEXT(Append1[[#This Row],[dteday]],"MMMM")</f>
        <v>January</v>
      </c>
      <c r="B31" s="5">
        <v>0</v>
      </c>
      <c r="C31" s="5">
        <v>2</v>
      </c>
      <c r="D31" s="20">
        <v>2</v>
      </c>
    </row>
    <row r="32" spans="1:8" x14ac:dyDescent="0.3">
      <c r="A32" s="4" t="str">
        <f>TEXT(Append1[[#This Row],[dteday]],"MMMM")</f>
        <v>January</v>
      </c>
      <c r="B32" s="4">
        <v>0</v>
      </c>
      <c r="C32" s="4">
        <v>1</v>
      </c>
      <c r="D32" s="19">
        <v>1</v>
      </c>
    </row>
    <row r="33" spans="1:4" x14ac:dyDescent="0.3">
      <c r="A33" s="5" t="str">
        <f>TEXT(Append1[[#This Row],[dteday]],"MMMM")</f>
        <v>January</v>
      </c>
      <c r="B33" s="5">
        <v>0</v>
      </c>
      <c r="C33" s="5">
        <v>8</v>
      </c>
      <c r="D33" s="20">
        <v>8</v>
      </c>
    </row>
    <row r="34" spans="1:4" x14ac:dyDescent="0.3">
      <c r="A34" s="4" t="str">
        <f>TEXT(Append1[[#This Row],[dteday]],"MMMM")</f>
        <v>January</v>
      </c>
      <c r="B34" s="4">
        <v>1</v>
      </c>
      <c r="C34" s="4">
        <v>19</v>
      </c>
      <c r="D34" s="19">
        <v>20</v>
      </c>
    </row>
    <row r="35" spans="1:4" x14ac:dyDescent="0.3">
      <c r="A35" s="5" t="str">
        <f>TEXT(Append1[[#This Row],[dteday]],"MMMM")</f>
        <v>January</v>
      </c>
      <c r="B35" s="5">
        <v>7</v>
      </c>
      <c r="C35" s="5">
        <v>46</v>
      </c>
      <c r="D35" s="20">
        <v>53</v>
      </c>
    </row>
    <row r="36" spans="1:4" x14ac:dyDescent="0.3">
      <c r="A36" s="4" t="str">
        <f>TEXT(Append1[[#This Row],[dteday]],"MMMM")</f>
        <v>January</v>
      </c>
      <c r="B36" s="4">
        <v>16</v>
      </c>
      <c r="C36" s="4">
        <v>54</v>
      </c>
      <c r="D36" s="19">
        <v>70</v>
      </c>
    </row>
    <row r="37" spans="1:4" x14ac:dyDescent="0.3">
      <c r="A37" s="5" t="str">
        <f>TEXT(Append1[[#This Row],[dteday]],"MMMM")</f>
        <v>January</v>
      </c>
      <c r="B37" s="5">
        <v>20</v>
      </c>
      <c r="C37" s="5">
        <v>73</v>
      </c>
      <c r="D37" s="20">
        <v>93</v>
      </c>
    </row>
    <row r="38" spans="1:4" x14ac:dyDescent="0.3">
      <c r="A38" s="4" t="str">
        <f>TEXT(Append1[[#This Row],[dteday]],"MMMM")</f>
        <v>January</v>
      </c>
      <c r="B38" s="4">
        <v>11</v>
      </c>
      <c r="C38" s="4">
        <v>64</v>
      </c>
      <c r="D38" s="19">
        <v>75</v>
      </c>
    </row>
    <row r="39" spans="1:4" x14ac:dyDescent="0.3">
      <c r="A39" s="5" t="str">
        <f>TEXT(Append1[[#This Row],[dteday]],"MMMM")</f>
        <v>January</v>
      </c>
      <c r="B39" s="5">
        <v>4</v>
      </c>
      <c r="C39" s="5">
        <v>55</v>
      </c>
      <c r="D39" s="20">
        <v>59</v>
      </c>
    </row>
    <row r="40" spans="1:4" x14ac:dyDescent="0.3">
      <c r="A40" s="4" t="str">
        <f>TEXT(Append1[[#This Row],[dteday]],"MMMM")</f>
        <v>January</v>
      </c>
      <c r="B40" s="4">
        <v>19</v>
      </c>
      <c r="C40" s="4">
        <v>55</v>
      </c>
      <c r="D40" s="19">
        <v>74</v>
      </c>
    </row>
    <row r="41" spans="1:4" x14ac:dyDescent="0.3">
      <c r="A41" s="5" t="str">
        <f>TEXT(Append1[[#This Row],[dteday]],"MMMM")</f>
        <v>January</v>
      </c>
      <c r="B41" s="5">
        <v>9</v>
      </c>
      <c r="C41" s="5">
        <v>67</v>
      </c>
      <c r="D41" s="20">
        <v>76</v>
      </c>
    </row>
    <row r="42" spans="1:4" x14ac:dyDescent="0.3">
      <c r="A42" s="4" t="str">
        <f>TEXT(Append1[[#This Row],[dteday]],"MMMM")</f>
        <v>January</v>
      </c>
      <c r="B42" s="4">
        <v>7</v>
      </c>
      <c r="C42" s="4">
        <v>58</v>
      </c>
      <c r="D42" s="19">
        <v>65</v>
      </c>
    </row>
    <row r="43" spans="1:4" x14ac:dyDescent="0.3">
      <c r="A43" s="5" t="str">
        <f>TEXT(Append1[[#This Row],[dteday]],"MMMM")</f>
        <v>January</v>
      </c>
      <c r="B43" s="5">
        <v>10</v>
      </c>
      <c r="C43" s="5">
        <v>43</v>
      </c>
      <c r="D43" s="20">
        <v>53</v>
      </c>
    </row>
    <row r="44" spans="1:4" x14ac:dyDescent="0.3">
      <c r="A44" s="4" t="str">
        <f>TEXT(Append1[[#This Row],[dteday]],"MMMM")</f>
        <v>January</v>
      </c>
      <c r="B44" s="4">
        <v>1</v>
      </c>
      <c r="C44" s="4">
        <v>29</v>
      </c>
      <c r="D44" s="19">
        <v>30</v>
      </c>
    </row>
    <row r="45" spans="1:4" x14ac:dyDescent="0.3">
      <c r="A45" s="5" t="str">
        <f>TEXT(Append1[[#This Row],[dteday]],"MMMM")</f>
        <v>January</v>
      </c>
      <c r="B45" s="5">
        <v>5</v>
      </c>
      <c r="C45" s="5">
        <v>17</v>
      </c>
      <c r="D45" s="20">
        <v>22</v>
      </c>
    </row>
    <row r="46" spans="1:4" x14ac:dyDescent="0.3">
      <c r="A46" s="4" t="str">
        <f>TEXT(Append1[[#This Row],[dteday]],"MMMM")</f>
        <v>January</v>
      </c>
      <c r="B46" s="4">
        <v>11</v>
      </c>
      <c r="C46" s="4">
        <v>20</v>
      </c>
      <c r="D46" s="19">
        <v>31</v>
      </c>
    </row>
    <row r="47" spans="1:4" x14ac:dyDescent="0.3">
      <c r="A47" s="5" t="str">
        <f>TEXT(Append1[[#This Row],[dteday]],"MMMM")</f>
        <v>January</v>
      </c>
      <c r="B47" s="5">
        <v>0</v>
      </c>
      <c r="C47" s="5">
        <v>9</v>
      </c>
      <c r="D47" s="20">
        <v>9</v>
      </c>
    </row>
    <row r="48" spans="1:4" x14ac:dyDescent="0.3">
      <c r="A48" s="4" t="str">
        <f>TEXT(Append1[[#This Row],[dteday]],"MMMM")</f>
        <v>January</v>
      </c>
      <c r="B48" s="4">
        <v>0</v>
      </c>
      <c r="C48" s="4">
        <v>8</v>
      </c>
      <c r="D48" s="19">
        <v>8</v>
      </c>
    </row>
    <row r="49" spans="1:4" x14ac:dyDescent="0.3">
      <c r="A49" s="5" t="str">
        <f>TEXT(Append1[[#This Row],[dteday]],"MMMM")</f>
        <v>January</v>
      </c>
      <c r="B49" s="5">
        <v>0</v>
      </c>
      <c r="C49" s="5">
        <v>5</v>
      </c>
      <c r="D49" s="20">
        <v>5</v>
      </c>
    </row>
    <row r="50" spans="1:4" x14ac:dyDescent="0.3">
      <c r="A50" s="4" t="str">
        <f>TEXT(Append1[[#This Row],[dteday]],"MMMM")</f>
        <v>January</v>
      </c>
      <c r="B50" s="4">
        <v>0</v>
      </c>
      <c r="C50" s="4">
        <v>2</v>
      </c>
      <c r="D50" s="19">
        <v>2</v>
      </c>
    </row>
    <row r="51" spans="1:4" x14ac:dyDescent="0.3">
      <c r="A51" s="5" t="str">
        <f>TEXT(Append1[[#This Row],[dteday]],"MMMM")</f>
        <v>January</v>
      </c>
      <c r="B51" s="5">
        <v>0</v>
      </c>
      <c r="C51" s="5">
        <v>1</v>
      </c>
      <c r="D51" s="20">
        <v>1</v>
      </c>
    </row>
    <row r="52" spans="1:4" x14ac:dyDescent="0.3">
      <c r="A52" s="4" t="str">
        <f>TEXT(Append1[[#This Row],[dteday]],"MMMM")</f>
        <v>January</v>
      </c>
      <c r="B52" s="4">
        <v>0</v>
      </c>
      <c r="C52" s="4">
        <v>3</v>
      </c>
      <c r="D52" s="19">
        <v>3</v>
      </c>
    </row>
    <row r="53" spans="1:4" x14ac:dyDescent="0.3">
      <c r="A53" s="5" t="str">
        <f>TEXT(Append1[[#This Row],[dteday]],"MMMM")</f>
        <v>January</v>
      </c>
      <c r="B53" s="5">
        <v>0</v>
      </c>
      <c r="C53" s="5">
        <v>30</v>
      </c>
      <c r="D53" s="20">
        <v>30</v>
      </c>
    </row>
    <row r="54" spans="1:4" x14ac:dyDescent="0.3">
      <c r="A54" s="4" t="str">
        <f>TEXT(Append1[[#This Row],[dteday]],"MMMM")</f>
        <v>January</v>
      </c>
      <c r="B54" s="4">
        <v>1</v>
      </c>
      <c r="C54" s="4">
        <v>63</v>
      </c>
      <c r="D54" s="19">
        <v>64</v>
      </c>
    </row>
    <row r="55" spans="1:4" x14ac:dyDescent="0.3">
      <c r="A55" s="5" t="str">
        <f>TEXT(Append1[[#This Row],[dteday]],"MMMM")</f>
        <v>January</v>
      </c>
      <c r="B55" s="5">
        <v>1</v>
      </c>
      <c r="C55" s="5">
        <v>153</v>
      </c>
      <c r="D55" s="20">
        <v>154</v>
      </c>
    </row>
    <row r="56" spans="1:4" x14ac:dyDescent="0.3">
      <c r="A56" s="4" t="str">
        <f>TEXT(Append1[[#This Row],[dteday]],"MMMM")</f>
        <v>January</v>
      </c>
      <c r="B56" s="4">
        <v>7</v>
      </c>
      <c r="C56" s="4">
        <v>81</v>
      </c>
      <c r="D56" s="19">
        <v>88</v>
      </c>
    </row>
    <row r="57" spans="1:4" x14ac:dyDescent="0.3">
      <c r="A57" s="5" t="str">
        <f>TEXT(Append1[[#This Row],[dteday]],"MMMM")</f>
        <v>January</v>
      </c>
      <c r="B57" s="5">
        <v>11</v>
      </c>
      <c r="C57" s="5">
        <v>33</v>
      </c>
      <c r="D57" s="20">
        <v>44</v>
      </c>
    </row>
    <row r="58" spans="1:4" x14ac:dyDescent="0.3">
      <c r="A58" s="4" t="str">
        <f>TEXT(Append1[[#This Row],[dteday]],"MMMM")</f>
        <v>January</v>
      </c>
      <c r="B58" s="4">
        <v>10</v>
      </c>
      <c r="C58" s="4">
        <v>41</v>
      </c>
      <c r="D58" s="19">
        <v>51</v>
      </c>
    </row>
    <row r="59" spans="1:4" x14ac:dyDescent="0.3">
      <c r="A59" s="5" t="str">
        <f>TEXT(Append1[[#This Row],[dteday]],"MMMM")</f>
        <v>January</v>
      </c>
      <c r="B59" s="5">
        <v>13</v>
      </c>
      <c r="C59" s="5">
        <v>48</v>
      </c>
      <c r="D59" s="20">
        <v>61</v>
      </c>
    </row>
    <row r="60" spans="1:4" x14ac:dyDescent="0.3">
      <c r="A60" s="4" t="str">
        <f>TEXT(Append1[[#This Row],[dteday]],"MMMM")</f>
        <v>January</v>
      </c>
      <c r="B60" s="4">
        <v>8</v>
      </c>
      <c r="C60" s="4">
        <v>53</v>
      </c>
      <c r="D60" s="19">
        <v>61</v>
      </c>
    </row>
    <row r="61" spans="1:4" x14ac:dyDescent="0.3">
      <c r="A61" s="5" t="str">
        <f>TEXT(Append1[[#This Row],[dteday]],"MMMM")</f>
        <v>January</v>
      </c>
      <c r="B61" s="5">
        <v>11</v>
      </c>
      <c r="C61" s="5">
        <v>66</v>
      </c>
      <c r="D61" s="20">
        <v>77</v>
      </c>
    </row>
    <row r="62" spans="1:4" x14ac:dyDescent="0.3">
      <c r="A62" s="4" t="str">
        <f>TEXT(Append1[[#This Row],[dteday]],"MMMM")</f>
        <v>January</v>
      </c>
      <c r="B62" s="4">
        <v>14</v>
      </c>
      <c r="C62" s="4">
        <v>58</v>
      </c>
      <c r="D62" s="19">
        <v>72</v>
      </c>
    </row>
    <row r="63" spans="1:4" x14ac:dyDescent="0.3">
      <c r="A63" s="5" t="str">
        <f>TEXT(Append1[[#This Row],[dteday]],"MMMM")</f>
        <v>January</v>
      </c>
      <c r="B63" s="5">
        <v>9</v>
      </c>
      <c r="C63" s="5">
        <v>67</v>
      </c>
      <c r="D63" s="20">
        <v>76</v>
      </c>
    </row>
    <row r="64" spans="1:4" x14ac:dyDescent="0.3">
      <c r="A64" s="4" t="str">
        <f>TEXT(Append1[[#This Row],[dteday]],"MMMM")</f>
        <v>January</v>
      </c>
      <c r="B64" s="4">
        <v>11</v>
      </c>
      <c r="C64" s="4">
        <v>146</v>
      </c>
      <c r="D64" s="19">
        <v>157</v>
      </c>
    </row>
    <row r="65" spans="1:4" x14ac:dyDescent="0.3">
      <c r="A65" s="5" t="str">
        <f>TEXT(Append1[[#This Row],[dteday]],"MMMM")</f>
        <v>January</v>
      </c>
      <c r="B65" s="5">
        <v>9</v>
      </c>
      <c r="C65" s="5">
        <v>148</v>
      </c>
      <c r="D65" s="20">
        <v>157</v>
      </c>
    </row>
    <row r="66" spans="1:4" x14ac:dyDescent="0.3">
      <c r="A66" s="4" t="str">
        <f>TEXT(Append1[[#This Row],[dteday]],"MMMM")</f>
        <v>January</v>
      </c>
      <c r="B66" s="4">
        <v>8</v>
      </c>
      <c r="C66" s="4">
        <v>102</v>
      </c>
      <c r="D66" s="19">
        <v>110</v>
      </c>
    </row>
    <row r="67" spans="1:4" x14ac:dyDescent="0.3">
      <c r="A67" s="5" t="str">
        <f>TEXT(Append1[[#This Row],[dteday]],"MMMM")</f>
        <v>January</v>
      </c>
      <c r="B67" s="5">
        <v>3</v>
      </c>
      <c r="C67" s="5">
        <v>49</v>
      </c>
      <c r="D67" s="20">
        <v>52</v>
      </c>
    </row>
    <row r="68" spans="1:4" x14ac:dyDescent="0.3">
      <c r="A68" s="4" t="str">
        <f>TEXT(Append1[[#This Row],[dteday]],"MMMM")</f>
        <v>January</v>
      </c>
      <c r="B68" s="4">
        <v>3</v>
      </c>
      <c r="C68" s="4">
        <v>49</v>
      </c>
      <c r="D68" s="19">
        <v>52</v>
      </c>
    </row>
    <row r="69" spans="1:4" x14ac:dyDescent="0.3">
      <c r="A69" s="5" t="str">
        <f>TEXT(Append1[[#This Row],[dteday]],"MMMM")</f>
        <v>January</v>
      </c>
      <c r="B69" s="5">
        <v>0</v>
      </c>
      <c r="C69" s="5">
        <v>20</v>
      </c>
      <c r="D69" s="20">
        <v>20</v>
      </c>
    </row>
    <row r="70" spans="1:4" x14ac:dyDescent="0.3">
      <c r="A70" s="4" t="str">
        <f>TEXT(Append1[[#This Row],[dteday]],"MMMM")</f>
        <v>January</v>
      </c>
      <c r="B70" s="4">
        <v>1</v>
      </c>
      <c r="C70" s="4">
        <v>11</v>
      </c>
      <c r="D70" s="19">
        <v>12</v>
      </c>
    </row>
    <row r="71" spans="1:4" x14ac:dyDescent="0.3">
      <c r="A71" s="5" t="str">
        <f>TEXT(Append1[[#This Row],[dteday]],"MMMM")</f>
        <v>January</v>
      </c>
      <c r="B71" s="5">
        <v>0</v>
      </c>
      <c r="C71" s="5">
        <v>5</v>
      </c>
      <c r="D71" s="20">
        <v>5</v>
      </c>
    </row>
    <row r="72" spans="1:4" x14ac:dyDescent="0.3">
      <c r="A72" s="4" t="str">
        <f>TEXT(Append1[[#This Row],[dteday]],"MMMM")</f>
        <v>January</v>
      </c>
      <c r="B72" s="4">
        <v>0</v>
      </c>
      <c r="C72" s="4">
        <v>2</v>
      </c>
      <c r="D72" s="19">
        <v>2</v>
      </c>
    </row>
    <row r="73" spans="1:4" x14ac:dyDescent="0.3">
      <c r="A73" s="5" t="str">
        <f>TEXT(Append1[[#This Row],[dteday]],"MMMM")</f>
        <v>January</v>
      </c>
      <c r="B73" s="5">
        <v>0</v>
      </c>
      <c r="C73" s="5">
        <v>1</v>
      </c>
      <c r="D73" s="20">
        <v>1</v>
      </c>
    </row>
    <row r="74" spans="1:4" x14ac:dyDescent="0.3">
      <c r="A74" s="4" t="str">
        <f>TEXT(Append1[[#This Row],[dteday]],"MMMM")</f>
        <v>January</v>
      </c>
      <c r="B74" s="4">
        <v>0</v>
      </c>
      <c r="C74" s="4">
        <v>2</v>
      </c>
      <c r="D74" s="19">
        <v>2</v>
      </c>
    </row>
    <row r="75" spans="1:4" x14ac:dyDescent="0.3">
      <c r="A75" s="5" t="str">
        <f>TEXT(Append1[[#This Row],[dteday]],"MMMM")</f>
        <v>January</v>
      </c>
      <c r="B75" s="5">
        <v>0</v>
      </c>
      <c r="C75" s="5">
        <v>4</v>
      </c>
      <c r="D75" s="20">
        <v>4</v>
      </c>
    </row>
    <row r="76" spans="1:4" x14ac:dyDescent="0.3">
      <c r="A76" s="4" t="str">
        <f>TEXT(Append1[[#This Row],[dteday]],"MMMM")</f>
        <v>January</v>
      </c>
      <c r="B76" s="4">
        <v>0</v>
      </c>
      <c r="C76" s="4">
        <v>36</v>
      </c>
      <c r="D76" s="19">
        <v>36</v>
      </c>
    </row>
    <row r="77" spans="1:4" x14ac:dyDescent="0.3">
      <c r="A77" s="5" t="str">
        <f>TEXT(Append1[[#This Row],[dteday]],"MMMM")</f>
        <v>January</v>
      </c>
      <c r="B77" s="5">
        <v>2</v>
      </c>
      <c r="C77" s="5">
        <v>92</v>
      </c>
      <c r="D77" s="20">
        <v>94</v>
      </c>
    </row>
    <row r="78" spans="1:4" x14ac:dyDescent="0.3">
      <c r="A78" s="4" t="str">
        <f>TEXT(Append1[[#This Row],[dteday]],"MMMM")</f>
        <v>January</v>
      </c>
      <c r="B78" s="4">
        <v>2</v>
      </c>
      <c r="C78" s="4">
        <v>177</v>
      </c>
      <c r="D78" s="19">
        <v>179</v>
      </c>
    </row>
    <row r="79" spans="1:4" x14ac:dyDescent="0.3">
      <c r="A79" s="5" t="str">
        <f>TEXT(Append1[[#This Row],[dteday]],"MMMM")</f>
        <v>January</v>
      </c>
      <c r="B79" s="5">
        <v>2</v>
      </c>
      <c r="C79" s="5">
        <v>98</v>
      </c>
      <c r="D79" s="20">
        <v>100</v>
      </c>
    </row>
    <row r="80" spans="1:4" x14ac:dyDescent="0.3">
      <c r="A80" s="4" t="str">
        <f>TEXT(Append1[[#This Row],[dteday]],"MMMM")</f>
        <v>January</v>
      </c>
      <c r="B80" s="4">
        <v>5</v>
      </c>
      <c r="C80" s="4">
        <v>37</v>
      </c>
      <c r="D80" s="19">
        <v>42</v>
      </c>
    </row>
    <row r="81" spans="1:4" x14ac:dyDescent="0.3">
      <c r="A81" s="5" t="str">
        <f>TEXT(Append1[[#This Row],[dteday]],"MMMM")</f>
        <v>January</v>
      </c>
      <c r="B81" s="5">
        <v>7</v>
      </c>
      <c r="C81" s="5">
        <v>50</v>
      </c>
      <c r="D81" s="20">
        <v>57</v>
      </c>
    </row>
    <row r="82" spans="1:4" x14ac:dyDescent="0.3">
      <c r="A82" s="4" t="str">
        <f>TEXT(Append1[[#This Row],[dteday]],"MMMM")</f>
        <v>January</v>
      </c>
      <c r="B82" s="4">
        <v>12</v>
      </c>
      <c r="C82" s="4">
        <v>66</v>
      </c>
      <c r="D82" s="19">
        <v>78</v>
      </c>
    </row>
    <row r="83" spans="1:4" x14ac:dyDescent="0.3">
      <c r="A83" s="5" t="str">
        <f>TEXT(Append1[[#This Row],[dteday]],"MMMM")</f>
        <v>January</v>
      </c>
      <c r="B83" s="5">
        <v>18</v>
      </c>
      <c r="C83" s="5">
        <v>79</v>
      </c>
      <c r="D83" s="20">
        <v>97</v>
      </c>
    </row>
    <row r="84" spans="1:4" x14ac:dyDescent="0.3">
      <c r="A84" s="4" t="str">
        <f>TEXT(Append1[[#This Row],[dteday]],"MMMM")</f>
        <v>January</v>
      </c>
      <c r="B84" s="4">
        <v>9</v>
      </c>
      <c r="C84" s="4">
        <v>54</v>
      </c>
      <c r="D84" s="19">
        <v>63</v>
      </c>
    </row>
    <row r="85" spans="1:4" x14ac:dyDescent="0.3">
      <c r="A85" s="5" t="str">
        <f>TEXT(Append1[[#This Row],[dteday]],"MMMM")</f>
        <v>January</v>
      </c>
      <c r="B85" s="5">
        <v>17</v>
      </c>
      <c r="C85" s="5">
        <v>48</v>
      </c>
      <c r="D85" s="20">
        <v>65</v>
      </c>
    </row>
    <row r="86" spans="1:4" x14ac:dyDescent="0.3">
      <c r="A86" s="4" t="str">
        <f>TEXT(Append1[[#This Row],[dteday]],"MMMM")</f>
        <v>January</v>
      </c>
      <c r="B86" s="4">
        <v>15</v>
      </c>
      <c r="C86" s="4">
        <v>68</v>
      </c>
      <c r="D86" s="19">
        <v>83</v>
      </c>
    </row>
    <row r="87" spans="1:4" x14ac:dyDescent="0.3">
      <c r="A87" s="5" t="str">
        <f>TEXT(Append1[[#This Row],[dteday]],"MMMM")</f>
        <v>January</v>
      </c>
      <c r="B87" s="5">
        <v>10</v>
      </c>
      <c r="C87" s="5">
        <v>202</v>
      </c>
      <c r="D87" s="20">
        <v>212</v>
      </c>
    </row>
    <row r="88" spans="1:4" x14ac:dyDescent="0.3">
      <c r="A88" s="4" t="str">
        <f>TEXT(Append1[[#This Row],[dteday]],"MMMM")</f>
        <v>January</v>
      </c>
      <c r="B88" s="4">
        <v>3</v>
      </c>
      <c r="C88" s="4">
        <v>179</v>
      </c>
      <c r="D88" s="19">
        <v>182</v>
      </c>
    </row>
    <row r="89" spans="1:4" x14ac:dyDescent="0.3">
      <c r="A89" s="5" t="str">
        <f>TEXT(Append1[[#This Row],[dteday]],"MMMM")</f>
        <v>January</v>
      </c>
      <c r="B89" s="5">
        <v>2</v>
      </c>
      <c r="C89" s="5">
        <v>110</v>
      </c>
      <c r="D89" s="20">
        <v>112</v>
      </c>
    </row>
    <row r="90" spans="1:4" x14ac:dyDescent="0.3">
      <c r="A90" s="4" t="str">
        <f>TEXT(Append1[[#This Row],[dteday]],"MMMM")</f>
        <v>January</v>
      </c>
      <c r="B90" s="4">
        <v>1</v>
      </c>
      <c r="C90" s="4">
        <v>53</v>
      </c>
      <c r="D90" s="19">
        <v>54</v>
      </c>
    </row>
    <row r="91" spans="1:4" x14ac:dyDescent="0.3">
      <c r="A91" s="5" t="str">
        <f>TEXT(Append1[[#This Row],[dteday]],"MMMM")</f>
        <v>January</v>
      </c>
      <c r="B91" s="5">
        <v>0</v>
      </c>
      <c r="C91" s="5">
        <v>48</v>
      </c>
      <c r="D91" s="20">
        <v>48</v>
      </c>
    </row>
    <row r="92" spans="1:4" x14ac:dyDescent="0.3">
      <c r="A92" s="4" t="str">
        <f>TEXT(Append1[[#This Row],[dteday]],"MMMM")</f>
        <v>January</v>
      </c>
      <c r="B92" s="4">
        <v>1</v>
      </c>
      <c r="C92" s="4">
        <v>34</v>
      </c>
      <c r="D92" s="19">
        <v>35</v>
      </c>
    </row>
    <row r="93" spans="1:4" x14ac:dyDescent="0.3">
      <c r="A93" s="5" t="str">
        <f>TEXT(Append1[[#This Row],[dteday]],"MMMM")</f>
        <v>January</v>
      </c>
      <c r="B93" s="5">
        <v>2</v>
      </c>
      <c r="C93" s="5">
        <v>9</v>
      </c>
      <c r="D93" s="20">
        <v>11</v>
      </c>
    </row>
    <row r="94" spans="1:4" x14ac:dyDescent="0.3">
      <c r="A94" s="4" t="str">
        <f>TEXT(Append1[[#This Row],[dteday]],"MMMM")</f>
        <v>January</v>
      </c>
      <c r="B94" s="4">
        <v>0</v>
      </c>
      <c r="C94" s="4">
        <v>6</v>
      </c>
      <c r="D94" s="19">
        <v>6</v>
      </c>
    </row>
    <row r="95" spans="1:4" x14ac:dyDescent="0.3">
      <c r="A95" s="5" t="str">
        <f>TEXT(Append1[[#This Row],[dteday]],"MMMM")</f>
        <v>January</v>
      </c>
      <c r="B95" s="5">
        <v>0</v>
      </c>
      <c r="C95" s="5">
        <v>6</v>
      </c>
      <c r="D95" s="20">
        <v>6</v>
      </c>
    </row>
    <row r="96" spans="1:4" x14ac:dyDescent="0.3">
      <c r="A96" s="4" t="str">
        <f>TEXT(Append1[[#This Row],[dteday]],"MMMM")</f>
        <v>January</v>
      </c>
      <c r="B96" s="4">
        <v>0</v>
      </c>
      <c r="C96" s="4">
        <v>2</v>
      </c>
      <c r="D96" s="19">
        <v>2</v>
      </c>
    </row>
    <row r="97" spans="1:4" x14ac:dyDescent="0.3">
      <c r="A97" s="5" t="str">
        <f>TEXT(Append1[[#This Row],[dteday]],"MMMM")</f>
        <v>January</v>
      </c>
      <c r="B97" s="5">
        <v>0</v>
      </c>
      <c r="C97" s="5">
        <v>2</v>
      </c>
      <c r="D97" s="20">
        <v>2</v>
      </c>
    </row>
    <row r="98" spans="1:4" x14ac:dyDescent="0.3">
      <c r="A98" s="4" t="str">
        <f>TEXT(Append1[[#This Row],[dteday]],"MMMM")</f>
        <v>January</v>
      </c>
      <c r="B98" s="4">
        <v>0</v>
      </c>
      <c r="C98" s="4">
        <v>3</v>
      </c>
      <c r="D98" s="19">
        <v>3</v>
      </c>
    </row>
    <row r="99" spans="1:4" x14ac:dyDescent="0.3">
      <c r="A99" s="5" t="str">
        <f>TEXT(Append1[[#This Row],[dteday]],"MMMM")</f>
        <v>January</v>
      </c>
      <c r="B99" s="5">
        <v>0</v>
      </c>
      <c r="C99" s="5">
        <v>33</v>
      </c>
      <c r="D99" s="20">
        <v>33</v>
      </c>
    </row>
    <row r="100" spans="1:4" x14ac:dyDescent="0.3">
      <c r="A100" s="4" t="str">
        <f>TEXT(Append1[[#This Row],[dteday]],"MMMM")</f>
        <v>January</v>
      </c>
      <c r="B100" s="4">
        <v>1</v>
      </c>
      <c r="C100" s="4">
        <v>87</v>
      </c>
      <c r="D100" s="19">
        <v>88</v>
      </c>
    </row>
    <row r="101" spans="1:4" x14ac:dyDescent="0.3">
      <c r="A101" s="5" t="str">
        <f>TEXT(Append1[[#This Row],[dteday]],"MMMM")</f>
        <v>January</v>
      </c>
      <c r="B101" s="5">
        <v>3</v>
      </c>
      <c r="C101" s="5">
        <v>192</v>
      </c>
      <c r="D101" s="20">
        <v>195</v>
      </c>
    </row>
    <row r="102" spans="1:4" x14ac:dyDescent="0.3">
      <c r="A102" s="4" t="str">
        <f>TEXT(Append1[[#This Row],[dteday]],"MMMM")</f>
        <v>January</v>
      </c>
      <c r="B102" s="4">
        <v>6</v>
      </c>
      <c r="C102" s="4">
        <v>109</v>
      </c>
      <c r="D102" s="19">
        <v>115</v>
      </c>
    </row>
    <row r="103" spans="1:4" x14ac:dyDescent="0.3">
      <c r="A103" s="5" t="str">
        <f>TEXT(Append1[[#This Row],[dteday]],"MMMM")</f>
        <v>January</v>
      </c>
      <c r="B103" s="5">
        <v>4</v>
      </c>
      <c r="C103" s="5">
        <v>53</v>
      </c>
      <c r="D103" s="20">
        <v>57</v>
      </c>
    </row>
    <row r="104" spans="1:4" x14ac:dyDescent="0.3">
      <c r="A104" s="4" t="str">
        <f>TEXT(Append1[[#This Row],[dteday]],"MMMM")</f>
        <v>January</v>
      </c>
      <c r="B104" s="4">
        <v>12</v>
      </c>
      <c r="C104" s="4">
        <v>34</v>
      </c>
      <c r="D104" s="19">
        <v>46</v>
      </c>
    </row>
    <row r="105" spans="1:4" x14ac:dyDescent="0.3">
      <c r="A105" s="5" t="str">
        <f>TEXT(Append1[[#This Row],[dteday]],"MMMM")</f>
        <v>January</v>
      </c>
      <c r="B105" s="5">
        <v>5</v>
      </c>
      <c r="C105" s="5">
        <v>74</v>
      </c>
      <c r="D105" s="20">
        <v>79</v>
      </c>
    </row>
    <row r="106" spans="1:4" x14ac:dyDescent="0.3">
      <c r="A106" s="4" t="str">
        <f>TEXT(Append1[[#This Row],[dteday]],"MMMM")</f>
        <v>January</v>
      </c>
      <c r="B106" s="4">
        <v>6</v>
      </c>
      <c r="C106" s="4">
        <v>65</v>
      </c>
      <c r="D106" s="19">
        <v>71</v>
      </c>
    </row>
    <row r="107" spans="1:4" x14ac:dyDescent="0.3">
      <c r="A107" s="5" t="str">
        <f>TEXT(Append1[[#This Row],[dteday]],"MMMM")</f>
        <v>January</v>
      </c>
      <c r="B107" s="5">
        <v>10</v>
      </c>
      <c r="C107" s="5">
        <v>52</v>
      </c>
      <c r="D107" s="20">
        <v>62</v>
      </c>
    </row>
    <row r="108" spans="1:4" x14ac:dyDescent="0.3">
      <c r="A108" s="4" t="str">
        <f>TEXT(Append1[[#This Row],[dteday]],"MMMM")</f>
        <v>January</v>
      </c>
      <c r="B108" s="4">
        <v>7</v>
      </c>
      <c r="C108" s="4">
        <v>55</v>
      </c>
      <c r="D108" s="19">
        <v>62</v>
      </c>
    </row>
    <row r="109" spans="1:4" x14ac:dyDescent="0.3">
      <c r="A109" s="5" t="str">
        <f>TEXT(Append1[[#This Row],[dteday]],"MMMM")</f>
        <v>January</v>
      </c>
      <c r="B109" s="5">
        <v>4</v>
      </c>
      <c r="C109" s="5">
        <v>85</v>
      </c>
      <c r="D109" s="20">
        <v>89</v>
      </c>
    </row>
    <row r="110" spans="1:4" x14ac:dyDescent="0.3">
      <c r="A110" s="4" t="str">
        <f>TEXT(Append1[[#This Row],[dteday]],"MMMM")</f>
        <v>January</v>
      </c>
      <c r="B110" s="4">
        <v>4</v>
      </c>
      <c r="C110" s="4">
        <v>186</v>
      </c>
      <c r="D110" s="19">
        <v>190</v>
      </c>
    </row>
    <row r="111" spans="1:4" x14ac:dyDescent="0.3">
      <c r="A111" s="5" t="str">
        <f>TEXT(Append1[[#This Row],[dteday]],"MMMM")</f>
        <v>January</v>
      </c>
      <c r="B111" s="5">
        <v>3</v>
      </c>
      <c r="C111" s="5">
        <v>166</v>
      </c>
      <c r="D111" s="20">
        <v>169</v>
      </c>
    </row>
    <row r="112" spans="1:4" x14ac:dyDescent="0.3">
      <c r="A112" s="4" t="str">
        <f>TEXT(Append1[[#This Row],[dteday]],"MMMM")</f>
        <v>January</v>
      </c>
      <c r="B112" s="4">
        <v>5</v>
      </c>
      <c r="C112" s="4">
        <v>127</v>
      </c>
      <c r="D112" s="19">
        <v>132</v>
      </c>
    </row>
    <row r="113" spans="1:4" x14ac:dyDescent="0.3">
      <c r="A113" s="5" t="str">
        <f>TEXT(Append1[[#This Row],[dteday]],"MMMM")</f>
        <v>January</v>
      </c>
      <c r="B113" s="5">
        <v>7</v>
      </c>
      <c r="C113" s="5">
        <v>82</v>
      </c>
      <c r="D113" s="20">
        <v>89</v>
      </c>
    </row>
    <row r="114" spans="1:4" x14ac:dyDescent="0.3">
      <c r="A114" s="4" t="str">
        <f>TEXT(Append1[[#This Row],[dteday]],"MMMM")</f>
        <v>January</v>
      </c>
      <c r="B114" s="4">
        <v>3</v>
      </c>
      <c r="C114" s="4">
        <v>40</v>
      </c>
      <c r="D114" s="19">
        <v>43</v>
      </c>
    </row>
    <row r="115" spans="1:4" x14ac:dyDescent="0.3">
      <c r="A115" s="5" t="str">
        <f>TEXT(Append1[[#This Row],[dteday]],"MMMM")</f>
        <v>January</v>
      </c>
      <c r="B115" s="5">
        <v>1</v>
      </c>
      <c r="C115" s="5">
        <v>41</v>
      </c>
      <c r="D115" s="20">
        <v>42</v>
      </c>
    </row>
    <row r="116" spans="1:4" x14ac:dyDescent="0.3">
      <c r="A116" s="4" t="str">
        <f>TEXT(Append1[[#This Row],[dteday]],"MMMM")</f>
        <v>January</v>
      </c>
      <c r="B116" s="4">
        <v>1</v>
      </c>
      <c r="C116" s="4">
        <v>18</v>
      </c>
      <c r="D116" s="19">
        <v>19</v>
      </c>
    </row>
    <row r="117" spans="1:4" x14ac:dyDescent="0.3">
      <c r="A117" s="5" t="str">
        <f>TEXT(Append1[[#This Row],[dteday]],"MMMM")</f>
        <v>January</v>
      </c>
      <c r="B117" s="5">
        <v>0</v>
      </c>
      <c r="C117" s="5">
        <v>11</v>
      </c>
      <c r="D117" s="20">
        <v>11</v>
      </c>
    </row>
    <row r="118" spans="1:4" x14ac:dyDescent="0.3">
      <c r="A118" s="4" t="str">
        <f>TEXT(Append1[[#This Row],[dteday]],"MMMM")</f>
        <v>January</v>
      </c>
      <c r="B118" s="4">
        <v>0</v>
      </c>
      <c r="C118" s="4">
        <v>4</v>
      </c>
      <c r="D118" s="19">
        <v>4</v>
      </c>
    </row>
    <row r="119" spans="1:4" x14ac:dyDescent="0.3">
      <c r="A119" s="5" t="str">
        <f>TEXT(Append1[[#This Row],[dteday]],"MMMM")</f>
        <v>January</v>
      </c>
      <c r="B119" s="5">
        <v>0</v>
      </c>
      <c r="C119" s="5">
        <v>2</v>
      </c>
      <c r="D119" s="20">
        <v>2</v>
      </c>
    </row>
    <row r="120" spans="1:4" x14ac:dyDescent="0.3">
      <c r="A120" s="4" t="str">
        <f>TEXT(Append1[[#This Row],[dteday]],"MMMM")</f>
        <v>January</v>
      </c>
      <c r="B120" s="4">
        <v>0</v>
      </c>
      <c r="C120" s="4">
        <v>1</v>
      </c>
      <c r="D120" s="19">
        <v>1</v>
      </c>
    </row>
    <row r="121" spans="1:4" x14ac:dyDescent="0.3">
      <c r="A121" s="5" t="str">
        <f>TEXT(Append1[[#This Row],[dteday]],"MMMM")</f>
        <v>January</v>
      </c>
      <c r="B121" s="5">
        <v>0</v>
      </c>
      <c r="C121" s="5">
        <v>4</v>
      </c>
      <c r="D121" s="20">
        <v>4</v>
      </c>
    </row>
    <row r="122" spans="1:4" x14ac:dyDescent="0.3">
      <c r="A122" s="4" t="str">
        <f>TEXT(Append1[[#This Row],[dteday]],"MMMM")</f>
        <v>January</v>
      </c>
      <c r="B122" s="4">
        <v>0</v>
      </c>
      <c r="C122" s="4">
        <v>36</v>
      </c>
      <c r="D122" s="19">
        <v>36</v>
      </c>
    </row>
    <row r="123" spans="1:4" x14ac:dyDescent="0.3">
      <c r="A123" s="5" t="str">
        <f>TEXT(Append1[[#This Row],[dteday]],"MMMM")</f>
        <v>January</v>
      </c>
      <c r="B123" s="5">
        <v>0</v>
      </c>
      <c r="C123" s="5">
        <v>95</v>
      </c>
      <c r="D123" s="20">
        <v>95</v>
      </c>
    </row>
    <row r="124" spans="1:4" x14ac:dyDescent="0.3">
      <c r="A124" s="4" t="str">
        <f>TEXT(Append1[[#This Row],[dteday]],"MMMM")</f>
        <v>January</v>
      </c>
      <c r="B124" s="4">
        <v>3</v>
      </c>
      <c r="C124" s="4">
        <v>216</v>
      </c>
      <c r="D124" s="19">
        <v>219</v>
      </c>
    </row>
    <row r="125" spans="1:4" x14ac:dyDescent="0.3">
      <c r="A125" s="5" t="str">
        <f>TEXT(Append1[[#This Row],[dteday]],"MMMM")</f>
        <v>January</v>
      </c>
      <c r="B125" s="5">
        <v>6</v>
      </c>
      <c r="C125" s="5">
        <v>116</v>
      </c>
      <c r="D125" s="20">
        <v>122</v>
      </c>
    </row>
    <row r="126" spans="1:4" x14ac:dyDescent="0.3">
      <c r="A126" s="4" t="str">
        <f>TEXT(Append1[[#This Row],[dteday]],"MMMM")</f>
        <v>January</v>
      </c>
      <c r="B126" s="4">
        <v>3</v>
      </c>
      <c r="C126" s="4">
        <v>42</v>
      </c>
      <c r="D126" s="19">
        <v>45</v>
      </c>
    </row>
    <row r="127" spans="1:4" x14ac:dyDescent="0.3">
      <c r="A127" s="5" t="str">
        <f>TEXT(Append1[[#This Row],[dteday]],"MMMM")</f>
        <v>January</v>
      </c>
      <c r="B127" s="5">
        <v>2</v>
      </c>
      <c r="C127" s="5">
        <v>57</v>
      </c>
      <c r="D127" s="20">
        <v>59</v>
      </c>
    </row>
    <row r="128" spans="1:4" x14ac:dyDescent="0.3">
      <c r="A128" s="4" t="str">
        <f>TEXT(Append1[[#This Row],[dteday]],"MMMM")</f>
        <v>January</v>
      </c>
      <c r="B128" s="4">
        <v>6</v>
      </c>
      <c r="C128" s="4">
        <v>78</v>
      </c>
      <c r="D128" s="19">
        <v>84</v>
      </c>
    </row>
    <row r="129" spans="1:4" x14ac:dyDescent="0.3">
      <c r="A129" s="5" t="str">
        <f>TEXT(Append1[[#This Row],[dteday]],"MMMM")</f>
        <v>January</v>
      </c>
      <c r="B129" s="5">
        <v>12</v>
      </c>
      <c r="C129" s="5">
        <v>55</v>
      </c>
      <c r="D129" s="20">
        <v>67</v>
      </c>
    </row>
    <row r="130" spans="1:4" x14ac:dyDescent="0.3">
      <c r="A130" s="4" t="str">
        <f>TEXT(Append1[[#This Row],[dteday]],"MMMM")</f>
        <v>January</v>
      </c>
      <c r="B130" s="4">
        <v>11</v>
      </c>
      <c r="C130" s="4">
        <v>59</v>
      </c>
      <c r="D130" s="19">
        <v>70</v>
      </c>
    </row>
    <row r="131" spans="1:4" x14ac:dyDescent="0.3">
      <c r="A131" s="5" t="str">
        <f>TEXT(Append1[[#This Row],[dteday]],"MMMM")</f>
        <v>January</v>
      </c>
      <c r="B131" s="5">
        <v>8</v>
      </c>
      <c r="C131" s="5">
        <v>54</v>
      </c>
      <c r="D131" s="20">
        <v>62</v>
      </c>
    </row>
    <row r="132" spans="1:4" x14ac:dyDescent="0.3">
      <c r="A132" s="4" t="str">
        <f>TEXT(Append1[[#This Row],[dteday]],"MMMM")</f>
        <v>January</v>
      </c>
      <c r="B132" s="4">
        <v>12</v>
      </c>
      <c r="C132" s="4">
        <v>74</v>
      </c>
      <c r="D132" s="19">
        <v>86</v>
      </c>
    </row>
    <row r="133" spans="1:4" x14ac:dyDescent="0.3">
      <c r="A133" s="5" t="str">
        <f>TEXT(Append1[[#This Row],[dteday]],"MMMM")</f>
        <v>January</v>
      </c>
      <c r="B133" s="5">
        <v>9</v>
      </c>
      <c r="C133" s="5">
        <v>163</v>
      </c>
      <c r="D133" s="20">
        <v>172</v>
      </c>
    </row>
    <row r="134" spans="1:4" x14ac:dyDescent="0.3">
      <c r="A134" s="4" t="str">
        <f>TEXT(Append1[[#This Row],[dteday]],"MMMM")</f>
        <v>January</v>
      </c>
      <c r="B134" s="4">
        <v>5</v>
      </c>
      <c r="C134" s="4">
        <v>158</v>
      </c>
      <c r="D134" s="19">
        <v>163</v>
      </c>
    </row>
    <row r="135" spans="1:4" x14ac:dyDescent="0.3">
      <c r="A135" s="5" t="str">
        <f>TEXT(Append1[[#This Row],[dteday]],"MMMM")</f>
        <v>January</v>
      </c>
      <c r="B135" s="5">
        <v>3</v>
      </c>
      <c r="C135" s="5">
        <v>109</v>
      </c>
      <c r="D135" s="20">
        <v>112</v>
      </c>
    </row>
    <row r="136" spans="1:4" x14ac:dyDescent="0.3">
      <c r="A136" s="4" t="str">
        <f>TEXT(Append1[[#This Row],[dteday]],"MMMM")</f>
        <v>January</v>
      </c>
      <c r="B136" s="4">
        <v>3</v>
      </c>
      <c r="C136" s="4">
        <v>66</v>
      </c>
      <c r="D136" s="19">
        <v>69</v>
      </c>
    </row>
    <row r="137" spans="1:4" x14ac:dyDescent="0.3">
      <c r="A137" s="5" t="str">
        <f>TEXT(Append1[[#This Row],[dteday]],"MMMM")</f>
        <v>January</v>
      </c>
      <c r="B137" s="5">
        <v>0</v>
      </c>
      <c r="C137" s="5">
        <v>48</v>
      </c>
      <c r="D137" s="20">
        <v>48</v>
      </c>
    </row>
    <row r="138" spans="1:4" x14ac:dyDescent="0.3">
      <c r="A138" s="4" t="str">
        <f>TEXT(Append1[[#This Row],[dteday]],"MMMM")</f>
        <v>January</v>
      </c>
      <c r="B138" s="4">
        <v>1</v>
      </c>
      <c r="C138" s="4">
        <v>51</v>
      </c>
      <c r="D138" s="19">
        <v>52</v>
      </c>
    </row>
    <row r="139" spans="1:4" x14ac:dyDescent="0.3">
      <c r="A139" s="5" t="str">
        <f>TEXT(Append1[[#This Row],[dteday]],"MMMM")</f>
        <v>January</v>
      </c>
      <c r="B139" s="5">
        <v>4</v>
      </c>
      <c r="C139" s="5">
        <v>19</v>
      </c>
      <c r="D139" s="20">
        <v>23</v>
      </c>
    </row>
    <row r="140" spans="1:4" x14ac:dyDescent="0.3">
      <c r="A140" s="4" t="str">
        <f>TEXT(Append1[[#This Row],[dteday]],"MMMM")</f>
        <v>January</v>
      </c>
      <c r="B140" s="4">
        <v>4</v>
      </c>
      <c r="C140" s="4">
        <v>13</v>
      </c>
      <c r="D140" s="19">
        <v>17</v>
      </c>
    </row>
    <row r="141" spans="1:4" x14ac:dyDescent="0.3">
      <c r="A141" s="5" t="str">
        <f>TEXT(Append1[[#This Row],[dteday]],"MMMM")</f>
        <v>January</v>
      </c>
      <c r="B141" s="5">
        <v>2</v>
      </c>
      <c r="C141" s="5">
        <v>5</v>
      </c>
      <c r="D141" s="20">
        <v>7</v>
      </c>
    </row>
    <row r="142" spans="1:4" x14ac:dyDescent="0.3">
      <c r="A142" s="4" t="str">
        <f>TEXT(Append1[[#This Row],[dteday]],"MMMM")</f>
        <v>January</v>
      </c>
      <c r="B142" s="4">
        <v>0</v>
      </c>
      <c r="C142" s="4">
        <v>1</v>
      </c>
      <c r="D142" s="19">
        <v>1</v>
      </c>
    </row>
    <row r="143" spans="1:4" x14ac:dyDescent="0.3">
      <c r="A143" s="5" t="str">
        <f>TEXT(Append1[[#This Row],[dteday]],"MMMM")</f>
        <v>January</v>
      </c>
      <c r="B143" s="5">
        <v>0</v>
      </c>
      <c r="C143" s="5">
        <v>1</v>
      </c>
      <c r="D143" s="20">
        <v>1</v>
      </c>
    </row>
    <row r="144" spans="1:4" x14ac:dyDescent="0.3">
      <c r="A144" s="4" t="str">
        <f>TEXT(Append1[[#This Row],[dteday]],"MMMM")</f>
        <v>January</v>
      </c>
      <c r="B144" s="4">
        <v>0</v>
      </c>
      <c r="C144" s="4">
        <v>5</v>
      </c>
      <c r="D144" s="19">
        <v>5</v>
      </c>
    </row>
    <row r="145" spans="1:4" x14ac:dyDescent="0.3">
      <c r="A145" s="5" t="str">
        <f>TEXT(Append1[[#This Row],[dteday]],"MMMM")</f>
        <v>January</v>
      </c>
      <c r="B145" s="5">
        <v>8</v>
      </c>
      <c r="C145" s="5">
        <v>26</v>
      </c>
      <c r="D145" s="20">
        <v>34</v>
      </c>
    </row>
    <row r="146" spans="1:4" x14ac:dyDescent="0.3">
      <c r="A146" s="4" t="str">
        <f>TEXT(Append1[[#This Row],[dteday]],"MMMM")</f>
        <v>January</v>
      </c>
      <c r="B146" s="4">
        <v>8</v>
      </c>
      <c r="C146" s="4">
        <v>76</v>
      </c>
      <c r="D146" s="19">
        <v>84</v>
      </c>
    </row>
    <row r="147" spans="1:4" x14ac:dyDescent="0.3">
      <c r="A147" s="5" t="str">
        <f>TEXT(Append1[[#This Row],[dteday]],"MMMM")</f>
        <v>January</v>
      </c>
      <c r="B147" s="5">
        <v>20</v>
      </c>
      <c r="C147" s="5">
        <v>190</v>
      </c>
      <c r="D147" s="20">
        <v>210</v>
      </c>
    </row>
    <row r="148" spans="1:4" x14ac:dyDescent="0.3">
      <c r="A148" s="4" t="str">
        <f>TEXT(Append1[[#This Row],[dteday]],"MMMM")</f>
        <v>January</v>
      </c>
      <c r="B148" s="4">
        <v>9</v>
      </c>
      <c r="C148" s="4">
        <v>125</v>
      </c>
      <c r="D148" s="19">
        <v>134</v>
      </c>
    </row>
    <row r="149" spans="1:4" x14ac:dyDescent="0.3">
      <c r="A149" s="5" t="str">
        <f>TEXT(Append1[[#This Row],[dteday]],"MMMM")</f>
        <v>January</v>
      </c>
      <c r="B149" s="5">
        <v>16</v>
      </c>
      <c r="C149" s="5">
        <v>47</v>
      </c>
      <c r="D149" s="20">
        <v>63</v>
      </c>
    </row>
    <row r="150" spans="1:4" x14ac:dyDescent="0.3">
      <c r="A150" s="4" t="str">
        <f>TEXT(Append1[[#This Row],[dteday]],"MMMM")</f>
        <v>January</v>
      </c>
      <c r="B150" s="4">
        <v>19</v>
      </c>
      <c r="C150" s="4">
        <v>48</v>
      </c>
      <c r="D150" s="19">
        <v>67</v>
      </c>
    </row>
    <row r="151" spans="1:4" x14ac:dyDescent="0.3">
      <c r="A151" s="5" t="str">
        <f>TEXT(Append1[[#This Row],[dteday]],"MMMM")</f>
        <v>January</v>
      </c>
      <c r="B151" s="5">
        <v>9</v>
      </c>
      <c r="C151" s="5">
        <v>50</v>
      </c>
      <c r="D151" s="20">
        <v>59</v>
      </c>
    </row>
    <row r="152" spans="1:4" x14ac:dyDescent="0.3">
      <c r="A152" s="4" t="str">
        <f>TEXT(Append1[[#This Row],[dteday]],"MMMM")</f>
        <v>January</v>
      </c>
      <c r="B152" s="4">
        <v>9</v>
      </c>
      <c r="C152" s="4">
        <v>64</v>
      </c>
      <c r="D152" s="19">
        <v>73</v>
      </c>
    </row>
    <row r="153" spans="1:4" x14ac:dyDescent="0.3">
      <c r="A153" s="5" t="str">
        <f>TEXT(Append1[[#This Row],[dteday]],"MMMM")</f>
        <v>January</v>
      </c>
      <c r="B153" s="5">
        <v>7</v>
      </c>
      <c r="C153" s="5">
        <v>43</v>
      </c>
      <c r="D153" s="20">
        <v>50</v>
      </c>
    </row>
    <row r="154" spans="1:4" x14ac:dyDescent="0.3">
      <c r="A154" s="4" t="str">
        <f>TEXT(Append1[[#This Row],[dteday]],"MMMM")</f>
        <v>January</v>
      </c>
      <c r="B154" s="4">
        <v>9</v>
      </c>
      <c r="C154" s="4">
        <v>63</v>
      </c>
      <c r="D154" s="19">
        <v>72</v>
      </c>
    </row>
    <row r="155" spans="1:4" x14ac:dyDescent="0.3">
      <c r="A155" s="5" t="str">
        <f>TEXT(Append1[[#This Row],[dteday]],"MMMM")</f>
        <v>January</v>
      </c>
      <c r="B155" s="5">
        <v>5</v>
      </c>
      <c r="C155" s="5">
        <v>82</v>
      </c>
      <c r="D155" s="20">
        <v>87</v>
      </c>
    </row>
    <row r="156" spans="1:4" x14ac:dyDescent="0.3">
      <c r="A156" s="4" t="str">
        <f>TEXT(Append1[[#This Row],[dteday]],"MMMM")</f>
        <v>January</v>
      </c>
      <c r="B156" s="4">
        <v>9</v>
      </c>
      <c r="C156" s="4">
        <v>178</v>
      </c>
      <c r="D156" s="19">
        <v>187</v>
      </c>
    </row>
    <row r="157" spans="1:4" x14ac:dyDescent="0.3">
      <c r="A157" s="5" t="str">
        <f>TEXT(Append1[[#This Row],[dteday]],"MMMM")</f>
        <v>January</v>
      </c>
      <c r="B157" s="5">
        <v>7</v>
      </c>
      <c r="C157" s="5">
        <v>116</v>
      </c>
      <c r="D157" s="20">
        <v>123</v>
      </c>
    </row>
    <row r="158" spans="1:4" x14ac:dyDescent="0.3">
      <c r="A158" s="4" t="str">
        <f>TEXT(Append1[[#This Row],[dteday]],"MMMM")</f>
        <v>January</v>
      </c>
      <c r="B158" s="4">
        <v>3</v>
      </c>
      <c r="C158" s="4">
        <v>92</v>
      </c>
      <c r="D158" s="19">
        <v>95</v>
      </c>
    </row>
    <row r="159" spans="1:4" x14ac:dyDescent="0.3">
      <c r="A159" s="5" t="str">
        <f>TEXT(Append1[[#This Row],[dteday]],"MMMM")</f>
        <v>January</v>
      </c>
      <c r="B159" s="5">
        <v>1</v>
      </c>
      <c r="C159" s="5">
        <v>50</v>
      </c>
      <c r="D159" s="20">
        <v>51</v>
      </c>
    </row>
    <row r="160" spans="1:4" x14ac:dyDescent="0.3">
      <c r="A160" s="4" t="str">
        <f>TEXT(Append1[[#This Row],[dteday]],"MMMM")</f>
        <v>January</v>
      </c>
      <c r="B160" s="4">
        <v>0</v>
      </c>
      <c r="C160" s="4">
        <v>39</v>
      </c>
      <c r="D160" s="19">
        <v>39</v>
      </c>
    </row>
    <row r="161" spans="1:4" x14ac:dyDescent="0.3">
      <c r="A161" s="5" t="str">
        <f>TEXT(Append1[[#This Row],[dteday]],"MMMM")</f>
        <v>January</v>
      </c>
      <c r="B161" s="5">
        <v>2</v>
      </c>
      <c r="C161" s="5">
        <v>34</v>
      </c>
      <c r="D161" s="20">
        <v>36</v>
      </c>
    </row>
    <row r="162" spans="1:4" x14ac:dyDescent="0.3">
      <c r="A162" s="4" t="str">
        <f>TEXT(Append1[[#This Row],[dteday]],"MMMM")</f>
        <v>January</v>
      </c>
      <c r="B162" s="4">
        <v>1</v>
      </c>
      <c r="C162" s="4">
        <v>14</v>
      </c>
      <c r="D162" s="19">
        <v>15</v>
      </c>
    </row>
    <row r="163" spans="1:4" x14ac:dyDescent="0.3">
      <c r="A163" s="5" t="str">
        <f>TEXT(Append1[[#This Row],[dteday]],"MMMM")</f>
        <v>January</v>
      </c>
      <c r="B163" s="5">
        <v>1</v>
      </c>
      <c r="C163" s="5">
        <v>24</v>
      </c>
      <c r="D163" s="20">
        <v>25</v>
      </c>
    </row>
    <row r="164" spans="1:4" x14ac:dyDescent="0.3">
      <c r="A164" s="4" t="str">
        <f>TEXT(Append1[[#This Row],[dteday]],"MMMM")</f>
        <v>January</v>
      </c>
      <c r="B164" s="4">
        <v>1</v>
      </c>
      <c r="C164" s="4">
        <v>15</v>
      </c>
      <c r="D164" s="19">
        <v>16</v>
      </c>
    </row>
    <row r="165" spans="1:4" x14ac:dyDescent="0.3">
      <c r="A165" s="5" t="str">
        <f>TEXT(Append1[[#This Row],[dteday]],"MMMM")</f>
        <v>January</v>
      </c>
      <c r="B165" s="5">
        <v>3</v>
      </c>
      <c r="C165" s="5">
        <v>13</v>
      </c>
      <c r="D165" s="20">
        <v>16</v>
      </c>
    </row>
    <row r="166" spans="1:4" x14ac:dyDescent="0.3">
      <c r="A166" s="4" t="str">
        <f>TEXT(Append1[[#This Row],[dteday]],"MMMM")</f>
        <v>January</v>
      </c>
      <c r="B166" s="4">
        <v>0</v>
      </c>
      <c r="C166" s="4">
        <v>7</v>
      </c>
      <c r="D166" s="19">
        <v>7</v>
      </c>
    </row>
    <row r="167" spans="1:4" x14ac:dyDescent="0.3">
      <c r="A167" s="5" t="str">
        <f>TEXT(Append1[[#This Row],[dteday]],"MMMM")</f>
        <v>January</v>
      </c>
      <c r="B167" s="5">
        <v>0</v>
      </c>
      <c r="C167" s="5">
        <v>1</v>
      </c>
      <c r="D167" s="20">
        <v>1</v>
      </c>
    </row>
    <row r="168" spans="1:4" x14ac:dyDescent="0.3">
      <c r="A168" s="4" t="str">
        <f>TEXT(Append1[[#This Row],[dteday]],"MMMM")</f>
        <v>January</v>
      </c>
      <c r="B168" s="4">
        <v>0</v>
      </c>
      <c r="C168" s="4">
        <v>5</v>
      </c>
      <c r="D168" s="19">
        <v>5</v>
      </c>
    </row>
    <row r="169" spans="1:4" x14ac:dyDescent="0.3">
      <c r="A169" s="5" t="str">
        <f>TEXT(Append1[[#This Row],[dteday]],"MMMM")</f>
        <v>January</v>
      </c>
      <c r="B169" s="5">
        <v>0</v>
      </c>
      <c r="C169" s="5">
        <v>2</v>
      </c>
      <c r="D169" s="20">
        <v>2</v>
      </c>
    </row>
    <row r="170" spans="1:4" x14ac:dyDescent="0.3">
      <c r="A170" s="4" t="str">
        <f>TEXT(Append1[[#This Row],[dteday]],"MMMM")</f>
        <v>January</v>
      </c>
      <c r="B170" s="4">
        <v>1</v>
      </c>
      <c r="C170" s="4">
        <v>8</v>
      </c>
      <c r="D170" s="19">
        <v>9</v>
      </c>
    </row>
    <row r="171" spans="1:4" x14ac:dyDescent="0.3">
      <c r="A171" s="5" t="str">
        <f>TEXT(Append1[[#This Row],[dteday]],"MMMM")</f>
        <v>January</v>
      </c>
      <c r="B171" s="5">
        <v>0</v>
      </c>
      <c r="C171" s="5">
        <v>15</v>
      </c>
      <c r="D171" s="20">
        <v>15</v>
      </c>
    </row>
    <row r="172" spans="1:4" x14ac:dyDescent="0.3">
      <c r="A172" s="4" t="str">
        <f>TEXT(Append1[[#This Row],[dteday]],"MMMM")</f>
        <v>January</v>
      </c>
      <c r="B172" s="4">
        <v>0</v>
      </c>
      <c r="C172" s="4">
        <v>20</v>
      </c>
      <c r="D172" s="19">
        <v>20</v>
      </c>
    </row>
    <row r="173" spans="1:4" x14ac:dyDescent="0.3">
      <c r="A173" s="5" t="str">
        <f>TEXT(Append1[[#This Row],[dteday]],"MMMM")</f>
        <v>January</v>
      </c>
      <c r="B173" s="5">
        <v>5</v>
      </c>
      <c r="C173" s="5">
        <v>56</v>
      </c>
      <c r="D173" s="20">
        <v>61</v>
      </c>
    </row>
    <row r="174" spans="1:4" x14ac:dyDescent="0.3">
      <c r="A174" s="4" t="str">
        <f>TEXT(Append1[[#This Row],[dteday]],"MMMM")</f>
        <v>January</v>
      </c>
      <c r="B174" s="4">
        <v>2</v>
      </c>
      <c r="C174" s="4">
        <v>60</v>
      </c>
      <c r="D174" s="19">
        <v>62</v>
      </c>
    </row>
    <row r="175" spans="1:4" x14ac:dyDescent="0.3">
      <c r="A175" s="5" t="str">
        <f>TEXT(Append1[[#This Row],[dteday]],"MMMM")</f>
        <v>January</v>
      </c>
      <c r="B175" s="5">
        <v>8</v>
      </c>
      <c r="C175" s="5">
        <v>90</v>
      </c>
      <c r="D175" s="20">
        <v>98</v>
      </c>
    </row>
    <row r="176" spans="1:4" x14ac:dyDescent="0.3">
      <c r="A176" s="4" t="str">
        <f>TEXT(Append1[[#This Row],[dteday]],"MMMM")</f>
        <v>January</v>
      </c>
      <c r="B176" s="4">
        <v>7</v>
      </c>
      <c r="C176" s="4">
        <v>95</v>
      </c>
      <c r="D176" s="19">
        <v>102</v>
      </c>
    </row>
    <row r="177" spans="1:4" x14ac:dyDescent="0.3">
      <c r="A177" s="5" t="str">
        <f>TEXT(Append1[[#This Row],[dteday]],"MMMM")</f>
        <v>January</v>
      </c>
      <c r="B177" s="5">
        <v>12</v>
      </c>
      <c r="C177" s="5">
        <v>83</v>
      </c>
      <c r="D177" s="20">
        <v>95</v>
      </c>
    </row>
    <row r="178" spans="1:4" x14ac:dyDescent="0.3">
      <c r="A178" s="4" t="str">
        <f>TEXT(Append1[[#This Row],[dteday]],"MMMM")</f>
        <v>January</v>
      </c>
      <c r="B178" s="4">
        <v>5</v>
      </c>
      <c r="C178" s="4">
        <v>69</v>
      </c>
      <c r="D178" s="19">
        <v>74</v>
      </c>
    </row>
    <row r="179" spans="1:4" x14ac:dyDescent="0.3">
      <c r="A179" s="5" t="str">
        <f>TEXT(Append1[[#This Row],[dteday]],"MMMM")</f>
        <v>January</v>
      </c>
      <c r="B179" s="5">
        <v>8</v>
      </c>
      <c r="C179" s="5">
        <v>68</v>
      </c>
      <c r="D179" s="20">
        <v>76</v>
      </c>
    </row>
    <row r="180" spans="1:4" x14ac:dyDescent="0.3">
      <c r="A180" s="4" t="str">
        <f>TEXT(Append1[[#This Row],[dteday]],"MMMM")</f>
        <v>January</v>
      </c>
      <c r="B180" s="4">
        <v>5</v>
      </c>
      <c r="C180" s="4">
        <v>64</v>
      </c>
      <c r="D180" s="19">
        <v>69</v>
      </c>
    </row>
    <row r="181" spans="1:4" x14ac:dyDescent="0.3">
      <c r="A181" s="5" t="str">
        <f>TEXT(Append1[[#This Row],[dteday]],"MMMM")</f>
        <v>January</v>
      </c>
      <c r="B181" s="5">
        <v>3</v>
      </c>
      <c r="C181" s="5">
        <v>52</v>
      </c>
      <c r="D181" s="20">
        <v>55</v>
      </c>
    </row>
    <row r="182" spans="1:4" x14ac:dyDescent="0.3">
      <c r="A182" s="4" t="str">
        <f>TEXT(Append1[[#This Row],[dteday]],"MMMM")</f>
        <v>January</v>
      </c>
      <c r="B182" s="4">
        <v>4</v>
      </c>
      <c r="C182" s="4">
        <v>26</v>
      </c>
      <c r="D182" s="19">
        <v>30</v>
      </c>
    </row>
    <row r="183" spans="1:4" x14ac:dyDescent="0.3">
      <c r="A183" s="5" t="str">
        <f>TEXT(Append1[[#This Row],[dteday]],"MMMM")</f>
        <v>January</v>
      </c>
      <c r="B183" s="5">
        <v>0</v>
      </c>
      <c r="C183" s="5">
        <v>28</v>
      </c>
      <c r="D183" s="20">
        <v>28</v>
      </c>
    </row>
    <row r="184" spans="1:4" x14ac:dyDescent="0.3">
      <c r="A184" s="4" t="str">
        <f>TEXT(Append1[[#This Row],[dteday]],"MMMM")</f>
        <v>January</v>
      </c>
      <c r="B184" s="4">
        <v>2</v>
      </c>
      <c r="C184" s="4">
        <v>35</v>
      </c>
      <c r="D184" s="19">
        <v>37</v>
      </c>
    </row>
    <row r="185" spans="1:4" x14ac:dyDescent="0.3">
      <c r="A185" s="5" t="str">
        <f>TEXT(Append1[[#This Row],[dteday]],"MMMM")</f>
        <v>January</v>
      </c>
      <c r="B185" s="5">
        <v>1</v>
      </c>
      <c r="C185" s="5">
        <v>33</v>
      </c>
      <c r="D185" s="20">
        <v>34</v>
      </c>
    </row>
    <row r="186" spans="1:4" x14ac:dyDescent="0.3">
      <c r="A186" s="4" t="str">
        <f>TEXT(Append1[[#This Row],[dteday]],"MMMM")</f>
        <v>January</v>
      </c>
      <c r="B186" s="4">
        <v>0</v>
      </c>
      <c r="C186" s="4">
        <v>22</v>
      </c>
      <c r="D186" s="19">
        <v>22</v>
      </c>
    </row>
    <row r="187" spans="1:4" x14ac:dyDescent="0.3">
      <c r="A187" s="5" t="str">
        <f>TEXT(Append1[[#This Row],[dteday]],"MMMM")</f>
        <v>January</v>
      </c>
      <c r="B187" s="5">
        <v>1</v>
      </c>
      <c r="C187" s="5">
        <v>24</v>
      </c>
      <c r="D187" s="20">
        <v>25</v>
      </c>
    </row>
    <row r="188" spans="1:4" x14ac:dyDescent="0.3">
      <c r="A188" s="4" t="str">
        <f>TEXT(Append1[[#This Row],[dteday]],"MMMM")</f>
        <v>January</v>
      </c>
      <c r="B188" s="4">
        <v>0</v>
      </c>
      <c r="C188" s="4">
        <v>12</v>
      </c>
      <c r="D188" s="19">
        <v>12</v>
      </c>
    </row>
    <row r="189" spans="1:4" x14ac:dyDescent="0.3">
      <c r="A189" s="5" t="str">
        <f>TEXT(Append1[[#This Row],[dteday]],"MMMM")</f>
        <v>January</v>
      </c>
      <c r="B189" s="5">
        <v>0</v>
      </c>
      <c r="C189" s="5">
        <v>11</v>
      </c>
      <c r="D189" s="20">
        <v>11</v>
      </c>
    </row>
    <row r="190" spans="1:4" x14ac:dyDescent="0.3">
      <c r="A190" s="4" t="str">
        <f>TEXT(Append1[[#This Row],[dteday]],"MMMM")</f>
        <v>January</v>
      </c>
      <c r="B190" s="4">
        <v>0</v>
      </c>
      <c r="C190" s="4">
        <v>4</v>
      </c>
      <c r="D190" s="19">
        <v>4</v>
      </c>
    </row>
    <row r="191" spans="1:4" x14ac:dyDescent="0.3">
      <c r="A191" s="5" t="str">
        <f>TEXT(Append1[[#This Row],[dteday]],"MMMM")</f>
        <v>January</v>
      </c>
      <c r="B191" s="5">
        <v>0</v>
      </c>
      <c r="C191" s="5">
        <v>1</v>
      </c>
      <c r="D191" s="20">
        <v>1</v>
      </c>
    </row>
    <row r="192" spans="1:4" x14ac:dyDescent="0.3">
      <c r="A192" s="4" t="str">
        <f>TEXT(Append1[[#This Row],[dteday]],"MMMM")</f>
        <v>January</v>
      </c>
      <c r="B192" s="4">
        <v>0</v>
      </c>
      <c r="C192" s="4">
        <v>1</v>
      </c>
      <c r="D192" s="19">
        <v>1</v>
      </c>
    </row>
    <row r="193" spans="1:4" x14ac:dyDescent="0.3">
      <c r="A193" s="5" t="str">
        <f>TEXT(Append1[[#This Row],[dteday]],"MMMM")</f>
        <v>January</v>
      </c>
      <c r="B193" s="5">
        <v>0</v>
      </c>
      <c r="C193" s="5">
        <v>1</v>
      </c>
      <c r="D193" s="20">
        <v>1</v>
      </c>
    </row>
    <row r="194" spans="1:4" x14ac:dyDescent="0.3">
      <c r="A194" s="4" t="str">
        <f>TEXT(Append1[[#This Row],[dteday]],"MMMM")</f>
        <v>January</v>
      </c>
      <c r="B194" s="4">
        <v>1</v>
      </c>
      <c r="C194" s="4">
        <v>5</v>
      </c>
      <c r="D194" s="19">
        <v>6</v>
      </c>
    </row>
    <row r="195" spans="1:4" x14ac:dyDescent="0.3">
      <c r="A195" s="5" t="str">
        <f>TEXT(Append1[[#This Row],[dteday]],"MMMM")</f>
        <v>January</v>
      </c>
      <c r="B195" s="5">
        <v>0</v>
      </c>
      <c r="C195" s="5">
        <v>10</v>
      </c>
      <c r="D195" s="20">
        <v>10</v>
      </c>
    </row>
    <row r="196" spans="1:4" x14ac:dyDescent="0.3">
      <c r="A196" s="4" t="str">
        <f>TEXT(Append1[[#This Row],[dteday]],"MMMM")</f>
        <v>January</v>
      </c>
      <c r="B196" s="4">
        <v>0</v>
      </c>
      <c r="C196" s="4">
        <v>19</v>
      </c>
      <c r="D196" s="19">
        <v>19</v>
      </c>
    </row>
    <row r="197" spans="1:4" x14ac:dyDescent="0.3">
      <c r="A197" s="5" t="str">
        <f>TEXT(Append1[[#This Row],[dteday]],"MMMM")</f>
        <v>January</v>
      </c>
      <c r="B197" s="5">
        <v>0</v>
      </c>
      <c r="C197" s="5">
        <v>49</v>
      </c>
      <c r="D197" s="20">
        <v>49</v>
      </c>
    </row>
    <row r="198" spans="1:4" x14ac:dyDescent="0.3">
      <c r="A198" s="4" t="str">
        <f>TEXT(Append1[[#This Row],[dteday]],"MMMM")</f>
        <v>January</v>
      </c>
      <c r="B198" s="4">
        <v>2</v>
      </c>
      <c r="C198" s="4">
        <v>47</v>
      </c>
      <c r="D198" s="19">
        <v>49</v>
      </c>
    </row>
    <row r="199" spans="1:4" x14ac:dyDescent="0.3">
      <c r="A199" s="5" t="str">
        <f>TEXT(Append1[[#This Row],[dteday]],"MMMM")</f>
        <v>January</v>
      </c>
      <c r="B199" s="5">
        <v>4</v>
      </c>
      <c r="C199" s="5">
        <v>79</v>
      </c>
      <c r="D199" s="20">
        <v>83</v>
      </c>
    </row>
    <row r="200" spans="1:4" x14ac:dyDescent="0.3">
      <c r="A200" s="4" t="str">
        <f>TEXT(Append1[[#This Row],[dteday]],"MMMM")</f>
        <v>January</v>
      </c>
      <c r="B200" s="4">
        <v>6</v>
      </c>
      <c r="C200" s="4">
        <v>69</v>
      </c>
      <c r="D200" s="19">
        <v>75</v>
      </c>
    </row>
    <row r="201" spans="1:4" x14ac:dyDescent="0.3">
      <c r="A201" s="5" t="str">
        <f>TEXT(Append1[[#This Row],[dteday]],"MMMM")</f>
        <v>January</v>
      </c>
      <c r="B201" s="5">
        <v>8</v>
      </c>
      <c r="C201" s="5">
        <v>64</v>
      </c>
      <c r="D201" s="20">
        <v>72</v>
      </c>
    </row>
    <row r="202" spans="1:4" x14ac:dyDescent="0.3">
      <c r="A202" s="4" t="str">
        <f>TEXT(Append1[[#This Row],[dteday]],"MMMM")</f>
        <v>January</v>
      </c>
      <c r="B202" s="4">
        <v>5</v>
      </c>
      <c r="C202" s="4">
        <v>77</v>
      </c>
      <c r="D202" s="19">
        <v>82</v>
      </c>
    </row>
    <row r="203" spans="1:4" x14ac:dyDescent="0.3">
      <c r="A203" s="5" t="str">
        <f>TEXT(Append1[[#This Row],[dteday]],"MMMM")</f>
        <v>January</v>
      </c>
      <c r="B203" s="5">
        <v>13</v>
      </c>
      <c r="C203" s="5">
        <v>79</v>
      </c>
      <c r="D203" s="20">
        <v>92</v>
      </c>
    </row>
    <row r="204" spans="1:4" x14ac:dyDescent="0.3">
      <c r="A204" s="4" t="str">
        <f>TEXT(Append1[[#This Row],[dteday]],"MMMM")</f>
        <v>January</v>
      </c>
      <c r="B204" s="4">
        <v>3</v>
      </c>
      <c r="C204" s="4">
        <v>59</v>
      </c>
      <c r="D204" s="19">
        <v>62</v>
      </c>
    </row>
    <row r="205" spans="1:4" x14ac:dyDescent="0.3">
      <c r="A205" s="5" t="str">
        <f>TEXT(Append1[[#This Row],[dteday]],"MMMM")</f>
        <v>January</v>
      </c>
      <c r="B205" s="5">
        <v>4</v>
      </c>
      <c r="C205" s="5">
        <v>44</v>
      </c>
      <c r="D205" s="20">
        <v>48</v>
      </c>
    </row>
    <row r="206" spans="1:4" x14ac:dyDescent="0.3">
      <c r="A206" s="4" t="str">
        <f>TEXT(Append1[[#This Row],[dteday]],"MMMM")</f>
        <v>January</v>
      </c>
      <c r="B206" s="4">
        <v>1</v>
      </c>
      <c r="C206" s="4">
        <v>40</v>
      </c>
      <c r="D206" s="19">
        <v>41</v>
      </c>
    </row>
    <row r="207" spans="1:4" x14ac:dyDescent="0.3">
      <c r="A207" s="5" t="str">
        <f>TEXT(Append1[[#This Row],[dteday]],"MMMM")</f>
        <v>January</v>
      </c>
      <c r="B207" s="5">
        <v>0</v>
      </c>
      <c r="C207" s="5">
        <v>38</v>
      </c>
      <c r="D207" s="20">
        <v>38</v>
      </c>
    </row>
    <row r="208" spans="1:4" x14ac:dyDescent="0.3">
      <c r="A208" s="4" t="str">
        <f>TEXT(Append1[[#This Row],[dteday]],"MMMM")</f>
        <v>January</v>
      </c>
      <c r="B208" s="4">
        <v>1</v>
      </c>
      <c r="C208" s="4">
        <v>19</v>
      </c>
      <c r="D208" s="19">
        <v>20</v>
      </c>
    </row>
    <row r="209" spans="1:4" x14ac:dyDescent="0.3">
      <c r="A209" s="5" t="str">
        <f>TEXT(Append1[[#This Row],[dteday]],"MMMM")</f>
        <v>January</v>
      </c>
      <c r="B209" s="5">
        <v>5</v>
      </c>
      <c r="C209" s="5">
        <v>10</v>
      </c>
      <c r="D209" s="20">
        <v>15</v>
      </c>
    </row>
    <row r="210" spans="1:4" x14ac:dyDescent="0.3">
      <c r="A210" s="4" t="str">
        <f>TEXT(Append1[[#This Row],[dteday]],"MMMM")</f>
        <v>January</v>
      </c>
      <c r="B210" s="4">
        <v>0</v>
      </c>
      <c r="C210" s="4">
        <v>6</v>
      </c>
      <c r="D210" s="19">
        <v>6</v>
      </c>
    </row>
    <row r="211" spans="1:4" x14ac:dyDescent="0.3">
      <c r="A211" s="5" t="str">
        <f>TEXT(Append1[[#This Row],[dteday]],"MMMM")</f>
        <v>January</v>
      </c>
      <c r="B211" s="5">
        <v>2</v>
      </c>
      <c r="C211" s="5">
        <v>3</v>
      </c>
      <c r="D211" s="20">
        <v>5</v>
      </c>
    </row>
    <row r="212" spans="1:4" x14ac:dyDescent="0.3">
      <c r="A212" s="4" t="str">
        <f>TEXT(Append1[[#This Row],[dteday]],"MMMM")</f>
        <v>January</v>
      </c>
      <c r="B212" s="4">
        <v>1</v>
      </c>
      <c r="C212" s="4">
        <v>0</v>
      </c>
      <c r="D212" s="19">
        <v>1</v>
      </c>
    </row>
    <row r="213" spans="1:4" x14ac:dyDescent="0.3">
      <c r="A213" s="5" t="str">
        <f>TEXT(Append1[[#This Row],[dteday]],"MMMM")</f>
        <v>January</v>
      </c>
      <c r="B213" s="5">
        <v>0</v>
      </c>
      <c r="C213" s="5">
        <v>3</v>
      </c>
      <c r="D213" s="20">
        <v>3</v>
      </c>
    </row>
    <row r="214" spans="1:4" x14ac:dyDescent="0.3">
      <c r="A214" s="4" t="str">
        <f>TEXT(Append1[[#This Row],[dteday]],"MMMM")</f>
        <v>January</v>
      </c>
      <c r="B214" s="4">
        <v>0</v>
      </c>
      <c r="C214" s="4">
        <v>1</v>
      </c>
      <c r="D214" s="19">
        <v>1</v>
      </c>
    </row>
    <row r="215" spans="1:4" x14ac:dyDescent="0.3">
      <c r="A215" s="5" t="str">
        <f>TEXT(Append1[[#This Row],[dteday]],"MMMM")</f>
        <v>January</v>
      </c>
      <c r="B215" s="5">
        <v>1</v>
      </c>
      <c r="C215" s="5">
        <v>2</v>
      </c>
      <c r="D215" s="20">
        <v>3</v>
      </c>
    </row>
    <row r="216" spans="1:4" x14ac:dyDescent="0.3">
      <c r="A216" s="4" t="str">
        <f>TEXT(Append1[[#This Row],[dteday]],"MMMM")</f>
        <v>January</v>
      </c>
      <c r="B216" s="4">
        <v>0</v>
      </c>
      <c r="C216" s="4">
        <v>3</v>
      </c>
      <c r="D216" s="19">
        <v>3</v>
      </c>
    </row>
    <row r="217" spans="1:4" x14ac:dyDescent="0.3">
      <c r="A217" s="5" t="str">
        <f>TEXT(Append1[[#This Row],[dteday]],"MMMM")</f>
        <v>January</v>
      </c>
      <c r="B217" s="5">
        <v>0</v>
      </c>
      <c r="C217" s="5">
        <v>31</v>
      </c>
      <c r="D217" s="20">
        <v>31</v>
      </c>
    </row>
    <row r="218" spans="1:4" x14ac:dyDescent="0.3">
      <c r="A218" s="4" t="str">
        <f>TEXT(Append1[[#This Row],[dteday]],"MMMM")</f>
        <v>January</v>
      </c>
      <c r="B218" s="4">
        <v>2</v>
      </c>
      <c r="C218" s="4">
        <v>75</v>
      </c>
      <c r="D218" s="19">
        <v>77</v>
      </c>
    </row>
    <row r="219" spans="1:4" x14ac:dyDescent="0.3">
      <c r="A219" s="5" t="str">
        <f>TEXT(Append1[[#This Row],[dteday]],"MMMM")</f>
        <v>January</v>
      </c>
      <c r="B219" s="5">
        <v>4</v>
      </c>
      <c r="C219" s="5">
        <v>184</v>
      </c>
      <c r="D219" s="20">
        <v>188</v>
      </c>
    </row>
    <row r="220" spans="1:4" x14ac:dyDescent="0.3">
      <c r="A220" s="4" t="str">
        <f>TEXT(Append1[[#This Row],[dteday]],"MMMM")</f>
        <v>January</v>
      </c>
      <c r="B220" s="4">
        <v>2</v>
      </c>
      <c r="C220" s="4">
        <v>92</v>
      </c>
      <c r="D220" s="19">
        <v>94</v>
      </c>
    </row>
    <row r="221" spans="1:4" x14ac:dyDescent="0.3">
      <c r="A221" s="5" t="str">
        <f>TEXT(Append1[[#This Row],[dteday]],"MMMM")</f>
        <v>January</v>
      </c>
      <c r="B221" s="5">
        <v>0</v>
      </c>
      <c r="C221" s="5">
        <v>31</v>
      </c>
      <c r="D221" s="20">
        <v>31</v>
      </c>
    </row>
    <row r="222" spans="1:4" x14ac:dyDescent="0.3">
      <c r="A222" s="4" t="str">
        <f>TEXT(Append1[[#This Row],[dteday]],"MMMM")</f>
        <v>January</v>
      </c>
      <c r="B222" s="4">
        <v>2</v>
      </c>
      <c r="C222" s="4">
        <v>28</v>
      </c>
      <c r="D222" s="19">
        <v>30</v>
      </c>
    </row>
    <row r="223" spans="1:4" x14ac:dyDescent="0.3">
      <c r="A223" s="5" t="str">
        <f>TEXT(Append1[[#This Row],[dteday]],"MMMM")</f>
        <v>January</v>
      </c>
      <c r="B223" s="5">
        <v>5</v>
      </c>
      <c r="C223" s="5">
        <v>47</v>
      </c>
      <c r="D223" s="20">
        <v>52</v>
      </c>
    </row>
    <row r="224" spans="1:4" x14ac:dyDescent="0.3">
      <c r="A224" s="4" t="str">
        <f>TEXT(Append1[[#This Row],[dteday]],"MMMM")</f>
        <v>January</v>
      </c>
      <c r="B224" s="4">
        <v>4</v>
      </c>
      <c r="C224" s="4">
        <v>50</v>
      </c>
      <c r="D224" s="19">
        <v>54</v>
      </c>
    </row>
    <row r="225" spans="1:4" x14ac:dyDescent="0.3">
      <c r="A225" s="5" t="str">
        <f>TEXT(Append1[[#This Row],[dteday]],"MMMM")</f>
        <v>January</v>
      </c>
      <c r="B225" s="5">
        <v>0</v>
      </c>
      <c r="C225" s="5">
        <v>47</v>
      </c>
      <c r="D225" s="20">
        <v>47</v>
      </c>
    </row>
    <row r="226" spans="1:4" x14ac:dyDescent="0.3">
      <c r="A226" s="4" t="str">
        <f>TEXT(Append1[[#This Row],[dteday]],"MMMM")</f>
        <v>January</v>
      </c>
      <c r="B226" s="4">
        <v>2</v>
      </c>
      <c r="C226" s="4">
        <v>43</v>
      </c>
      <c r="D226" s="19">
        <v>45</v>
      </c>
    </row>
    <row r="227" spans="1:4" x14ac:dyDescent="0.3">
      <c r="A227" s="5" t="str">
        <f>TEXT(Append1[[#This Row],[dteday]],"MMMM")</f>
        <v>January</v>
      </c>
      <c r="B227" s="5">
        <v>4</v>
      </c>
      <c r="C227" s="5">
        <v>70</v>
      </c>
      <c r="D227" s="20">
        <v>74</v>
      </c>
    </row>
    <row r="228" spans="1:4" x14ac:dyDescent="0.3">
      <c r="A228" s="4" t="str">
        <f>TEXT(Append1[[#This Row],[dteday]],"MMMM")</f>
        <v>January</v>
      </c>
      <c r="B228" s="4">
        <v>4</v>
      </c>
      <c r="C228" s="4">
        <v>174</v>
      </c>
      <c r="D228" s="19">
        <v>178</v>
      </c>
    </row>
    <row r="229" spans="1:4" x14ac:dyDescent="0.3">
      <c r="A229" s="5" t="str">
        <f>TEXT(Append1[[#This Row],[dteday]],"MMMM")</f>
        <v>January</v>
      </c>
      <c r="B229" s="5">
        <v>1</v>
      </c>
      <c r="C229" s="5">
        <v>154</v>
      </c>
      <c r="D229" s="20">
        <v>155</v>
      </c>
    </row>
    <row r="230" spans="1:4" x14ac:dyDescent="0.3">
      <c r="A230" s="4" t="str">
        <f>TEXT(Append1[[#This Row],[dteday]],"MMMM")</f>
        <v>January</v>
      </c>
      <c r="B230" s="4">
        <v>3</v>
      </c>
      <c r="C230" s="4">
        <v>92</v>
      </c>
      <c r="D230" s="19">
        <v>95</v>
      </c>
    </row>
    <row r="231" spans="1:4" x14ac:dyDescent="0.3">
      <c r="A231" s="5" t="str">
        <f>TEXT(Append1[[#This Row],[dteday]],"MMMM")</f>
        <v>January</v>
      </c>
      <c r="B231" s="5">
        <v>1</v>
      </c>
      <c r="C231" s="5">
        <v>73</v>
      </c>
      <c r="D231" s="20">
        <v>74</v>
      </c>
    </row>
    <row r="232" spans="1:4" x14ac:dyDescent="0.3">
      <c r="A232" s="4" t="str">
        <f>TEXT(Append1[[#This Row],[dteday]],"MMMM")</f>
        <v>January</v>
      </c>
      <c r="B232" s="4">
        <v>1</v>
      </c>
      <c r="C232" s="4">
        <v>37</v>
      </c>
      <c r="D232" s="19">
        <v>38</v>
      </c>
    </row>
    <row r="233" spans="1:4" x14ac:dyDescent="0.3">
      <c r="A233" s="5" t="str">
        <f>TEXT(Append1[[#This Row],[dteday]],"MMMM")</f>
        <v>January</v>
      </c>
      <c r="B233" s="5">
        <v>2</v>
      </c>
      <c r="C233" s="5">
        <v>22</v>
      </c>
      <c r="D233" s="20">
        <v>24</v>
      </c>
    </row>
    <row r="234" spans="1:4" x14ac:dyDescent="0.3">
      <c r="A234" s="4" t="str">
        <f>TEXT(Append1[[#This Row],[dteday]],"MMMM")</f>
        <v>January</v>
      </c>
      <c r="B234" s="4">
        <v>0</v>
      </c>
      <c r="C234" s="4">
        <v>18</v>
      </c>
      <c r="D234" s="19">
        <v>18</v>
      </c>
    </row>
    <row r="235" spans="1:4" x14ac:dyDescent="0.3">
      <c r="A235" s="5" t="str">
        <f>TEXT(Append1[[#This Row],[dteday]],"MMMM")</f>
        <v>January</v>
      </c>
      <c r="B235" s="5">
        <v>2</v>
      </c>
      <c r="C235" s="5">
        <v>10</v>
      </c>
      <c r="D235" s="20">
        <v>12</v>
      </c>
    </row>
    <row r="236" spans="1:4" x14ac:dyDescent="0.3">
      <c r="A236" s="4" t="str">
        <f>TEXT(Append1[[#This Row],[dteday]],"MMMM")</f>
        <v>January</v>
      </c>
      <c r="B236" s="4">
        <v>0</v>
      </c>
      <c r="C236" s="4">
        <v>3</v>
      </c>
      <c r="D236" s="19">
        <v>3</v>
      </c>
    </row>
    <row r="237" spans="1:4" x14ac:dyDescent="0.3">
      <c r="A237" s="5" t="str">
        <f>TEXT(Append1[[#This Row],[dteday]],"MMMM")</f>
        <v>January</v>
      </c>
      <c r="B237" s="5">
        <v>0</v>
      </c>
      <c r="C237" s="5">
        <v>3</v>
      </c>
      <c r="D237" s="20">
        <v>3</v>
      </c>
    </row>
    <row r="238" spans="1:4" x14ac:dyDescent="0.3">
      <c r="A238" s="4" t="str">
        <f>TEXT(Append1[[#This Row],[dteday]],"MMMM")</f>
        <v>January</v>
      </c>
      <c r="B238" s="4">
        <v>0</v>
      </c>
      <c r="C238" s="4">
        <v>6</v>
      </c>
      <c r="D238" s="19">
        <v>6</v>
      </c>
    </row>
    <row r="239" spans="1:4" x14ac:dyDescent="0.3">
      <c r="A239" s="5" t="str">
        <f>TEXT(Append1[[#This Row],[dteday]],"MMMM")</f>
        <v>January</v>
      </c>
      <c r="B239" s="5">
        <v>0</v>
      </c>
      <c r="C239" s="5">
        <v>27</v>
      </c>
      <c r="D239" s="20">
        <v>27</v>
      </c>
    </row>
    <row r="240" spans="1:4" x14ac:dyDescent="0.3">
      <c r="A240" s="4" t="str">
        <f>TEXT(Append1[[#This Row],[dteday]],"MMMM")</f>
        <v>January</v>
      </c>
      <c r="B240" s="4">
        <v>2</v>
      </c>
      <c r="C240" s="4">
        <v>97</v>
      </c>
      <c r="D240" s="19">
        <v>99</v>
      </c>
    </row>
    <row r="241" spans="1:4" x14ac:dyDescent="0.3">
      <c r="A241" s="5" t="str">
        <f>TEXT(Append1[[#This Row],[dteday]],"MMMM")</f>
        <v>January</v>
      </c>
      <c r="B241" s="5">
        <v>3</v>
      </c>
      <c r="C241" s="5">
        <v>214</v>
      </c>
      <c r="D241" s="20">
        <v>217</v>
      </c>
    </row>
    <row r="242" spans="1:4" x14ac:dyDescent="0.3">
      <c r="A242" s="4" t="str">
        <f>TEXT(Append1[[#This Row],[dteday]],"MMMM")</f>
        <v>January</v>
      </c>
      <c r="B242" s="4">
        <v>3</v>
      </c>
      <c r="C242" s="4">
        <v>127</v>
      </c>
      <c r="D242" s="19">
        <v>130</v>
      </c>
    </row>
    <row r="243" spans="1:4" x14ac:dyDescent="0.3">
      <c r="A243" s="5" t="str">
        <f>TEXT(Append1[[#This Row],[dteday]],"MMMM")</f>
        <v>January</v>
      </c>
      <c r="B243" s="5">
        <v>3</v>
      </c>
      <c r="C243" s="5">
        <v>51</v>
      </c>
      <c r="D243" s="20">
        <v>54</v>
      </c>
    </row>
    <row r="244" spans="1:4" x14ac:dyDescent="0.3">
      <c r="A244" s="4" t="str">
        <f>TEXT(Append1[[#This Row],[dteday]],"MMMM")</f>
        <v>January</v>
      </c>
      <c r="B244" s="4">
        <v>4</v>
      </c>
      <c r="C244" s="4">
        <v>31</v>
      </c>
      <c r="D244" s="19">
        <v>35</v>
      </c>
    </row>
    <row r="245" spans="1:4" x14ac:dyDescent="0.3">
      <c r="A245" s="5" t="str">
        <f>TEXT(Append1[[#This Row],[dteday]],"MMMM")</f>
        <v>January</v>
      </c>
      <c r="B245" s="5">
        <v>2</v>
      </c>
      <c r="C245" s="5">
        <v>55</v>
      </c>
      <c r="D245" s="20">
        <v>57</v>
      </c>
    </row>
    <row r="246" spans="1:4" x14ac:dyDescent="0.3">
      <c r="A246" s="4" t="str">
        <f>TEXT(Append1[[#This Row],[dteday]],"MMMM")</f>
        <v>January</v>
      </c>
      <c r="B246" s="4">
        <v>6</v>
      </c>
      <c r="C246" s="4">
        <v>46</v>
      </c>
      <c r="D246" s="19">
        <v>52</v>
      </c>
    </row>
    <row r="247" spans="1:4" x14ac:dyDescent="0.3">
      <c r="A247" s="5" t="str">
        <f>TEXT(Append1[[#This Row],[dteday]],"MMMM")</f>
        <v>January</v>
      </c>
      <c r="B247" s="5">
        <v>3</v>
      </c>
      <c r="C247" s="5">
        <v>60</v>
      </c>
      <c r="D247" s="20">
        <v>63</v>
      </c>
    </row>
    <row r="248" spans="1:4" x14ac:dyDescent="0.3">
      <c r="A248" s="4" t="str">
        <f>TEXT(Append1[[#This Row],[dteday]],"MMMM")</f>
        <v>January</v>
      </c>
      <c r="B248" s="4">
        <v>2</v>
      </c>
      <c r="C248" s="4">
        <v>45</v>
      </c>
      <c r="D248" s="19">
        <v>47</v>
      </c>
    </row>
    <row r="249" spans="1:4" x14ac:dyDescent="0.3">
      <c r="A249" s="5" t="str">
        <f>TEXT(Append1[[#This Row],[dteday]],"MMMM")</f>
        <v>January</v>
      </c>
      <c r="B249" s="5">
        <v>4</v>
      </c>
      <c r="C249" s="5">
        <v>72</v>
      </c>
      <c r="D249" s="20">
        <v>76</v>
      </c>
    </row>
    <row r="250" spans="1:4" x14ac:dyDescent="0.3">
      <c r="A250" s="4" t="str">
        <f>TEXT(Append1[[#This Row],[dteday]],"MMMM")</f>
        <v>January</v>
      </c>
      <c r="B250" s="4">
        <v>6</v>
      </c>
      <c r="C250" s="4">
        <v>130</v>
      </c>
      <c r="D250" s="19">
        <v>136</v>
      </c>
    </row>
    <row r="251" spans="1:4" x14ac:dyDescent="0.3">
      <c r="A251" s="5" t="str">
        <f>TEXT(Append1[[#This Row],[dteday]],"MMMM")</f>
        <v>January</v>
      </c>
      <c r="B251" s="5">
        <v>1</v>
      </c>
      <c r="C251" s="5">
        <v>94</v>
      </c>
      <c r="D251" s="20">
        <v>95</v>
      </c>
    </row>
    <row r="252" spans="1:4" x14ac:dyDescent="0.3">
      <c r="A252" s="4" t="str">
        <f>TEXT(Append1[[#This Row],[dteday]],"MMMM")</f>
        <v>January</v>
      </c>
      <c r="B252" s="4">
        <v>0</v>
      </c>
      <c r="C252" s="4">
        <v>51</v>
      </c>
      <c r="D252" s="19">
        <v>51</v>
      </c>
    </row>
    <row r="253" spans="1:4" x14ac:dyDescent="0.3">
      <c r="A253" s="5" t="str">
        <f>TEXT(Append1[[#This Row],[dteday]],"MMMM")</f>
        <v>January</v>
      </c>
      <c r="B253" s="5">
        <v>0</v>
      </c>
      <c r="C253" s="5">
        <v>32</v>
      </c>
      <c r="D253" s="20">
        <v>32</v>
      </c>
    </row>
    <row r="254" spans="1:4" x14ac:dyDescent="0.3">
      <c r="A254" s="4" t="str">
        <f>TEXT(Append1[[#This Row],[dteday]],"MMMM")</f>
        <v>January</v>
      </c>
      <c r="B254" s="4">
        <v>0</v>
      </c>
      <c r="C254" s="4">
        <v>20</v>
      </c>
      <c r="D254" s="19">
        <v>20</v>
      </c>
    </row>
    <row r="255" spans="1:4" x14ac:dyDescent="0.3">
      <c r="A255" s="5" t="str">
        <f>TEXT(Append1[[#This Row],[dteday]],"MMMM")</f>
        <v>January</v>
      </c>
      <c r="B255" s="5">
        <v>1</v>
      </c>
      <c r="C255" s="5">
        <v>28</v>
      </c>
      <c r="D255" s="20">
        <v>29</v>
      </c>
    </row>
    <row r="256" spans="1:4" x14ac:dyDescent="0.3">
      <c r="A256" s="4" t="str">
        <f>TEXT(Append1[[#This Row],[dteday]],"MMMM")</f>
        <v>January</v>
      </c>
      <c r="B256" s="4">
        <v>1</v>
      </c>
      <c r="C256" s="4">
        <v>18</v>
      </c>
      <c r="D256" s="19">
        <v>19</v>
      </c>
    </row>
    <row r="257" spans="1:4" x14ac:dyDescent="0.3">
      <c r="A257" s="5" t="str">
        <f>TEXT(Append1[[#This Row],[dteday]],"MMMM")</f>
        <v>January</v>
      </c>
      <c r="B257" s="5">
        <v>0</v>
      </c>
      <c r="C257" s="5">
        <v>7</v>
      </c>
      <c r="D257" s="20">
        <v>7</v>
      </c>
    </row>
    <row r="258" spans="1:4" x14ac:dyDescent="0.3">
      <c r="A258" s="4" t="str">
        <f>TEXT(Append1[[#This Row],[dteday]],"MMMM")</f>
        <v>January</v>
      </c>
      <c r="B258" s="4">
        <v>0</v>
      </c>
      <c r="C258" s="4">
        <v>6</v>
      </c>
      <c r="D258" s="19">
        <v>6</v>
      </c>
    </row>
    <row r="259" spans="1:4" x14ac:dyDescent="0.3">
      <c r="A259" s="5" t="str">
        <f>TEXT(Append1[[#This Row],[dteday]],"MMMM")</f>
        <v>January</v>
      </c>
      <c r="B259" s="5">
        <v>0</v>
      </c>
      <c r="C259" s="5">
        <v>1</v>
      </c>
      <c r="D259" s="20">
        <v>1</v>
      </c>
    </row>
    <row r="260" spans="1:4" x14ac:dyDescent="0.3">
      <c r="A260" s="4" t="str">
        <f>TEXT(Append1[[#This Row],[dteday]],"MMMM")</f>
        <v>January</v>
      </c>
      <c r="B260" s="4">
        <v>0</v>
      </c>
      <c r="C260" s="4">
        <v>5</v>
      </c>
      <c r="D260" s="19">
        <v>5</v>
      </c>
    </row>
    <row r="261" spans="1:4" x14ac:dyDescent="0.3">
      <c r="A261" s="5" t="str">
        <f>TEXT(Append1[[#This Row],[dteday]],"MMMM")</f>
        <v>January</v>
      </c>
      <c r="B261" s="5">
        <v>0</v>
      </c>
      <c r="C261" s="5">
        <v>16</v>
      </c>
      <c r="D261" s="20">
        <v>16</v>
      </c>
    </row>
    <row r="262" spans="1:4" x14ac:dyDescent="0.3">
      <c r="A262" s="4" t="str">
        <f>TEXT(Append1[[#This Row],[dteday]],"MMMM")</f>
        <v>January</v>
      </c>
      <c r="B262" s="4">
        <v>0</v>
      </c>
      <c r="C262" s="4">
        <v>54</v>
      </c>
      <c r="D262" s="19">
        <v>54</v>
      </c>
    </row>
    <row r="263" spans="1:4" x14ac:dyDescent="0.3">
      <c r="A263" s="5" t="str">
        <f>TEXT(Append1[[#This Row],[dteday]],"MMMM")</f>
        <v>January</v>
      </c>
      <c r="B263" s="5">
        <v>3</v>
      </c>
      <c r="C263" s="5">
        <v>125</v>
      </c>
      <c r="D263" s="20">
        <v>128</v>
      </c>
    </row>
    <row r="264" spans="1:4" x14ac:dyDescent="0.3">
      <c r="A264" s="4" t="str">
        <f>TEXT(Append1[[#This Row],[dteday]],"MMMM")</f>
        <v>January</v>
      </c>
      <c r="B264" s="4">
        <v>3</v>
      </c>
      <c r="C264" s="4">
        <v>78</v>
      </c>
      <c r="D264" s="19">
        <v>81</v>
      </c>
    </row>
    <row r="265" spans="1:4" x14ac:dyDescent="0.3">
      <c r="A265" s="5" t="str">
        <f>TEXT(Append1[[#This Row],[dteday]],"MMMM")</f>
        <v>January</v>
      </c>
      <c r="B265" s="5">
        <v>0</v>
      </c>
      <c r="C265" s="5">
        <v>39</v>
      </c>
      <c r="D265" s="20">
        <v>39</v>
      </c>
    </row>
    <row r="266" spans="1:4" x14ac:dyDescent="0.3">
      <c r="A266" s="4" t="str">
        <f>TEXT(Append1[[#This Row],[dteday]],"MMMM")</f>
        <v>January</v>
      </c>
      <c r="B266" s="4">
        <v>3</v>
      </c>
      <c r="C266" s="4">
        <v>32</v>
      </c>
      <c r="D266" s="19">
        <v>35</v>
      </c>
    </row>
    <row r="267" spans="1:4" x14ac:dyDescent="0.3">
      <c r="A267" s="5" t="str">
        <f>TEXT(Append1[[#This Row],[dteday]],"MMMM")</f>
        <v>January</v>
      </c>
      <c r="B267" s="5">
        <v>3</v>
      </c>
      <c r="C267" s="5">
        <v>52</v>
      </c>
      <c r="D267" s="20">
        <v>55</v>
      </c>
    </row>
    <row r="268" spans="1:4" x14ac:dyDescent="0.3">
      <c r="A268" s="4" t="str">
        <f>TEXT(Append1[[#This Row],[dteday]],"MMMM")</f>
        <v>January</v>
      </c>
      <c r="B268" s="4">
        <v>0</v>
      </c>
      <c r="C268" s="4">
        <v>49</v>
      </c>
      <c r="D268" s="19">
        <v>49</v>
      </c>
    </row>
    <row r="269" spans="1:4" x14ac:dyDescent="0.3">
      <c r="A269" s="5" t="str">
        <f>TEXT(Append1[[#This Row],[dteday]],"MMMM")</f>
        <v>January</v>
      </c>
      <c r="B269" s="5">
        <v>0</v>
      </c>
      <c r="C269" s="5">
        <v>44</v>
      </c>
      <c r="D269" s="20">
        <v>44</v>
      </c>
    </row>
    <row r="270" spans="1:4" x14ac:dyDescent="0.3">
      <c r="A270" s="4" t="str">
        <f>TEXT(Append1[[#This Row],[dteday]],"MMMM")</f>
        <v>January</v>
      </c>
      <c r="B270" s="4">
        <v>1</v>
      </c>
      <c r="C270" s="4">
        <v>48</v>
      </c>
      <c r="D270" s="19">
        <v>49</v>
      </c>
    </row>
    <row r="271" spans="1:4" x14ac:dyDescent="0.3">
      <c r="A271" s="5" t="str">
        <f>TEXT(Append1[[#This Row],[dteday]],"MMMM")</f>
        <v>January</v>
      </c>
      <c r="B271" s="5">
        <v>5</v>
      </c>
      <c r="C271" s="5">
        <v>63</v>
      </c>
      <c r="D271" s="20">
        <v>68</v>
      </c>
    </row>
    <row r="272" spans="1:4" x14ac:dyDescent="0.3">
      <c r="A272" s="4" t="str">
        <f>TEXT(Append1[[#This Row],[dteday]],"MMMM")</f>
        <v>January</v>
      </c>
      <c r="B272" s="4">
        <v>0</v>
      </c>
      <c r="C272" s="4">
        <v>139</v>
      </c>
      <c r="D272" s="19">
        <v>139</v>
      </c>
    </row>
    <row r="273" spans="1:4" x14ac:dyDescent="0.3">
      <c r="A273" s="5" t="str">
        <f>TEXT(Append1[[#This Row],[dteday]],"MMMM")</f>
        <v>January</v>
      </c>
      <c r="B273" s="5">
        <v>2</v>
      </c>
      <c r="C273" s="5">
        <v>135</v>
      </c>
      <c r="D273" s="20">
        <v>137</v>
      </c>
    </row>
    <row r="274" spans="1:4" x14ac:dyDescent="0.3">
      <c r="A274" s="4" t="str">
        <f>TEXT(Append1[[#This Row],[dteday]],"MMMM")</f>
        <v>January</v>
      </c>
      <c r="B274" s="4">
        <v>1</v>
      </c>
      <c r="C274" s="4">
        <v>82</v>
      </c>
      <c r="D274" s="19">
        <v>83</v>
      </c>
    </row>
    <row r="275" spans="1:4" x14ac:dyDescent="0.3">
      <c r="A275" s="5" t="str">
        <f>TEXT(Append1[[#This Row],[dteday]],"MMMM")</f>
        <v>January</v>
      </c>
      <c r="B275" s="5">
        <v>2</v>
      </c>
      <c r="C275" s="5">
        <v>54</v>
      </c>
      <c r="D275" s="20">
        <v>56</v>
      </c>
    </row>
    <row r="276" spans="1:4" x14ac:dyDescent="0.3">
      <c r="A276" s="4" t="str">
        <f>TEXT(Append1[[#This Row],[dteday]],"MMMM")</f>
        <v>January</v>
      </c>
      <c r="B276" s="4">
        <v>0</v>
      </c>
      <c r="C276" s="4">
        <v>57</v>
      </c>
      <c r="D276" s="19">
        <v>57</v>
      </c>
    </row>
    <row r="277" spans="1:4" x14ac:dyDescent="0.3">
      <c r="A277" s="5" t="str">
        <f>TEXT(Append1[[#This Row],[dteday]],"MMMM")</f>
        <v>January</v>
      </c>
      <c r="B277" s="5">
        <v>1</v>
      </c>
      <c r="C277" s="5">
        <v>32</v>
      </c>
      <c r="D277" s="20">
        <v>33</v>
      </c>
    </row>
    <row r="278" spans="1:4" x14ac:dyDescent="0.3">
      <c r="A278" s="4" t="str">
        <f>TEXT(Append1[[#This Row],[dteday]],"MMMM")</f>
        <v>January</v>
      </c>
      <c r="B278" s="4">
        <v>1</v>
      </c>
      <c r="C278" s="4">
        <v>19</v>
      </c>
      <c r="D278" s="19">
        <v>20</v>
      </c>
    </row>
    <row r="279" spans="1:4" x14ac:dyDescent="0.3">
      <c r="A279" s="5" t="str">
        <f>TEXT(Append1[[#This Row],[dteday]],"MMMM")</f>
        <v>January</v>
      </c>
      <c r="B279" s="5">
        <v>1</v>
      </c>
      <c r="C279" s="5">
        <v>6</v>
      </c>
      <c r="D279" s="20">
        <v>7</v>
      </c>
    </row>
    <row r="280" spans="1:4" x14ac:dyDescent="0.3">
      <c r="A280" s="4" t="str">
        <f>TEXT(Append1[[#This Row],[dteday]],"MMMM")</f>
        <v>January</v>
      </c>
      <c r="B280" s="4">
        <v>0</v>
      </c>
      <c r="C280" s="4">
        <v>2</v>
      </c>
      <c r="D280" s="19">
        <v>2</v>
      </c>
    </row>
    <row r="281" spans="1:4" x14ac:dyDescent="0.3">
      <c r="A281" s="5" t="str">
        <f>TEXT(Append1[[#This Row],[dteday]],"MMMM")</f>
        <v>January</v>
      </c>
      <c r="B281" s="5">
        <v>0</v>
      </c>
      <c r="C281" s="5">
        <v>2</v>
      </c>
      <c r="D281" s="20">
        <v>2</v>
      </c>
    </row>
    <row r="282" spans="1:4" x14ac:dyDescent="0.3">
      <c r="A282" s="4" t="str">
        <f>TEXT(Append1[[#This Row],[dteday]],"MMMM")</f>
        <v>January</v>
      </c>
      <c r="B282" s="4">
        <v>0</v>
      </c>
      <c r="C282" s="4">
        <v>3</v>
      </c>
      <c r="D282" s="19">
        <v>3</v>
      </c>
    </row>
    <row r="283" spans="1:4" x14ac:dyDescent="0.3">
      <c r="A283" s="5" t="str">
        <f>TEXT(Append1[[#This Row],[dteday]],"MMMM")</f>
        <v>January</v>
      </c>
      <c r="B283" s="5">
        <v>0</v>
      </c>
      <c r="C283" s="5">
        <v>4</v>
      </c>
      <c r="D283" s="20">
        <v>4</v>
      </c>
    </row>
    <row r="284" spans="1:4" x14ac:dyDescent="0.3">
      <c r="A284" s="4" t="str">
        <f>TEXT(Append1[[#This Row],[dteday]],"MMMM")</f>
        <v>January</v>
      </c>
      <c r="B284" s="4">
        <v>0</v>
      </c>
      <c r="C284" s="4">
        <v>3</v>
      </c>
      <c r="D284" s="19">
        <v>3</v>
      </c>
    </row>
    <row r="285" spans="1:4" x14ac:dyDescent="0.3">
      <c r="A285" s="5" t="str">
        <f>TEXT(Append1[[#This Row],[dteday]],"MMMM")</f>
        <v>January</v>
      </c>
      <c r="B285" s="5">
        <v>0</v>
      </c>
      <c r="C285" s="5">
        <v>28</v>
      </c>
      <c r="D285" s="20">
        <v>28</v>
      </c>
    </row>
    <row r="286" spans="1:4" x14ac:dyDescent="0.3">
      <c r="A286" s="4" t="str">
        <f>TEXT(Append1[[#This Row],[dteday]],"MMMM")</f>
        <v>January</v>
      </c>
      <c r="B286" s="4">
        <v>0</v>
      </c>
      <c r="C286" s="4">
        <v>72</v>
      </c>
      <c r="D286" s="19">
        <v>72</v>
      </c>
    </row>
    <row r="287" spans="1:4" x14ac:dyDescent="0.3">
      <c r="A287" s="5" t="str">
        <f>TEXT(Append1[[#This Row],[dteday]],"MMMM")</f>
        <v>January</v>
      </c>
      <c r="B287" s="5">
        <v>5</v>
      </c>
      <c r="C287" s="5">
        <v>197</v>
      </c>
      <c r="D287" s="20">
        <v>202</v>
      </c>
    </row>
    <row r="288" spans="1:4" x14ac:dyDescent="0.3">
      <c r="A288" s="4" t="str">
        <f>TEXT(Append1[[#This Row],[dteday]],"MMMM")</f>
        <v>January</v>
      </c>
      <c r="B288" s="4">
        <v>2</v>
      </c>
      <c r="C288" s="4">
        <v>137</v>
      </c>
      <c r="D288" s="19">
        <v>139</v>
      </c>
    </row>
    <row r="289" spans="1:4" x14ac:dyDescent="0.3">
      <c r="A289" s="5" t="str">
        <f>TEXT(Append1[[#This Row],[dteday]],"MMMM")</f>
        <v>January</v>
      </c>
      <c r="B289" s="5">
        <v>2</v>
      </c>
      <c r="C289" s="5">
        <v>36</v>
      </c>
      <c r="D289" s="20">
        <v>38</v>
      </c>
    </row>
    <row r="290" spans="1:4" x14ac:dyDescent="0.3">
      <c r="A290" s="4" t="str">
        <f>TEXT(Append1[[#This Row],[dteday]],"MMMM")</f>
        <v>January</v>
      </c>
      <c r="B290" s="4">
        <v>4</v>
      </c>
      <c r="C290" s="4">
        <v>33</v>
      </c>
      <c r="D290" s="19">
        <v>37</v>
      </c>
    </row>
    <row r="291" spans="1:4" x14ac:dyDescent="0.3">
      <c r="A291" s="5" t="str">
        <f>TEXT(Append1[[#This Row],[dteday]],"MMMM")</f>
        <v>January</v>
      </c>
      <c r="B291" s="5">
        <v>3</v>
      </c>
      <c r="C291" s="5">
        <v>49</v>
      </c>
      <c r="D291" s="20">
        <v>52</v>
      </c>
    </row>
    <row r="292" spans="1:4" x14ac:dyDescent="0.3">
      <c r="A292" s="4" t="str">
        <f>TEXT(Append1[[#This Row],[dteday]],"MMMM")</f>
        <v>January</v>
      </c>
      <c r="B292" s="4">
        <v>2</v>
      </c>
      <c r="C292" s="4">
        <v>81</v>
      </c>
      <c r="D292" s="19">
        <v>83</v>
      </c>
    </row>
    <row r="293" spans="1:4" x14ac:dyDescent="0.3">
      <c r="A293" s="5" t="str">
        <f>TEXT(Append1[[#This Row],[dteday]],"MMMM")</f>
        <v>January</v>
      </c>
      <c r="B293" s="5">
        <v>3</v>
      </c>
      <c r="C293" s="5">
        <v>39</v>
      </c>
      <c r="D293" s="20">
        <v>42</v>
      </c>
    </row>
    <row r="294" spans="1:4" x14ac:dyDescent="0.3">
      <c r="A294" s="4" t="str">
        <f>TEXT(Append1[[#This Row],[dteday]],"MMMM")</f>
        <v>January</v>
      </c>
      <c r="B294" s="4">
        <v>5</v>
      </c>
      <c r="C294" s="4">
        <v>55</v>
      </c>
      <c r="D294" s="19">
        <v>60</v>
      </c>
    </row>
    <row r="295" spans="1:4" x14ac:dyDescent="0.3">
      <c r="A295" s="5" t="str">
        <f>TEXT(Append1[[#This Row],[dteday]],"MMMM")</f>
        <v>January</v>
      </c>
      <c r="B295" s="5">
        <v>2</v>
      </c>
      <c r="C295" s="5">
        <v>76</v>
      </c>
      <c r="D295" s="20">
        <v>78</v>
      </c>
    </row>
    <row r="296" spans="1:4" x14ac:dyDescent="0.3">
      <c r="A296" s="4" t="str">
        <f>TEXT(Append1[[#This Row],[dteday]],"MMMM")</f>
        <v>January</v>
      </c>
      <c r="B296" s="4">
        <v>4</v>
      </c>
      <c r="C296" s="4">
        <v>158</v>
      </c>
      <c r="D296" s="19">
        <v>162</v>
      </c>
    </row>
    <row r="297" spans="1:4" x14ac:dyDescent="0.3">
      <c r="A297" s="5" t="str">
        <f>TEXT(Append1[[#This Row],[dteday]],"MMMM")</f>
        <v>January</v>
      </c>
      <c r="B297" s="5">
        <v>3</v>
      </c>
      <c r="C297" s="5">
        <v>141</v>
      </c>
      <c r="D297" s="20">
        <v>144</v>
      </c>
    </row>
    <row r="298" spans="1:4" x14ac:dyDescent="0.3">
      <c r="A298" s="4" t="str">
        <f>TEXT(Append1[[#This Row],[dteday]],"MMMM")</f>
        <v>January</v>
      </c>
      <c r="B298" s="4">
        <v>1</v>
      </c>
      <c r="C298" s="4">
        <v>98</v>
      </c>
      <c r="D298" s="19">
        <v>99</v>
      </c>
    </row>
    <row r="299" spans="1:4" x14ac:dyDescent="0.3">
      <c r="A299" s="5" t="str">
        <f>TEXT(Append1[[#This Row],[dteday]],"MMMM")</f>
        <v>January</v>
      </c>
      <c r="B299" s="5">
        <v>0</v>
      </c>
      <c r="C299" s="5">
        <v>64</v>
      </c>
      <c r="D299" s="20">
        <v>64</v>
      </c>
    </row>
    <row r="300" spans="1:4" x14ac:dyDescent="0.3">
      <c r="A300" s="4" t="str">
        <f>TEXT(Append1[[#This Row],[dteday]],"MMMM")</f>
        <v>January</v>
      </c>
      <c r="B300" s="4">
        <v>0</v>
      </c>
      <c r="C300" s="4">
        <v>40</v>
      </c>
      <c r="D300" s="19">
        <v>40</v>
      </c>
    </row>
    <row r="301" spans="1:4" x14ac:dyDescent="0.3">
      <c r="A301" s="5" t="str">
        <f>TEXT(Append1[[#This Row],[dteday]],"MMMM")</f>
        <v>January</v>
      </c>
      <c r="B301" s="5">
        <v>0</v>
      </c>
      <c r="C301" s="5">
        <v>30</v>
      </c>
      <c r="D301" s="20">
        <v>30</v>
      </c>
    </row>
    <row r="302" spans="1:4" x14ac:dyDescent="0.3">
      <c r="A302" s="4" t="str">
        <f>TEXT(Append1[[#This Row],[dteday]],"MMMM")</f>
        <v>January</v>
      </c>
      <c r="B302" s="4">
        <v>1</v>
      </c>
      <c r="C302" s="4">
        <v>14</v>
      </c>
      <c r="D302" s="19">
        <v>15</v>
      </c>
    </row>
    <row r="303" spans="1:4" x14ac:dyDescent="0.3">
      <c r="A303" s="5" t="str">
        <f>TEXT(Append1[[#This Row],[dteday]],"MMMM")</f>
        <v>January</v>
      </c>
      <c r="B303" s="5">
        <v>0</v>
      </c>
      <c r="C303" s="5">
        <v>14</v>
      </c>
      <c r="D303" s="20">
        <v>14</v>
      </c>
    </row>
    <row r="304" spans="1:4" x14ac:dyDescent="0.3">
      <c r="A304" s="4" t="str">
        <f>TEXT(Append1[[#This Row],[dteday]],"MMMM")</f>
        <v>January</v>
      </c>
      <c r="B304" s="4">
        <v>0</v>
      </c>
      <c r="C304" s="4">
        <v>5</v>
      </c>
      <c r="D304" s="19">
        <v>5</v>
      </c>
    </row>
    <row r="305" spans="1:4" x14ac:dyDescent="0.3">
      <c r="A305" s="5" t="str">
        <f>TEXT(Append1[[#This Row],[dteday]],"MMMM")</f>
        <v>January</v>
      </c>
      <c r="B305" s="5">
        <v>0</v>
      </c>
      <c r="C305" s="5">
        <v>1</v>
      </c>
      <c r="D305" s="20">
        <v>1</v>
      </c>
    </row>
    <row r="306" spans="1:4" x14ac:dyDescent="0.3">
      <c r="A306" s="4" t="str">
        <f>TEXT(Append1[[#This Row],[dteday]],"MMMM")</f>
        <v>January</v>
      </c>
      <c r="B306" s="4">
        <v>0</v>
      </c>
      <c r="C306" s="4">
        <v>1</v>
      </c>
      <c r="D306" s="19">
        <v>1</v>
      </c>
    </row>
    <row r="307" spans="1:4" x14ac:dyDescent="0.3">
      <c r="A307" s="5" t="str">
        <f>TEXT(Append1[[#This Row],[dteday]],"MMMM")</f>
        <v>January</v>
      </c>
      <c r="B307" s="5">
        <v>0</v>
      </c>
      <c r="C307" s="5">
        <v>8</v>
      </c>
      <c r="D307" s="20">
        <v>8</v>
      </c>
    </row>
    <row r="308" spans="1:4" x14ac:dyDescent="0.3">
      <c r="A308" s="4" t="str">
        <f>TEXT(Append1[[#This Row],[dteday]],"MMMM")</f>
        <v>January</v>
      </c>
      <c r="B308" s="4">
        <v>0</v>
      </c>
      <c r="C308" s="4">
        <v>17</v>
      </c>
      <c r="D308" s="19">
        <v>17</v>
      </c>
    </row>
    <row r="309" spans="1:4" x14ac:dyDescent="0.3">
      <c r="A309" s="5" t="str">
        <f>TEXT(Append1[[#This Row],[dteday]],"MMMM")</f>
        <v>January</v>
      </c>
      <c r="B309" s="5">
        <v>0</v>
      </c>
      <c r="C309" s="5">
        <v>70</v>
      </c>
      <c r="D309" s="20">
        <v>70</v>
      </c>
    </row>
    <row r="310" spans="1:4" x14ac:dyDescent="0.3">
      <c r="A310" s="4" t="str">
        <f>TEXT(Append1[[#This Row],[dteday]],"MMMM")</f>
        <v>January</v>
      </c>
      <c r="B310" s="4">
        <v>2</v>
      </c>
      <c r="C310" s="4">
        <v>156</v>
      </c>
      <c r="D310" s="19">
        <v>158</v>
      </c>
    </row>
    <row r="311" spans="1:4" x14ac:dyDescent="0.3">
      <c r="A311" s="5" t="str">
        <f>TEXT(Append1[[#This Row],[dteday]],"MMMM")</f>
        <v>January</v>
      </c>
      <c r="B311" s="5">
        <v>0</v>
      </c>
      <c r="C311" s="5">
        <v>117</v>
      </c>
      <c r="D311" s="20">
        <v>117</v>
      </c>
    </row>
    <row r="312" spans="1:4" x14ac:dyDescent="0.3">
      <c r="A312" s="4" t="str">
        <f>TEXT(Append1[[#This Row],[dteday]],"MMMM")</f>
        <v>January</v>
      </c>
      <c r="B312" s="4">
        <v>4</v>
      </c>
      <c r="C312" s="4">
        <v>40</v>
      </c>
      <c r="D312" s="19">
        <v>44</v>
      </c>
    </row>
    <row r="313" spans="1:4" x14ac:dyDescent="0.3">
      <c r="A313" s="5" t="str">
        <f>TEXT(Append1[[#This Row],[dteday]],"MMMM")</f>
        <v>January</v>
      </c>
      <c r="B313" s="5">
        <v>6</v>
      </c>
      <c r="C313" s="5">
        <v>47</v>
      </c>
      <c r="D313" s="20">
        <v>53</v>
      </c>
    </row>
    <row r="314" spans="1:4" x14ac:dyDescent="0.3">
      <c r="A314" s="4" t="str">
        <f>TEXT(Append1[[#This Row],[dteday]],"MMMM")</f>
        <v>January</v>
      </c>
      <c r="B314" s="4">
        <v>2</v>
      </c>
      <c r="C314" s="4">
        <v>59</v>
      </c>
      <c r="D314" s="19">
        <v>61</v>
      </c>
    </row>
    <row r="315" spans="1:4" x14ac:dyDescent="0.3">
      <c r="A315" s="5" t="str">
        <f>TEXT(Append1[[#This Row],[dteday]],"MMMM")</f>
        <v>January</v>
      </c>
      <c r="B315" s="5">
        <v>4</v>
      </c>
      <c r="C315" s="5">
        <v>73</v>
      </c>
      <c r="D315" s="20">
        <v>77</v>
      </c>
    </row>
    <row r="316" spans="1:4" x14ac:dyDescent="0.3">
      <c r="A316" s="4" t="str">
        <f>TEXT(Append1[[#This Row],[dteday]],"MMMM")</f>
        <v>January</v>
      </c>
      <c r="B316" s="4">
        <v>5</v>
      </c>
      <c r="C316" s="4">
        <v>59</v>
      </c>
      <c r="D316" s="19">
        <v>64</v>
      </c>
    </row>
    <row r="317" spans="1:4" x14ac:dyDescent="0.3">
      <c r="A317" s="5" t="str">
        <f>TEXT(Append1[[#This Row],[dteday]],"MMMM")</f>
        <v>January</v>
      </c>
      <c r="B317" s="5">
        <v>9</v>
      </c>
      <c r="C317" s="5">
        <v>59</v>
      </c>
      <c r="D317" s="20">
        <v>68</v>
      </c>
    </row>
    <row r="318" spans="1:4" x14ac:dyDescent="0.3">
      <c r="A318" s="4" t="str">
        <f>TEXT(Append1[[#This Row],[dteday]],"MMMM")</f>
        <v>January</v>
      </c>
      <c r="B318" s="4">
        <v>3</v>
      </c>
      <c r="C318" s="4">
        <v>87</v>
      </c>
      <c r="D318" s="19">
        <v>90</v>
      </c>
    </row>
    <row r="319" spans="1:4" x14ac:dyDescent="0.3">
      <c r="A319" s="5" t="str">
        <f>TEXT(Append1[[#This Row],[dteday]],"MMMM")</f>
        <v>January</v>
      </c>
      <c r="B319" s="5">
        <v>4</v>
      </c>
      <c r="C319" s="5">
        <v>155</v>
      </c>
      <c r="D319" s="20">
        <v>159</v>
      </c>
    </row>
    <row r="320" spans="1:4" x14ac:dyDescent="0.3">
      <c r="A320" s="4" t="str">
        <f>TEXT(Append1[[#This Row],[dteday]],"MMMM")</f>
        <v>January</v>
      </c>
      <c r="B320" s="4">
        <v>5</v>
      </c>
      <c r="C320" s="4">
        <v>134</v>
      </c>
      <c r="D320" s="19">
        <v>139</v>
      </c>
    </row>
    <row r="321" spans="1:4" x14ac:dyDescent="0.3">
      <c r="A321" s="5" t="str">
        <f>TEXT(Append1[[#This Row],[dteday]],"MMMM")</f>
        <v>January</v>
      </c>
      <c r="B321" s="5">
        <v>3</v>
      </c>
      <c r="C321" s="5">
        <v>89</v>
      </c>
      <c r="D321" s="20">
        <v>92</v>
      </c>
    </row>
    <row r="322" spans="1:4" x14ac:dyDescent="0.3">
      <c r="A322" s="4" t="str">
        <f>TEXT(Append1[[#This Row],[dteday]],"MMMM")</f>
        <v>January</v>
      </c>
      <c r="B322" s="4">
        <v>0</v>
      </c>
      <c r="C322" s="4">
        <v>68</v>
      </c>
      <c r="D322" s="19">
        <v>68</v>
      </c>
    </row>
    <row r="323" spans="1:4" x14ac:dyDescent="0.3">
      <c r="A323" s="5" t="str">
        <f>TEXT(Append1[[#This Row],[dteday]],"MMMM")</f>
        <v>January</v>
      </c>
      <c r="B323" s="5">
        <v>4</v>
      </c>
      <c r="C323" s="5">
        <v>48</v>
      </c>
      <c r="D323" s="20">
        <v>52</v>
      </c>
    </row>
    <row r="324" spans="1:4" x14ac:dyDescent="0.3">
      <c r="A324" s="4" t="str">
        <f>TEXT(Append1[[#This Row],[dteday]],"MMMM")</f>
        <v>January</v>
      </c>
      <c r="B324" s="4">
        <v>2</v>
      </c>
      <c r="C324" s="4">
        <v>34</v>
      </c>
      <c r="D324" s="19">
        <v>36</v>
      </c>
    </row>
    <row r="325" spans="1:4" x14ac:dyDescent="0.3">
      <c r="A325" s="5" t="str">
        <f>TEXT(Append1[[#This Row],[dteday]],"MMMM")</f>
        <v>January</v>
      </c>
      <c r="B325" s="5">
        <v>1</v>
      </c>
      <c r="C325" s="5">
        <v>26</v>
      </c>
      <c r="D325" s="20">
        <v>27</v>
      </c>
    </row>
    <row r="326" spans="1:4" x14ac:dyDescent="0.3">
      <c r="A326" s="4" t="str">
        <f>TEXT(Append1[[#This Row],[dteday]],"MMMM")</f>
        <v>January</v>
      </c>
      <c r="B326" s="4">
        <v>3</v>
      </c>
      <c r="C326" s="4">
        <v>25</v>
      </c>
      <c r="D326" s="19">
        <v>28</v>
      </c>
    </row>
    <row r="327" spans="1:4" x14ac:dyDescent="0.3">
      <c r="A327" s="5" t="str">
        <f>TEXT(Append1[[#This Row],[dteday]],"MMMM")</f>
        <v>January</v>
      </c>
      <c r="B327" s="5">
        <v>2</v>
      </c>
      <c r="C327" s="5">
        <v>18</v>
      </c>
      <c r="D327" s="20">
        <v>20</v>
      </c>
    </row>
    <row r="328" spans="1:4" x14ac:dyDescent="0.3">
      <c r="A328" s="4" t="str">
        <f>TEXT(Append1[[#This Row],[dteday]],"MMMM")</f>
        <v>January</v>
      </c>
      <c r="B328" s="4">
        <v>0</v>
      </c>
      <c r="C328" s="4">
        <v>12</v>
      </c>
      <c r="D328" s="19">
        <v>12</v>
      </c>
    </row>
    <row r="329" spans="1:4" x14ac:dyDescent="0.3">
      <c r="A329" s="5" t="str">
        <f>TEXT(Append1[[#This Row],[dteday]],"MMMM")</f>
        <v>January</v>
      </c>
      <c r="B329" s="5">
        <v>1</v>
      </c>
      <c r="C329" s="5">
        <v>7</v>
      </c>
      <c r="D329" s="20">
        <v>8</v>
      </c>
    </row>
    <row r="330" spans="1:4" x14ac:dyDescent="0.3">
      <c r="A330" s="4" t="str">
        <f>TEXT(Append1[[#This Row],[dteday]],"MMMM")</f>
        <v>January</v>
      </c>
      <c r="B330" s="4">
        <v>0</v>
      </c>
      <c r="C330" s="4">
        <v>5</v>
      </c>
      <c r="D330" s="19">
        <v>5</v>
      </c>
    </row>
    <row r="331" spans="1:4" x14ac:dyDescent="0.3">
      <c r="A331" s="5" t="str">
        <f>TEXT(Append1[[#This Row],[dteday]],"MMMM")</f>
        <v>January</v>
      </c>
      <c r="B331" s="5">
        <v>0</v>
      </c>
      <c r="C331" s="5">
        <v>1</v>
      </c>
      <c r="D331" s="20">
        <v>1</v>
      </c>
    </row>
    <row r="332" spans="1:4" x14ac:dyDescent="0.3">
      <c r="A332" s="4" t="str">
        <f>TEXT(Append1[[#This Row],[dteday]],"MMMM")</f>
        <v>January</v>
      </c>
      <c r="B332" s="4">
        <v>1</v>
      </c>
      <c r="C332" s="4">
        <v>2</v>
      </c>
      <c r="D332" s="19">
        <v>3</v>
      </c>
    </row>
    <row r="333" spans="1:4" x14ac:dyDescent="0.3">
      <c r="A333" s="5" t="str">
        <f>TEXT(Append1[[#This Row],[dteday]],"MMMM")</f>
        <v>January</v>
      </c>
      <c r="B333" s="5">
        <v>1</v>
      </c>
      <c r="C333" s="5">
        <v>9</v>
      </c>
      <c r="D333" s="20">
        <v>10</v>
      </c>
    </row>
    <row r="334" spans="1:4" x14ac:dyDescent="0.3">
      <c r="A334" s="4" t="str">
        <f>TEXT(Append1[[#This Row],[dteday]],"MMMM")</f>
        <v>January</v>
      </c>
      <c r="B334" s="4">
        <v>1</v>
      </c>
      <c r="C334" s="4">
        <v>22</v>
      </c>
      <c r="D334" s="19">
        <v>23</v>
      </c>
    </row>
    <row r="335" spans="1:4" x14ac:dyDescent="0.3">
      <c r="A335" s="5" t="str">
        <f>TEXT(Append1[[#This Row],[dteday]],"MMMM")</f>
        <v>January</v>
      </c>
      <c r="B335" s="5">
        <v>2</v>
      </c>
      <c r="C335" s="5">
        <v>31</v>
      </c>
      <c r="D335" s="20">
        <v>33</v>
      </c>
    </row>
    <row r="336" spans="1:4" x14ac:dyDescent="0.3">
      <c r="A336" s="4" t="str">
        <f>TEXT(Append1[[#This Row],[dteday]],"MMMM")</f>
        <v>January</v>
      </c>
      <c r="B336" s="4">
        <v>2</v>
      </c>
      <c r="C336" s="4">
        <v>57</v>
      </c>
      <c r="D336" s="19">
        <v>59</v>
      </c>
    </row>
    <row r="337" spans="1:4" x14ac:dyDescent="0.3">
      <c r="A337" s="5" t="str">
        <f>TEXT(Append1[[#This Row],[dteday]],"MMMM")</f>
        <v>January</v>
      </c>
      <c r="B337" s="5">
        <v>18</v>
      </c>
      <c r="C337" s="5">
        <v>54</v>
      </c>
      <c r="D337" s="20">
        <v>72</v>
      </c>
    </row>
    <row r="338" spans="1:4" x14ac:dyDescent="0.3">
      <c r="A338" s="4" t="str">
        <f>TEXT(Append1[[#This Row],[dteday]],"MMMM")</f>
        <v>January</v>
      </c>
      <c r="B338" s="4">
        <v>15</v>
      </c>
      <c r="C338" s="4">
        <v>74</v>
      </c>
      <c r="D338" s="19">
        <v>89</v>
      </c>
    </row>
    <row r="339" spans="1:4" x14ac:dyDescent="0.3">
      <c r="A339" s="5" t="str">
        <f>TEXT(Append1[[#This Row],[dteday]],"MMMM")</f>
        <v>January</v>
      </c>
      <c r="B339" s="5">
        <v>21</v>
      </c>
      <c r="C339" s="5">
        <v>80</v>
      </c>
      <c r="D339" s="20">
        <v>101</v>
      </c>
    </row>
    <row r="340" spans="1:4" x14ac:dyDescent="0.3">
      <c r="A340" s="4" t="str">
        <f>TEXT(Append1[[#This Row],[dteday]],"MMMM")</f>
        <v>January</v>
      </c>
      <c r="B340" s="4">
        <v>26</v>
      </c>
      <c r="C340" s="4">
        <v>92</v>
      </c>
      <c r="D340" s="19">
        <v>118</v>
      </c>
    </row>
    <row r="341" spans="1:4" x14ac:dyDescent="0.3">
      <c r="A341" s="5" t="str">
        <f>TEXT(Append1[[#This Row],[dteday]],"MMMM")</f>
        <v>January</v>
      </c>
      <c r="B341" s="5">
        <v>21</v>
      </c>
      <c r="C341" s="5">
        <v>108</v>
      </c>
      <c r="D341" s="20">
        <v>129</v>
      </c>
    </row>
    <row r="342" spans="1:4" x14ac:dyDescent="0.3">
      <c r="A342" s="4" t="str">
        <f>TEXT(Append1[[#This Row],[dteday]],"MMMM")</f>
        <v>January</v>
      </c>
      <c r="B342" s="4">
        <v>33</v>
      </c>
      <c r="C342" s="4">
        <v>95</v>
      </c>
      <c r="D342" s="19">
        <v>128</v>
      </c>
    </row>
    <row r="343" spans="1:4" x14ac:dyDescent="0.3">
      <c r="A343" s="5" t="str">
        <f>TEXT(Append1[[#This Row],[dteday]],"MMMM")</f>
        <v>January</v>
      </c>
      <c r="B343" s="5">
        <v>29</v>
      </c>
      <c r="C343" s="5">
        <v>54</v>
      </c>
      <c r="D343" s="20">
        <v>83</v>
      </c>
    </row>
    <row r="344" spans="1:4" x14ac:dyDescent="0.3">
      <c r="A344" s="4" t="str">
        <f>TEXT(Append1[[#This Row],[dteday]],"MMMM")</f>
        <v>January</v>
      </c>
      <c r="B344" s="4">
        <v>15</v>
      </c>
      <c r="C344" s="4">
        <v>69</v>
      </c>
      <c r="D344" s="19">
        <v>84</v>
      </c>
    </row>
    <row r="345" spans="1:4" x14ac:dyDescent="0.3">
      <c r="A345" s="5" t="str">
        <f>TEXT(Append1[[#This Row],[dteday]],"MMMM")</f>
        <v>January</v>
      </c>
      <c r="B345" s="5">
        <v>14</v>
      </c>
      <c r="C345" s="5">
        <v>60</v>
      </c>
      <c r="D345" s="20">
        <v>74</v>
      </c>
    </row>
    <row r="346" spans="1:4" x14ac:dyDescent="0.3">
      <c r="A346" s="4" t="str">
        <f>TEXT(Append1[[#This Row],[dteday]],"MMMM")</f>
        <v>January</v>
      </c>
      <c r="B346" s="4">
        <v>6</v>
      </c>
      <c r="C346" s="4">
        <v>35</v>
      </c>
      <c r="D346" s="19">
        <v>41</v>
      </c>
    </row>
    <row r="347" spans="1:4" x14ac:dyDescent="0.3">
      <c r="A347" s="5" t="str">
        <f>TEXT(Append1[[#This Row],[dteday]],"MMMM")</f>
        <v>January</v>
      </c>
      <c r="B347" s="5">
        <v>6</v>
      </c>
      <c r="C347" s="5">
        <v>51</v>
      </c>
      <c r="D347" s="20">
        <v>57</v>
      </c>
    </row>
    <row r="348" spans="1:4" x14ac:dyDescent="0.3">
      <c r="A348" s="4" t="str">
        <f>TEXT(Append1[[#This Row],[dteday]],"MMMM")</f>
        <v>January</v>
      </c>
      <c r="B348" s="4">
        <v>0</v>
      </c>
      <c r="C348" s="4">
        <v>26</v>
      </c>
      <c r="D348" s="19">
        <v>26</v>
      </c>
    </row>
    <row r="349" spans="1:4" x14ac:dyDescent="0.3">
      <c r="A349" s="5" t="str">
        <f>TEXT(Append1[[#This Row],[dteday]],"MMMM")</f>
        <v>January</v>
      </c>
      <c r="B349" s="5">
        <v>5</v>
      </c>
      <c r="C349" s="5">
        <v>39</v>
      </c>
      <c r="D349" s="20">
        <v>44</v>
      </c>
    </row>
    <row r="350" spans="1:4" x14ac:dyDescent="0.3">
      <c r="A350" s="4" t="str">
        <f>TEXT(Append1[[#This Row],[dteday]],"MMMM")</f>
        <v>January</v>
      </c>
      <c r="B350" s="4">
        <v>6</v>
      </c>
      <c r="C350" s="4">
        <v>33</v>
      </c>
      <c r="D350" s="19">
        <v>39</v>
      </c>
    </row>
    <row r="351" spans="1:4" x14ac:dyDescent="0.3">
      <c r="A351" s="5" t="str">
        <f>TEXT(Append1[[#This Row],[dteday]],"MMMM")</f>
        <v>January</v>
      </c>
      <c r="B351" s="5">
        <v>4</v>
      </c>
      <c r="C351" s="5">
        <v>19</v>
      </c>
      <c r="D351" s="20">
        <v>23</v>
      </c>
    </row>
    <row r="352" spans="1:4" x14ac:dyDescent="0.3">
      <c r="A352" s="4" t="str">
        <f>TEXT(Append1[[#This Row],[dteday]],"MMMM")</f>
        <v>January</v>
      </c>
      <c r="B352" s="4">
        <v>3</v>
      </c>
      <c r="C352" s="4">
        <v>13</v>
      </c>
      <c r="D352" s="19">
        <v>16</v>
      </c>
    </row>
    <row r="353" spans="1:4" x14ac:dyDescent="0.3">
      <c r="A353" s="5" t="str">
        <f>TEXT(Append1[[#This Row],[dteday]],"MMMM")</f>
        <v>January</v>
      </c>
      <c r="B353" s="5">
        <v>9</v>
      </c>
      <c r="C353" s="5">
        <v>6</v>
      </c>
      <c r="D353" s="20">
        <v>15</v>
      </c>
    </row>
    <row r="354" spans="1:4" x14ac:dyDescent="0.3">
      <c r="A354" s="4" t="str">
        <f>TEXT(Append1[[#This Row],[dteday]],"MMMM")</f>
        <v>January</v>
      </c>
      <c r="B354" s="4">
        <v>0</v>
      </c>
      <c r="C354" s="4">
        <v>1</v>
      </c>
      <c r="D354" s="19">
        <v>1</v>
      </c>
    </row>
    <row r="355" spans="1:4" x14ac:dyDescent="0.3">
      <c r="A355" s="5" t="str">
        <f>TEXT(Append1[[#This Row],[dteday]],"MMMM")</f>
        <v>January</v>
      </c>
      <c r="B355" s="5">
        <v>1</v>
      </c>
      <c r="C355" s="5">
        <v>1</v>
      </c>
      <c r="D355" s="20">
        <v>2</v>
      </c>
    </row>
    <row r="356" spans="1:4" x14ac:dyDescent="0.3">
      <c r="A356" s="4" t="str">
        <f>TEXT(Append1[[#This Row],[dteday]],"MMMM")</f>
        <v>January</v>
      </c>
      <c r="B356" s="4">
        <v>0</v>
      </c>
      <c r="C356" s="4">
        <v>1</v>
      </c>
      <c r="D356" s="19">
        <v>1</v>
      </c>
    </row>
    <row r="357" spans="1:4" x14ac:dyDescent="0.3">
      <c r="A357" s="5" t="str">
        <f>TEXT(Append1[[#This Row],[dteday]],"MMMM")</f>
        <v>January</v>
      </c>
      <c r="B357" s="5">
        <v>0</v>
      </c>
      <c r="C357" s="5">
        <v>3</v>
      </c>
      <c r="D357" s="20">
        <v>3</v>
      </c>
    </row>
    <row r="358" spans="1:4" x14ac:dyDescent="0.3">
      <c r="A358" s="4" t="str">
        <f>TEXT(Append1[[#This Row],[dteday]],"MMMM")</f>
        <v>January</v>
      </c>
      <c r="B358" s="4">
        <v>0</v>
      </c>
      <c r="C358" s="4">
        <v>18</v>
      </c>
      <c r="D358" s="19">
        <v>18</v>
      </c>
    </row>
    <row r="359" spans="1:4" x14ac:dyDescent="0.3">
      <c r="A359" s="5" t="str">
        <f>TEXT(Append1[[#This Row],[dteday]],"MMMM")</f>
        <v>January</v>
      </c>
      <c r="B359" s="5">
        <v>3</v>
      </c>
      <c r="C359" s="5">
        <v>29</v>
      </c>
      <c r="D359" s="20">
        <v>32</v>
      </c>
    </row>
    <row r="360" spans="1:4" x14ac:dyDescent="0.3">
      <c r="A360" s="4" t="str">
        <f>TEXT(Append1[[#This Row],[dteday]],"MMMM")</f>
        <v>January</v>
      </c>
      <c r="B360" s="4">
        <v>8</v>
      </c>
      <c r="C360" s="4">
        <v>71</v>
      </c>
      <c r="D360" s="19">
        <v>79</v>
      </c>
    </row>
    <row r="361" spans="1:4" x14ac:dyDescent="0.3">
      <c r="A361" s="5" t="str">
        <f>TEXT(Append1[[#This Row],[dteday]],"MMMM")</f>
        <v>January</v>
      </c>
      <c r="B361" s="5">
        <v>23</v>
      </c>
      <c r="C361" s="5">
        <v>70</v>
      </c>
      <c r="D361" s="20">
        <v>93</v>
      </c>
    </row>
    <row r="362" spans="1:4" x14ac:dyDescent="0.3">
      <c r="A362" s="4" t="str">
        <f>TEXT(Append1[[#This Row],[dteday]],"MMMM")</f>
        <v>January</v>
      </c>
      <c r="B362" s="4">
        <v>29</v>
      </c>
      <c r="C362" s="4">
        <v>75</v>
      </c>
      <c r="D362" s="19">
        <v>104</v>
      </c>
    </row>
    <row r="363" spans="1:4" x14ac:dyDescent="0.3">
      <c r="A363" s="5" t="str">
        <f>TEXT(Append1[[#This Row],[dteday]],"MMMM")</f>
        <v>January</v>
      </c>
      <c r="B363" s="5">
        <v>23</v>
      </c>
      <c r="C363" s="5">
        <v>95</v>
      </c>
      <c r="D363" s="20">
        <v>118</v>
      </c>
    </row>
    <row r="364" spans="1:4" x14ac:dyDescent="0.3">
      <c r="A364" s="4" t="str">
        <f>TEXT(Append1[[#This Row],[dteday]],"MMMM")</f>
        <v>January</v>
      </c>
      <c r="B364" s="4">
        <v>22</v>
      </c>
      <c r="C364" s="4">
        <v>69</v>
      </c>
      <c r="D364" s="19">
        <v>91</v>
      </c>
    </row>
    <row r="365" spans="1:4" x14ac:dyDescent="0.3">
      <c r="A365" s="5" t="str">
        <f>TEXT(Append1[[#This Row],[dteday]],"MMMM")</f>
        <v>January</v>
      </c>
      <c r="B365" s="5">
        <v>35</v>
      </c>
      <c r="C365" s="5">
        <v>78</v>
      </c>
      <c r="D365" s="20">
        <v>113</v>
      </c>
    </row>
    <row r="366" spans="1:4" x14ac:dyDescent="0.3">
      <c r="A366" s="4" t="str">
        <f>TEXT(Append1[[#This Row],[dteday]],"MMMM")</f>
        <v>January</v>
      </c>
      <c r="B366" s="4">
        <v>22</v>
      </c>
      <c r="C366" s="4">
        <v>77</v>
      </c>
      <c r="D366" s="19">
        <v>99</v>
      </c>
    </row>
    <row r="367" spans="1:4" x14ac:dyDescent="0.3">
      <c r="A367" s="5" t="str">
        <f>TEXT(Append1[[#This Row],[dteday]],"MMMM")</f>
        <v>January</v>
      </c>
      <c r="B367" s="5">
        <v>23</v>
      </c>
      <c r="C367" s="5">
        <v>82</v>
      </c>
      <c r="D367" s="20">
        <v>105</v>
      </c>
    </row>
    <row r="368" spans="1:4" x14ac:dyDescent="0.3">
      <c r="A368" s="4" t="str">
        <f>TEXT(Append1[[#This Row],[dteday]],"MMMM")</f>
        <v>January</v>
      </c>
      <c r="B368" s="4">
        <v>11</v>
      </c>
      <c r="C368" s="4">
        <v>56</v>
      </c>
      <c r="D368" s="19">
        <v>67</v>
      </c>
    </row>
    <row r="369" spans="1:4" x14ac:dyDescent="0.3">
      <c r="A369" s="5" t="str">
        <f>TEXT(Append1[[#This Row],[dteday]],"MMMM")</f>
        <v>January</v>
      </c>
      <c r="B369" s="5">
        <v>14</v>
      </c>
      <c r="C369" s="5">
        <v>47</v>
      </c>
      <c r="D369" s="20">
        <v>61</v>
      </c>
    </row>
    <row r="370" spans="1:4" x14ac:dyDescent="0.3">
      <c r="A370" s="4" t="str">
        <f>TEXT(Append1[[#This Row],[dteday]],"MMMM")</f>
        <v>January</v>
      </c>
      <c r="B370" s="4">
        <v>7</v>
      </c>
      <c r="C370" s="4">
        <v>50</v>
      </c>
      <c r="D370" s="19">
        <v>57</v>
      </c>
    </row>
    <row r="371" spans="1:4" x14ac:dyDescent="0.3">
      <c r="A371" s="5" t="str">
        <f>TEXT(Append1[[#This Row],[dteday]],"MMMM")</f>
        <v>January</v>
      </c>
      <c r="B371" s="5">
        <v>6</v>
      </c>
      <c r="C371" s="5">
        <v>22</v>
      </c>
      <c r="D371" s="20">
        <v>28</v>
      </c>
    </row>
    <row r="372" spans="1:4" x14ac:dyDescent="0.3">
      <c r="A372" s="4" t="str">
        <f>TEXT(Append1[[#This Row],[dteday]],"MMMM")</f>
        <v>January</v>
      </c>
      <c r="B372" s="4">
        <v>2</v>
      </c>
      <c r="C372" s="4">
        <v>19</v>
      </c>
      <c r="D372" s="19">
        <v>21</v>
      </c>
    </row>
    <row r="373" spans="1:4" x14ac:dyDescent="0.3">
      <c r="A373" s="5" t="str">
        <f>TEXT(Append1[[#This Row],[dteday]],"MMMM")</f>
        <v>January</v>
      </c>
      <c r="B373" s="5">
        <v>0</v>
      </c>
      <c r="C373" s="5">
        <v>18</v>
      </c>
      <c r="D373" s="20">
        <v>18</v>
      </c>
    </row>
    <row r="374" spans="1:4" x14ac:dyDescent="0.3">
      <c r="A374" s="4" t="str">
        <f>TEXT(Append1[[#This Row],[dteday]],"MMMM")</f>
        <v>January</v>
      </c>
      <c r="B374" s="4">
        <v>1</v>
      </c>
      <c r="C374" s="4">
        <v>16</v>
      </c>
      <c r="D374" s="19">
        <v>17</v>
      </c>
    </row>
    <row r="375" spans="1:4" x14ac:dyDescent="0.3">
      <c r="A375" s="5" t="str">
        <f>TEXT(Append1[[#This Row],[dteday]],"MMMM")</f>
        <v>January</v>
      </c>
      <c r="B375" s="5">
        <v>1</v>
      </c>
      <c r="C375" s="5">
        <v>15</v>
      </c>
      <c r="D375" s="20">
        <v>16</v>
      </c>
    </row>
    <row r="376" spans="1:4" x14ac:dyDescent="0.3">
      <c r="A376" s="4" t="str">
        <f>TEXT(Append1[[#This Row],[dteday]],"MMMM")</f>
        <v>January</v>
      </c>
      <c r="B376" s="4">
        <v>0</v>
      </c>
      <c r="C376" s="4">
        <v>8</v>
      </c>
      <c r="D376" s="19">
        <v>8</v>
      </c>
    </row>
    <row r="377" spans="1:4" x14ac:dyDescent="0.3">
      <c r="A377" s="5" t="str">
        <f>TEXT(Append1[[#This Row],[dteday]],"MMMM")</f>
        <v>January</v>
      </c>
      <c r="B377" s="5">
        <v>0</v>
      </c>
      <c r="C377" s="5">
        <v>2</v>
      </c>
      <c r="D377" s="20">
        <v>2</v>
      </c>
    </row>
    <row r="378" spans="1:4" x14ac:dyDescent="0.3">
      <c r="A378" s="4" t="str">
        <f>TEXT(Append1[[#This Row],[dteday]],"MMMM")</f>
        <v>January</v>
      </c>
      <c r="B378" s="4">
        <v>1</v>
      </c>
      <c r="C378" s="4">
        <v>2</v>
      </c>
      <c r="D378" s="19">
        <v>3</v>
      </c>
    </row>
    <row r="379" spans="1:4" x14ac:dyDescent="0.3">
      <c r="A379" s="5" t="str">
        <f>TEXT(Append1[[#This Row],[dteday]],"MMMM")</f>
        <v>January</v>
      </c>
      <c r="B379" s="5">
        <v>0</v>
      </c>
      <c r="C379" s="5">
        <v>1</v>
      </c>
      <c r="D379" s="20">
        <v>1</v>
      </c>
    </row>
    <row r="380" spans="1:4" x14ac:dyDescent="0.3">
      <c r="A380" s="4" t="str">
        <f>TEXT(Append1[[#This Row],[dteday]],"MMMM")</f>
        <v>January</v>
      </c>
      <c r="B380" s="4">
        <v>0</v>
      </c>
      <c r="C380" s="4">
        <v>5</v>
      </c>
      <c r="D380" s="19">
        <v>5</v>
      </c>
    </row>
    <row r="381" spans="1:4" x14ac:dyDescent="0.3">
      <c r="A381" s="5" t="str">
        <f>TEXT(Append1[[#This Row],[dteday]],"MMMM")</f>
        <v>January</v>
      </c>
      <c r="B381" s="5">
        <v>4</v>
      </c>
      <c r="C381" s="5">
        <v>9</v>
      </c>
      <c r="D381" s="20">
        <v>13</v>
      </c>
    </row>
    <row r="382" spans="1:4" x14ac:dyDescent="0.3">
      <c r="A382" s="4" t="str">
        <f>TEXT(Append1[[#This Row],[dteday]],"MMMM")</f>
        <v>January</v>
      </c>
      <c r="B382" s="4">
        <v>3</v>
      </c>
      <c r="C382" s="4">
        <v>30</v>
      </c>
      <c r="D382" s="19">
        <v>33</v>
      </c>
    </row>
    <row r="383" spans="1:4" x14ac:dyDescent="0.3">
      <c r="A383" s="5" t="str">
        <f>TEXT(Append1[[#This Row],[dteday]],"MMMM")</f>
        <v>January</v>
      </c>
      <c r="B383" s="5">
        <v>8</v>
      </c>
      <c r="C383" s="5">
        <v>39</v>
      </c>
      <c r="D383" s="20">
        <v>47</v>
      </c>
    </row>
    <row r="384" spans="1:4" x14ac:dyDescent="0.3">
      <c r="A384" s="4" t="str">
        <f>TEXT(Append1[[#This Row],[dteday]],"MMMM")</f>
        <v>January</v>
      </c>
      <c r="B384" s="4">
        <v>7</v>
      </c>
      <c r="C384" s="4">
        <v>50</v>
      </c>
      <c r="D384" s="19">
        <v>57</v>
      </c>
    </row>
    <row r="385" spans="1:4" x14ac:dyDescent="0.3">
      <c r="A385" s="5" t="str">
        <f>TEXT(Append1[[#This Row],[dteday]],"MMMM")</f>
        <v>January</v>
      </c>
      <c r="B385" s="5">
        <v>9</v>
      </c>
      <c r="C385" s="5">
        <v>55</v>
      </c>
      <c r="D385" s="20">
        <v>64</v>
      </c>
    </row>
    <row r="386" spans="1:4" x14ac:dyDescent="0.3">
      <c r="A386" s="4" t="str">
        <f>TEXT(Append1[[#This Row],[dteday]],"MMMM")</f>
        <v>January</v>
      </c>
      <c r="B386" s="4">
        <v>10</v>
      </c>
      <c r="C386" s="4">
        <v>70</v>
      </c>
      <c r="D386" s="19">
        <v>80</v>
      </c>
    </row>
    <row r="387" spans="1:4" x14ac:dyDescent="0.3">
      <c r="A387" s="5" t="str">
        <f>TEXT(Append1[[#This Row],[dteday]],"MMMM")</f>
        <v>January</v>
      </c>
      <c r="B387" s="5">
        <v>13</v>
      </c>
      <c r="C387" s="5">
        <v>80</v>
      </c>
      <c r="D387" s="20">
        <v>93</v>
      </c>
    </row>
    <row r="388" spans="1:4" x14ac:dyDescent="0.3">
      <c r="A388" s="4" t="str">
        <f>TEXT(Append1[[#This Row],[dteday]],"MMMM")</f>
        <v>January</v>
      </c>
      <c r="B388" s="4">
        <v>12</v>
      </c>
      <c r="C388" s="4">
        <v>74</v>
      </c>
      <c r="D388" s="19">
        <v>86</v>
      </c>
    </row>
    <row r="389" spans="1:4" x14ac:dyDescent="0.3">
      <c r="A389" s="5" t="str">
        <f>TEXT(Append1[[#This Row],[dteday]],"MMMM")</f>
        <v>January</v>
      </c>
      <c r="B389" s="5">
        <v>21</v>
      </c>
      <c r="C389" s="5">
        <v>72</v>
      </c>
      <c r="D389" s="20">
        <v>93</v>
      </c>
    </row>
    <row r="390" spans="1:4" x14ac:dyDescent="0.3">
      <c r="A390" s="4" t="str">
        <f>TEXT(Append1[[#This Row],[dteday]],"MMMM")</f>
        <v>January</v>
      </c>
      <c r="B390" s="4">
        <v>6</v>
      </c>
      <c r="C390" s="4">
        <v>76</v>
      </c>
      <c r="D390" s="19">
        <v>82</v>
      </c>
    </row>
    <row r="391" spans="1:4" x14ac:dyDescent="0.3">
      <c r="A391" s="5" t="str">
        <f>TEXT(Append1[[#This Row],[dteday]],"MMMM")</f>
        <v>January</v>
      </c>
      <c r="B391" s="5">
        <v>4</v>
      </c>
      <c r="C391" s="5">
        <v>67</v>
      </c>
      <c r="D391" s="20">
        <v>71</v>
      </c>
    </row>
    <row r="392" spans="1:4" x14ac:dyDescent="0.3">
      <c r="A392" s="4" t="str">
        <f>TEXT(Append1[[#This Row],[dteday]],"MMMM")</f>
        <v>January</v>
      </c>
      <c r="B392" s="4">
        <v>7</v>
      </c>
      <c r="C392" s="4">
        <v>85</v>
      </c>
      <c r="D392" s="19">
        <v>92</v>
      </c>
    </row>
    <row r="393" spans="1:4" x14ac:dyDescent="0.3">
      <c r="A393" s="5" t="str">
        <f>TEXT(Append1[[#This Row],[dteday]],"MMMM")</f>
        <v>January</v>
      </c>
      <c r="B393" s="5">
        <v>2</v>
      </c>
      <c r="C393" s="5">
        <v>58</v>
      </c>
      <c r="D393" s="20">
        <v>60</v>
      </c>
    </row>
    <row r="394" spans="1:4" x14ac:dyDescent="0.3">
      <c r="A394" s="4" t="str">
        <f>TEXT(Append1[[#This Row],[dteday]],"MMMM")</f>
        <v>January</v>
      </c>
      <c r="B394" s="4">
        <v>4</v>
      </c>
      <c r="C394" s="4">
        <v>29</v>
      </c>
      <c r="D394" s="19">
        <v>33</v>
      </c>
    </row>
    <row r="395" spans="1:4" x14ac:dyDescent="0.3">
      <c r="A395" s="5" t="str">
        <f>TEXT(Append1[[#This Row],[dteday]],"MMMM")</f>
        <v>January</v>
      </c>
      <c r="B395" s="5">
        <v>3</v>
      </c>
      <c r="C395" s="5">
        <v>24</v>
      </c>
      <c r="D395" s="20">
        <v>27</v>
      </c>
    </row>
    <row r="396" spans="1:4" x14ac:dyDescent="0.3">
      <c r="A396" s="4" t="str">
        <f>TEXT(Append1[[#This Row],[dteday]],"MMMM")</f>
        <v>January</v>
      </c>
      <c r="B396" s="4">
        <v>0</v>
      </c>
      <c r="C396" s="4">
        <v>13</v>
      </c>
      <c r="D396" s="19">
        <v>13</v>
      </c>
    </row>
    <row r="397" spans="1:4" x14ac:dyDescent="0.3">
      <c r="A397" s="5" t="str">
        <f>TEXT(Append1[[#This Row],[dteday]],"MMMM")</f>
        <v>January</v>
      </c>
      <c r="B397" s="5">
        <v>1</v>
      </c>
      <c r="C397" s="5">
        <v>3</v>
      </c>
      <c r="D397" s="20">
        <v>4</v>
      </c>
    </row>
    <row r="398" spans="1:4" x14ac:dyDescent="0.3">
      <c r="A398" s="4" t="str">
        <f>TEXT(Append1[[#This Row],[dteday]],"MMMM")</f>
        <v>January</v>
      </c>
      <c r="B398" s="4">
        <v>0</v>
      </c>
      <c r="C398" s="4">
        <v>3</v>
      </c>
      <c r="D398" s="19">
        <v>3</v>
      </c>
    </row>
    <row r="399" spans="1:4" x14ac:dyDescent="0.3">
      <c r="A399" s="5" t="str">
        <f>TEXT(Append1[[#This Row],[dteday]],"MMMM")</f>
        <v>January</v>
      </c>
      <c r="B399" s="5">
        <v>0</v>
      </c>
      <c r="C399" s="5">
        <v>22</v>
      </c>
      <c r="D399" s="20">
        <v>22</v>
      </c>
    </row>
    <row r="400" spans="1:4" x14ac:dyDescent="0.3">
      <c r="A400" s="4" t="str">
        <f>TEXT(Append1[[#This Row],[dteday]],"MMMM")</f>
        <v>January</v>
      </c>
      <c r="B400" s="4">
        <v>2</v>
      </c>
      <c r="C400" s="4">
        <v>26</v>
      </c>
      <c r="D400" s="19">
        <v>28</v>
      </c>
    </row>
    <row r="401" spans="1:4" x14ac:dyDescent="0.3">
      <c r="A401" s="5" t="str">
        <f>TEXT(Append1[[#This Row],[dteday]],"MMMM")</f>
        <v>January</v>
      </c>
      <c r="B401" s="5">
        <v>3</v>
      </c>
      <c r="C401" s="5">
        <v>32</v>
      </c>
      <c r="D401" s="20">
        <v>35</v>
      </c>
    </row>
    <row r="402" spans="1:4" x14ac:dyDescent="0.3">
      <c r="A402" s="4" t="str">
        <f>TEXT(Append1[[#This Row],[dteday]],"MMMM")</f>
        <v>January</v>
      </c>
      <c r="B402" s="4">
        <v>0</v>
      </c>
      <c r="C402" s="4">
        <v>61</v>
      </c>
      <c r="D402" s="19">
        <v>61</v>
      </c>
    </row>
    <row r="403" spans="1:4" x14ac:dyDescent="0.3">
      <c r="A403" s="5" t="str">
        <f>TEXT(Append1[[#This Row],[dteday]],"MMMM")</f>
        <v>January</v>
      </c>
      <c r="B403" s="5">
        <v>1</v>
      </c>
      <c r="C403" s="5">
        <v>124</v>
      </c>
      <c r="D403" s="20">
        <v>125</v>
      </c>
    </row>
    <row r="404" spans="1:4" x14ac:dyDescent="0.3">
      <c r="A404" s="4" t="str">
        <f>TEXT(Append1[[#This Row],[dteday]],"MMMM")</f>
        <v>January</v>
      </c>
      <c r="B404" s="4">
        <v>1</v>
      </c>
      <c r="C404" s="4">
        <v>132</v>
      </c>
      <c r="D404" s="19">
        <v>133</v>
      </c>
    </row>
    <row r="405" spans="1:4" x14ac:dyDescent="0.3">
      <c r="A405" s="5" t="str">
        <f>TEXT(Append1[[#This Row],[dteday]],"MMMM")</f>
        <v>January</v>
      </c>
      <c r="B405" s="5">
        <v>1</v>
      </c>
      <c r="C405" s="5">
        <v>98</v>
      </c>
      <c r="D405" s="20">
        <v>99</v>
      </c>
    </row>
    <row r="406" spans="1:4" x14ac:dyDescent="0.3">
      <c r="A406" s="4" t="str">
        <f>TEXT(Append1[[#This Row],[dteday]],"MMMM")</f>
        <v>January</v>
      </c>
      <c r="B406" s="4">
        <v>0</v>
      </c>
      <c r="C406" s="4">
        <v>83</v>
      </c>
      <c r="D406" s="19">
        <v>83</v>
      </c>
    </row>
    <row r="407" spans="1:4" x14ac:dyDescent="0.3">
      <c r="A407" s="5" t="str">
        <f>TEXT(Append1[[#This Row],[dteday]],"MMMM")</f>
        <v>January</v>
      </c>
      <c r="B407" s="5">
        <v>0</v>
      </c>
      <c r="C407" s="5">
        <v>41</v>
      </c>
      <c r="D407" s="20">
        <v>41</v>
      </c>
    </row>
    <row r="408" spans="1:4" x14ac:dyDescent="0.3">
      <c r="A408" s="4" t="str">
        <f>TEXT(Append1[[#This Row],[dteday]],"MMMM")</f>
        <v>January</v>
      </c>
      <c r="B408" s="4">
        <v>0</v>
      </c>
      <c r="C408" s="4">
        <v>33</v>
      </c>
      <c r="D408" s="19">
        <v>33</v>
      </c>
    </row>
    <row r="409" spans="1:4" x14ac:dyDescent="0.3">
      <c r="A409" s="5" t="str">
        <f>TEXT(Append1[[#This Row],[dteday]],"MMMM")</f>
        <v>January</v>
      </c>
      <c r="B409" s="5">
        <v>1</v>
      </c>
      <c r="C409" s="5">
        <v>19</v>
      </c>
      <c r="D409" s="20">
        <v>20</v>
      </c>
    </row>
    <row r="410" spans="1:4" x14ac:dyDescent="0.3">
      <c r="A410" s="4" t="str">
        <f>TEXT(Append1[[#This Row],[dteday]],"MMMM")</f>
        <v>January</v>
      </c>
      <c r="B410" s="4">
        <v>0</v>
      </c>
      <c r="C410" s="4">
        <v>3</v>
      </c>
      <c r="D410" s="19">
        <v>3</v>
      </c>
    </row>
    <row r="411" spans="1:4" x14ac:dyDescent="0.3">
      <c r="A411" s="5" t="str">
        <f>TEXT(Append1[[#This Row],[dteday]],"MMMM")</f>
        <v>January</v>
      </c>
      <c r="B411" s="5">
        <v>1</v>
      </c>
      <c r="C411" s="5">
        <v>6</v>
      </c>
      <c r="D411" s="20">
        <v>7</v>
      </c>
    </row>
    <row r="412" spans="1:4" x14ac:dyDescent="0.3">
      <c r="A412" s="4" t="str">
        <f>TEXT(Append1[[#This Row],[dteday]],"MMMM")</f>
        <v>January</v>
      </c>
      <c r="B412" s="4">
        <v>0</v>
      </c>
      <c r="C412" s="4">
        <v>3</v>
      </c>
      <c r="D412" s="19">
        <v>3</v>
      </c>
    </row>
    <row r="413" spans="1:4" x14ac:dyDescent="0.3">
      <c r="A413" s="5" t="str">
        <f>TEXT(Append1[[#This Row],[dteday]],"MMMM")</f>
        <v>January</v>
      </c>
      <c r="B413" s="5">
        <v>1</v>
      </c>
      <c r="C413" s="5">
        <v>1</v>
      </c>
      <c r="D413" s="20">
        <v>2</v>
      </c>
    </row>
    <row r="414" spans="1:4" x14ac:dyDescent="0.3">
      <c r="A414" s="4" t="str">
        <f>TEXT(Append1[[#This Row],[dteday]],"MMMM")</f>
        <v>January</v>
      </c>
      <c r="B414" s="4">
        <v>0</v>
      </c>
      <c r="C414" s="4">
        <v>7</v>
      </c>
      <c r="D414" s="19">
        <v>7</v>
      </c>
    </row>
    <row r="415" spans="1:4" x14ac:dyDescent="0.3">
      <c r="A415" s="5" t="str">
        <f>TEXT(Append1[[#This Row],[dteday]],"MMMM")</f>
        <v>January</v>
      </c>
      <c r="B415" s="5">
        <v>0</v>
      </c>
      <c r="C415" s="5">
        <v>32</v>
      </c>
      <c r="D415" s="20">
        <v>32</v>
      </c>
    </row>
    <row r="416" spans="1:4" x14ac:dyDescent="0.3">
      <c r="A416" s="4" t="str">
        <f>TEXT(Append1[[#This Row],[dteday]],"MMMM")</f>
        <v>January</v>
      </c>
      <c r="B416" s="4">
        <v>1</v>
      </c>
      <c r="C416" s="4">
        <v>89</v>
      </c>
      <c r="D416" s="19">
        <v>90</v>
      </c>
    </row>
    <row r="417" spans="1:4" x14ac:dyDescent="0.3">
      <c r="A417" s="5" t="str">
        <f>TEXT(Append1[[#This Row],[dteday]],"MMMM")</f>
        <v>January</v>
      </c>
      <c r="B417" s="5">
        <v>1</v>
      </c>
      <c r="C417" s="5">
        <v>196</v>
      </c>
      <c r="D417" s="20">
        <v>197</v>
      </c>
    </row>
    <row r="418" spans="1:4" x14ac:dyDescent="0.3">
      <c r="A418" s="4" t="str">
        <f>TEXT(Append1[[#This Row],[dteday]],"MMMM")</f>
        <v>January</v>
      </c>
      <c r="B418" s="4">
        <v>2</v>
      </c>
      <c r="C418" s="4">
        <v>107</v>
      </c>
      <c r="D418" s="19">
        <v>109</v>
      </c>
    </row>
    <row r="419" spans="1:4" x14ac:dyDescent="0.3">
      <c r="A419" s="5" t="str">
        <f>TEXT(Append1[[#This Row],[dteday]],"MMMM")</f>
        <v>January</v>
      </c>
      <c r="B419" s="5">
        <v>1</v>
      </c>
      <c r="C419" s="5">
        <v>46</v>
      </c>
      <c r="D419" s="20">
        <v>47</v>
      </c>
    </row>
    <row r="420" spans="1:4" x14ac:dyDescent="0.3">
      <c r="A420" s="4" t="str">
        <f>TEXT(Append1[[#This Row],[dteday]],"MMMM")</f>
        <v>January</v>
      </c>
      <c r="B420" s="4">
        <v>5</v>
      </c>
      <c r="C420" s="4">
        <v>47</v>
      </c>
      <c r="D420" s="19">
        <v>52</v>
      </c>
    </row>
    <row r="421" spans="1:4" x14ac:dyDescent="0.3">
      <c r="A421" s="5" t="str">
        <f>TEXT(Append1[[#This Row],[dteday]],"MMMM")</f>
        <v>January</v>
      </c>
      <c r="B421" s="5">
        <v>5</v>
      </c>
      <c r="C421" s="5">
        <v>65</v>
      </c>
      <c r="D421" s="20">
        <v>70</v>
      </c>
    </row>
    <row r="422" spans="1:4" x14ac:dyDescent="0.3">
      <c r="A422" s="4" t="str">
        <f>TEXT(Append1[[#This Row],[dteday]],"MMMM")</f>
        <v>January</v>
      </c>
      <c r="B422" s="4">
        <v>11</v>
      </c>
      <c r="C422" s="4">
        <v>67</v>
      </c>
      <c r="D422" s="19">
        <v>78</v>
      </c>
    </row>
    <row r="423" spans="1:4" x14ac:dyDescent="0.3">
      <c r="A423" s="5" t="str">
        <f>TEXT(Append1[[#This Row],[dteday]],"MMMM")</f>
        <v>January</v>
      </c>
      <c r="B423" s="5">
        <v>7</v>
      </c>
      <c r="C423" s="5">
        <v>68</v>
      </c>
      <c r="D423" s="20">
        <v>75</v>
      </c>
    </row>
    <row r="424" spans="1:4" x14ac:dyDescent="0.3">
      <c r="A424" s="4" t="str">
        <f>TEXT(Append1[[#This Row],[dteday]],"MMMM")</f>
        <v>January</v>
      </c>
      <c r="B424" s="4">
        <v>4</v>
      </c>
      <c r="C424" s="4">
        <v>78</v>
      </c>
      <c r="D424" s="19">
        <v>82</v>
      </c>
    </row>
    <row r="425" spans="1:4" x14ac:dyDescent="0.3">
      <c r="A425" s="5" t="str">
        <f>TEXT(Append1[[#This Row],[dteday]],"MMMM")</f>
        <v>January</v>
      </c>
      <c r="B425" s="5">
        <v>10</v>
      </c>
      <c r="C425" s="5">
        <v>94</v>
      </c>
      <c r="D425" s="20">
        <v>104</v>
      </c>
    </row>
    <row r="426" spans="1:4" x14ac:dyDescent="0.3">
      <c r="A426" s="4" t="str">
        <f>TEXT(Append1[[#This Row],[dteday]],"MMMM")</f>
        <v>January</v>
      </c>
      <c r="B426" s="4">
        <v>7</v>
      </c>
      <c r="C426" s="4">
        <v>190</v>
      </c>
      <c r="D426" s="19">
        <v>197</v>
      </c>
    </row>
    <row r="427" spans="1:4" x14ac:dyDescent="0.3">
      <c r="A427" s="5" t="str">
        <f>TEXT(Append1[[#This Row],[dteday]],"MMMM")</f>
        <v>January</v>
      </c>
      <c r="B427" s="5">
        <v>5</v>
      </c>
      <c r="C427" s="5">
        <v>156</v>
      </c>
      <c r="D427" s="20">
        <v>161</v>
      </c>
    </row>
    <row r="428" spans="1:4" x14ac:dyDescent="0.3">
      <c r="A428" s="4" t="str">
        <f>TEXT(Append1[[#This Row],[dteday]],"MMMM")</f>
        <v>January</v>
      </c>
      <c r="B428" s="4">
        <v>4</v>
      </c>
      <c r="C428" s="4">
        <v>108</v>
      </c>
      <c r="D428" s="19">
        <v>112</v>
      </c>
    </row>
    <row r="429" spans="1:4" x14ac:dyDescent="0.3">
      <c r="A429" s="5" t="str">
        <f>TEXT(Append1[[#This Row],[dteday]],"MMMM")</f>
        <v>January</v>
      </c>
      <c r="B429" s="5">
        <v>2</v>
      </c>
      <c r="C429" s="5">
        <v>74</v>
      </c>
      <c r="D429" s="20">
        <v>76</v>
      </c>
    </row>
    <row r="430" spans="1:4" x14ac:dyDescent="0.3">
      <c r="A430" s="4" t="str">
        <f>TEXT(Append1[[#This Row],[dteday]],"MMMM")</f>
        <v>January</v>
      </c>
      <c r="B430" s="4">
        <v>4</v>
      </c>
      <c r="C430" s="4">
        <v>55</v>
      </c>
      <c r="D430" s="19">
        <v>59</v>
      </c>
    </row>
    <row r="431" spans="1:4" x14ac:dyDescent="0.3">
      <c r="A431" s="5" t="str">
        <f>TEXT(Append1[[#This Row],[dteday]],"MMMM")</f>
        <v>January</v>
      </c>
      <c r="B431" s="5">
        <v>6</v>
      </c>
      <c r="C431" s="5">
        <v>53</v>
      </c>
      <c r="D431" s="20">
        <v>59</v>
      </c>
    </row>
    <row r="432" spans="1:4" x14ac:dyDescent="0.3">
      <c r="A432" s="4" t="str">
        <f>TEXT(Append1[[#This Row],[dteday]],"MMMM")</f>
        <v>January</v>
      </c>
      <c r="B432" s="4">
        <v>1</v>
      </c>
      <c r="C432" s="4">
        <v>27</v>
      </c>
      <c r="D432" s="19">
        <v>28</v>
      </c>
    </row>
    <row r="433" spans="1:4" x14ac:dyDescent="0.3">
      <c r="A433" s="5" t="str">
        <f>TEXT(Append1[[#This Row],[dteday]],"MMMM")</f>
        <v>January</v>
      </c>
      <c r="B433" s="5">
        <v>5</v>
      </c>
      <c r="C433" s="5">
        <v>8</v>
      </c>
      <c r="D433" s="20">
        <v>13</v>
      </c>
    </row>
    <row r="434" spans="1:4" x14ac:dyDescent="0.3">
      <c r="A434" s="4" t="str">
        <f>TEXT(Append1[[#This Row],[dteday]],"MMMM")</f>
        <v>January</v>
      </c>
      <c r="B434" s="4">
        <v>2</v>
      </c>
      <c r="C434" s="4">
        <v>3</v>
      </c>
      <c r="D434" s="19">
        <v>5</v>
      </c>
    </row>
    <row r="435" spans="1:4" x14ac:dyDescent="0.3">
      <c r="A435" s="5" t="str">
        <f>TEXT(Append1[[#This Row],[dteday]],"MMMM")</f>
        <v>January</v>
      </c>
      <c r="B435" s="5">
        <v>0</v>
      </c>
      <c r="C435" s="5">
        <v>2</v>
      </c>
      <c r="D435" s="20">
        <v>2</v>
      </c>
    </row>
    <row r="436" spans="1:4" x14ac:dyDescent="0.3">
      <c r="A436" s="4" t="str">
        <f>TEXT(Append1[[#This Row],[dteday]],"MMMM")</f>
        <v>January</v>
      </c>
      <c r="B436" s="4">
        <v>0</v>
      </c>
      <c r="C436" s="4">
        <v>1</v>
      </c>
      <c r="D436" s="19">
        <v>1</v>
      </c>
    </row>
    <row r="437" spans="1:4" x14ac:dyDescent="0.3">
      <c r="A437" s="5" t="str">
        <f>TEXT(Append1[[#This Row],[dteday]],"MMMM")</f>
        <v>January</v>
      </c>
      <c r="B437" s="5">
        <v>0</v>
      </c>
      <c r="C437" s="5">
        <v>1</v>
      </c>
      <c r="D437" s="20">
        <v>1</v>
      </c>
    </row>
    <row r="438" spans="1:4" x14ac:dyDescent="0.3">
      <c r="A438" s="4" t="str">
        <f>TEXT(Append1[[#This Row],[dteday]],"MMMM")</f>
        <v>January</v>
      </c>
      <c r="B438" s="4">
        <v>0</v>
      </c>
      <c r="C438" s="4">
        <v>6</v>
      </c>
      <c r="D438" s="19">
        <v>6</v>
      </c>
    </row>
    <row r="439" spans="1:4" x14ac:dyDescent="0.3">
      <c r="A439" s="5" t="str">
        <f>TEXT(Append1[[#This Row],[dteday]],"MMMM")</f>
        <v>January</v>
      </c>
      <c r="B439" s="5">
        <v>0</v>
      </c>
      <c r="C439" s="5">
        <v>35</v>
      </c>
      <c r="D439" s="20">
        <v>35</v>
      </c>
    </row>
    <row r="440" spans="1:4" x14ac:dyDescent="0.3">
      <c r="A440" s="4" t="str">
        <f>TEXT(Append1[[#This Row],[dteday]],"MMMM")</f>
        <v>January</v>
      </c>
      <c r="B440" s="4">
        <v>1</v>
      </c>
      <c r="C440" s="4">
        <v>100</v>
      </c>
      <c r="D440" s="19">
        <v>101</v>
      </c>
    </row>
    <row r="441" spans="1:4" x14ac:dyDescent="0.3">
      <c r="A441" s="5" t="str">
        <f>TEXT(Append1[[#This Row],[dteday]],"MMMM")</f>
        <v>January</v>
      </c>
      <c r="B441" s="5">
        <v>2</v>
      </c>
      <c r="C441" s="5">
        <v>247</v>
      </c>
      <c r="D441" s="20">
        <v>249</v>
      </c>
    </row>
    <row r="442" spans="1:4" x14ac:dyDescent="0.3">
      <c r="A442" s="4" t="str">
        <f>TEXT(Append1[[#This Row],[dteday]],"MMMM")</f>
        <v>January</v>
      </c>
      <c r="B442" s="4">
        <v>3</v>
      </c>
      <c r="C442" s="4">
        <v>140</v>
      </c>
      <c r="D442" s="19">
        <v>143</v>
      </c>
    </row>
    <row r="443" spans="1:4" x14ac:dyDescent="0.3">
      <c r="A443" s="5" t="str">
        <f>TEXT(Append1[[#This Row],[dteday]],"MMMM")</f>
        <v>January</v>
      </c>
      <c r="B443" s="5">
        <v>1</v>
      </c>
      <c r="C443" s="5">
        <v>56</v>
      </c>
      <c r="D443" s="20">
        <v>57</v>
      </c>
    </row>
    <row r="444" spans="1:4" x14ac:dyDescent="0.3">
      <c r="A444" s="4" t="str">
        <f>TEXT(Append1[[#This Row],[dteday]],"MMMM")</f>
        <v>January</v>
      </c>
      <c r="B444" s="4">
        <v>5</v>
      </c>
      <c r="C444" s="4">
        <v>63</v>
      </c>
      <c r="D444" s="19">
        <v>68</v>
      </c>
    </row>
    <row r="445" spans="1:4" x14ac:dyDescent="0.3">
      <c r="A445" s="5" t="str">
        <f>TEXT(Append1[[#This Row],[dteday]],"MMMM")</f>
        <v>January</v>
      </c>
      <c r="B445" s="5">
        <v>7</v>
      </c>
      <c r="C445" s="5">
        <v>77</v>
      </c>
      <c r="D445" s="20">
        <v>84</v>
      </c>
    </row>
    <row r="446" spans="1:4" x14ac:dyDescent="0.3">
      <c r="A446" s="4" t="str">
        <f>TEXT(Append1[[#This Row],[dteday]],"MMMM")</f>
        <v>January</v>
      </c>
      <c r="B446" s="4">
        <v>12</v>
      </c>
      <c r="C446" s="4">
        <v>86</v>
      </c>
      <c r="D446" s="19">
        <v>98</v>
      </c>
    </row>
    <row r="447" spans="1:4" x14ac:dyDescent="0.3">
      <c r="A447" s="5" t="str">
        <f>TEXT(Append1[[#This Row],[dteday]],"MMMM")</f>
        <v>January</v>
      </c>
      <c r="B447" s="5">
        <v>6</v>
      </c>
      <c r="C447" s="5">
        <v>75</v>
      </c>
      <c r="D447" s="20">
        <v>81</v>
      </c>
    </row>
    <row r="448" spans="1:4" x14ac:dyDescent="0.3">
      <c r="A448" s="4" t="str">
        <f>TEXT(Append1[[#This Row],[dteday]],"MMMM")</f>
        <v>January</v>
      </c>
      <c r="B448" s="4">
        <v>8</v>
      </c>
      <c r="C448" s="4">
        <v>62</v>
      </c>
      <c r="D448" s="19">
        <v>70</v>
      </c>
    </row>
    <row r="449" spans="1:4" x14ac:dyDescent="0.3">
      <c r="A449" s="5" t="str">
        <f>TEXT(Append1[[#This Row],[dteday]],"MMMM")</f>
        <v>January</v>
      </c>
      <c r="B449" s="5">
        <v>8</v>
      </c>
      <c r="C449" s="5">
        <v>83</v>
      </c>
      <c r="D449" s="20">
        <v>91</v>
      </c>
    </row>
    <row r="450" spans="1:4" x14ac:dyDescent="0.3">
      <c r="A450" s="4" t="str">
        <f>TEXT(Append1[[#This Row],[dteday]],"MMMM")</f>
        <v>January</v>
      </c>
      <c r="B450" s="4">
        <v>8</v>
      </c>
      <c r="C450" s="4">
        <v>207</v>
      </c>
      <c r="D450" s="19">
        <v>215</v>
      </c>
    </row>
    <row r="451" spans="1:4" x14ac:dyDescent="0.3">
      <c r="A451" s="5" t="str">
        <f>TEXT(Append1[[#This Row],[dteday]],"MMMM")</f>
        <v>January</v>
      </c>
      <c r="B451" s="5">
        <v>1</v>
      </c>
      <c r="C451" s="5">
        <v>184</v>
      </c>
      <c r="D451" s="20">
        <v>185</v>
      </c>
    </row>
    <row r="452" spans="1:4" x14ac:dyDescent="0.3">
      <c r="A452" s="4" t="str">
        <f>TEXT(Append1[[#This Row],[dteday]],"MMMM")</f>
        <v>January</v>
      </c>
      <c r="B452" s="4">
        <v>6</v>
      </c>
      <c r="C452" s="4">
        <v>146</v>
      </c>
      <c r="D452" s="19">
        <v>152</v>
      </c>
    </row>
    <row r="453" spans="1:4" x14ac:dyDescent="0.3">
      <c r="A453" s="5" t="str">
        <f>TEXT(Append1[[#This Row],[dteday]],"MMMM")</f>
        <v>January</v>
      </c>
      <c r="B453" s="5">
        <v>2</v>
      </c>
      <c r="C453" s="5">
        <v>124</v>
      </c>
      <c r="D453" s="20">
        <v>126</v>
      </c>
    </row>
    <row r="454" spans="1:4" x14ac:dyDescent="0.3">
      <c r="A454" s="4" t="str">
        <f>TEXT(Append1[[#This Row],[dteday]],"MMMM")</f>
        <v>January</v>
      </c>
      <c r="B454" s="4">
        <v>3</v>
      </c>
      <c r="C454" s="4">
        <v>54</v>
      </c>
      <c r="D454" s="19">
        <v>57</v>
      </c>
    </row>
    <row r="455" spans="1:4" x14ac:dyDescent="0.3">
      <c r="A455" s="5" t="str">
        <f>TEXT(Append1[[#This Row],[dteday]],"MMMM")</f>
        <v>January</v>
      </c>
      <c r="B455" s="5">
        <v>0</v>
      </c>
      <c r="C455" s="5">
        <v>56</v>
      </c>
      <c r="D455" s="20">
        <v>56</v>
      </c>
    </row>
    <row r="456" spans="1:4" x14ac:dyDescent="0.3">
      <c r="A456" s="4" t="str">
        <f>TEXT(Append1[[#This Row],[dteday]],"MMMM")</f>
        <v>January</v>
      </c>
      <c r="B456" s="4">
        <v>3</v>
      </c>
      <c r="C456" s="4">
        <v>28</v>
      </c>
      <c r="D456" s="19">
        <v>31</v>
      </c>
    </row>
    <row r="457" spans="1:4" x14ac:dyDescent="0.3">
      <c r="A457" s="5" t="str">
        <f>TEXT(Append1[[#This Row],[dteday]],"MMMM")</f>
        <v>January</v>
      </c>
      <c r="B457" s="5">
        <v>1</v>
      </c>
      <c r="C457" s="5">
        <v>20</v>
      </c>
      <c r="D457" s="20">
        <v>21</v>
      </c>
    </row>
    <row r="458" spans="1:4" x14ac:dyDescent="0.3">
      <c r="A458" s="4" t="str">
        <f>TEXT(Append1[[#This Row],[dteday]],"MMMM")</f>
        <v>January</v>
      </c>
      <c r="B458" s="4">
        <v>0</v>
      </c>
      <c r="C458" s="4">
        <v>6</v>
      </c>
      <c r="D458" s="19">
        <v>6</v>
      </c>
    </row>
    <row r="459" spans="1:4" x14ac:dyDescent="0.3">
      <c r="A459" s="5" t="str">
        <f>TEXT(Append1[[#This Row],[dteday]],"MMMM")</f>
        <v>January</v>
      </c>
      <c r="B459" s="5">
        <v>0</v>
      </c>
      <c r="C459" s="5">
        <v>2</v>
      </c>
      <c r="D459" s="20">
        <v>2</v>
      </c>
    </row>
    <row r="460" spans="1:4" x14ac:dyDescent="0.3">
      <c r="A460" s="4" t="str">
        <f>TEXT(Append1[[#This Row],[dteday]],"MMMM")</f>
        <v>January</v>
      </c>
      <c r="B460" s="4">
        <v>0</v>
      </c>
      <c r="C460" s="4">
        <v>1</v>
      </c>
      <c r="D460" s="19">
        <v>1</v>
      </c>
    </row>
    <row r="461" spans="1:4" x14ac:dyDescent="0.3">
      <c r="A461" s="5" t="str">
        <f>TEXT(Append1[[#This Row],[dteday]],"MMMM")</f>
        <v>January</v>
      </c>
      <c r="B461" s="5">
        <v>0</v>
      </c>
      <c r="C461" s="5">
        <v>1</v>
      </c>
      <c r="D461" s="20">
        <v>1</v>
      </c>
    </row>
    <row r="462" spans="1:4" x14ac:dyDescent="0.3">
      <c r="A462" s="4" t="str">
        <f>TEXT(Append1[[#This Row],[dteday]],"MMMM")</f>
        <v>January</v>
      </c>
      <c r="B462" s="4">
        <v>1</v>
      </c>
      <c r="C462" s="4">
        <v>4</v>
      </c>
      <c r="D462" s="19">
        <v>5</v>
      </c>
    </row>
    <row r="463" spans="1:4" x14ac:dyDescent="0.3">
      <c r="A463" s="5" t="str">
        <f>TEXT(Append1[[#This Row],[dteday]],"MMMM")</f>
        <v>January</v>
      </c>
      <c r="B463" s="5">
        <v>0</v>
      </c>
      <c r="C463" s="5">
        <v>27</v>
      </c>
      <c r="D463" s="20">
        <v>27</v>
      </c>
    </row>
    <row r="464" spans="1:4" x14ac:dyDescent="0.3">
      <c r="A464" s="4" t="str">
        <f>TEXT(Append1[[#This Row],[dteday]],"MMMM")</f>
        <v>January</v>
      </c>
      <c r="B464" s="4">
        <v>2</v>
      </c>
      <c r="C464" s="4">
        <v>66</v>
      </c>
      <c r="D464" s="19">
        <v>68</v>
      </c>
    </row>
    <row r="465" spans="1:4" x14ac:dyDescent="0.3">
      <c r="A465" s="5" t="str">
        <f>TEXT(Append1[[#This Row],[dteday]],"MMMM")</f>
        <v>January</v>
      </c>
      <c r="B465" s="5">
        <v>7</v>
      </c>
      <c r="C465" s="5">
        <v>210</v>
      </c>
      <c r="D465" s="20">
        <v>217</v>
      </c>
    </row>
    <row r="466" spans="1:4" x14ac:dyDescent="0.3">
      <c r="A466" s="4" t="str">
        <f>TEXT(Append1[[#This Row],[dteday]],"MMMM")</f>
        <v>January</v>
      </c>
      <c r="B466" s="4">
        <v>7</v>
      </c>
      <c r="C466" s="4">
        <v>159</v>
      </c>
      <c r="D466" s="19">
        <v>166</v>
      </c>
    </row>
    <row r="467" spans="1:4" x14ac:dyDescent="0.3">
      <c r="A467" s="5" t="str">
        <f>TEXT(Append1[[#This Row],[dteday]],"MMMM")</f>
        <v>January</v>
      </c>
      <c r="B467" s="5">
        <v>6</v>
      </c>
      <c r="C467" s="5">
        <v>57</v>
      </c>
      <c r="D467" s="20">
        <v>63</v>
      </c>
    </row>
    <row r="468" spans="1:4" x14ac:dyDescent="0.3">
      <c r="A468" s="4" t="str">
        <f>TEXT(Append1[[#This Row],[dteday]],"MMMM")</f>
        <v>January</v>
      </c>
      <c r="B468" s="4">
        <v>6</v>
      </c>
      <c r="C468" s="4">
        <v>53</v>
      </c>
      <c r="D468" s="19">
        <v>59</v>
      </c>
    </row>
    <row r="469" spans="1:4" x14ac:dyDescent="0.3">
      <c r="A469" s="5" t="str">
        <f>TEXT(Append1[[#This Row],[dteday]],"MMMM")</f>
        <v>January</v>
      </c>
      <c r="B469" s="5">
        <v>11</v>
      </c>
      <c r="C469" s="5">
        <v>67</v>
      </c>
      <c r="D469" s="20">
        <v>78</v>
      </c>
    </row>
    <row r="470" spans="1:4" x14ac:dyDescent="0.3">
      <c r="A470" s="4" t="str">
        <f>TEXT(Append1[[#This Row],[dteday]],"MMMM")</f>
        <v>January</v>
      </c>
      <c r="B470" s="4">
        <v>8</v>
      </c>
      <c r="C470" s="4">
        <v>65</v>
      </c>
      <c r="D470" s="19">
        <v>73</v>
      </c>
    </row>
    <row r="471" spans="1:4" x14ac:dyDescent="0.3">
      <c r="A471" s="5" t="str">
        <f>TEXT(Append1[[#This Row],[dteday]],"MMMM")</f>
        <v>January</v>
      </c>
      <c r="B471" s="5">
        <v>6</v>
      </c>
      <c r="C471" s="5">
        <v>56</v>
      </c>
      <c r="D471" s="20">
        <v>62</v>
      </c>
    </row>
    <row r="472" spans="1:4" x14ac:dyDescent="0.3">
      <c r="A472" s="4" t="str">
        <f>TEXT(Append1[[#This Row],[dteday]],"MMMM")</f>
        <v>January</v>
      </c>
      <c r="B472" s="4">
        <v>4</v>
      </c>
      <c r="C472" s="4">
        <v>61</v>
      </c>
      <c r="D472" s="19">
        <v>65</v>
      </c>
    </row>
    <row r="473" spans="1:4" x14ac:dyDescent="0.3">
      <c r="A473" s="5" t="str">
        <f>TEXT(Append1[[#This Row],[dteday]],"MMMM")</f>
        <v>January</v>
      </c>
      <c r="B473" s="5">
        <v>0</v>
      </c>
      <c r="C473" s="5">
        <v>97</v>
      </c>
      <c r="D473" s="20">
        <v>97</v>
      </c>
    </row>
    <row r="474" spans="1:4" x14ac:dyDescent="0.3">
      <c r="A474" s="4" t="str">
        <f>TEXT(Append1[[#This Row],[dteday]],"MMMM")</f>
        <v>January</v>
      </c>
      <c r="B474" s="4">
        <v>10</v>
      </c>
      <c r="C474" s="4">
        <v>151</v>
      </c>
      <c r="D474" s="19">
        <v>161</v>
      </c>
    </row>
    <row r="475" spans="1:4" x14ac:dyDescent="0.3">
      <c r="A475" s="5" t="str">
        <f>TEXT(Append1[[#This Row],[dteday]],"MMMM")</f>
        <v>January</v>
      </c>
      <c r="B475" s="5">
        <v>1</v>
      </c>
      <c r="C475" s="5">
        <v>119</v>
      </c>
      <c r="D475" s="20">
        <v>120</v>
      </c>
    </row>
    <row r="476" spans="1:4" x14ac:dyDescent="0.3">
      <c r="A476" s="4" t="str">
        <f>TEXT(Append1[[#This Row],[dteday]],"MMMM")</f>
        <v>January</v>
      </c>
      <c r="B476" s="4">
        <v>3</v>
      </c>
      <c r="C476" s="4">
        <v>93</v>
      </c>
      <c r="D476" s="19">
        <v>96</v>
      </c>
    </row>
    <row r="477" spans="1:4" x14ac:dyDescent="0.3">
      <c r="A477" s="5" t="str">
        <f>TEXT(Append1[[#This Row],[dteday]],"MMMM")</f>
        <v>January</v>
      </c>
      <c r="B477" s="5">
        <v>1</v>
      </c>
      <c r="C477" s="5">
        <v>52</v>
      </c>
      <c r="D477" s="20">
        <v>53</v>
      </c>
    </row>
    <row r="478" spans="1:4" x14ac:dyDescent="0.3">
      <c r="A478" s="4" t="str">
        <f>TEXT(Append1[[#This Row],[dteday]],"MMMM")</f>
        <v>January</v>
      </c>
      <c r="B478" s="4">
        <v>0</v>
      </c>
      <c r="C478" s="4">
        <v>41</v>
      </c>
      <c r="D478" s="19">
        <v>41</v>
      </c>
    </row>
    <row r="479" spans="1:4" x14ac:dyDescent="0.3">
      <c r="A479" s="5" t="str">
        <f>TEXT(Append1[[#This Row],[dteday]],"MMMM")</f>
        <v>January</v>
      </c>
      <c r="B479" s="5">
        <v>1</v>
      </c>
      <c r="C479" s="5">
        <v>33</v>
      </c>
      <c r="D479" s="20">
        <v>34</v>
      </c>
    </row>
    <row r="480" spans="1:4" x14ac:dyDescent="0.3">
      <c r="A480" s="4" t="str">
        <f>TEXT(Append1[[#This Row],[dteday]],"MMMM")</f>
        <v>January</v>
      </c>
      <c r="B480" s="4">
        <v>0</v>
      </c>
      <c r="C480" s="4">
        <v>27</v>
      </c>
      <c r="D480" s="19">
        <v>27</v>
      </c>
    </row>
    <row r="481" spans="1:4" x14ac:dyDescent="0.3">
      <c r="A481" s="5" t="str">
        <f>TEXT(Append1[[#This Row],[dteday]],"MMMM")</f>
        <v>January</v>
      </c>
      <c r="B481" s="5">
        <v>0</v>
      </c>
      <c r="C481" s="5">
        <v>13</v>
      </c>
      <c r="D481" s="20">
        <v>13</v>
      </c>
    </row>
    <row r="482" spans="1:4" x14ac:dyDescent="0.3">
      <c r="A482" s="4" t="str">
        <f>TEXT(Append1[[#This Row],[dteday]],"MMMM")</f>
        <v>January</v>
      </c>
      <c r="B482" s="4">
        <v>3</v>
      </c>
      <c r="C482" s="4">
        <v>9</v>
      </c>
      <c r="D482" s="19">
        <v>12</v>
      </c>
    </row>
    <row r="483" spans="1:4" x14ac:dyDescent="0.3">
      <c r="A483" s="5" t="str">
        <f>TEXT(Append1[[#This Row],[dteday]],"MMMM")</f>
        <v>January</v>
      </c>
      <c r="B483" s="5">
        <v>0</v>
      </c>
      <c r="C483" s="5">
        <v>11</v>
      </c>
      <c r="D483" s="20">
        <v>11</v>
      </c>
    </row>
    <row r="484" spans="1:4" x14ac:dyDescent="0.3">
      <c r="A484" s="4" t="str">
        <f>TEXT(Append1[[#This Row],[dteday]],"MMMM")</f>
        <v>January</v>
      </c>
      <c r="B484" s="4">
        <v>1</v>
      </c>
      <c r="C484" s="4">
        <v>6</v>
      </c>
      <c r="D484" s="19">
        <v>7</v>
      </c>
    </row>
    <row r="485" spans="1:4" x14ac:dyDescent="0.3">
      <c r="A485" s="5" t="str">
        <f>TEXT(Append1[[#This Row],[dteday]],"MMMM")</f>
        <v>January</v>
      </c>
      <c r="B485" s="5">
        <v>0</v>
      </c>
      <c r="C485" s="5">
        <v>3</v>
      </c>
      <c r="D485" s="20">
        <v>3</v>
      </c>
    </row>
    <row r="486" spans="1:4" x14ac:dyDescent="0.3">
      <c r="A486" s="4" t="str">
        <f>TEXT(Append1[[#This Row],[dteday]],"MMMM")</f>
        <v>January</v>
      </c>
      <c r="B486" s="4">
        <v>0</v>
      </c>
      <c r="C486" s="4">
        <v>2</v>
      </c>
      <c r="D486" s="19">
        <v>2</v>
      </c>
    </row>
    <row r="487" spans="1:4" x14ac:dyDescent="0.3">
      <c r="A487" s="5" t="str">
        <f>TEXT(Append1[[#This Row],[dteday]],"MMMM")</f>
        <v>January</v>
      </c>
      <c r="B487" s="5">
        <v>0</v>
      </c>
      <c r="C487" s="5">
        <v>8</v>
      </c>
      <c r="D487" s="20">
        <v>8</v>
      </c>
    </row>
    <row r="488" spans="1:4" x14ac:dyDescent="0.3">
      <c r="A488" s="4" t="str">
        <f>TEXT(Append1[[#This Row],[dteday]],"MMMM")</f>
        <v>January</v>
      </c>
      <c r="B488" s="4">
        <v>1</v>
      </c>
      <c r="C488" s="4">
        <v>26</v>
      </c>
      <c r="D488" s="19">
        <v>27</v>
      </c>
    </row>
    <row r="489" spans="1:4" x14ac:dyDescent="0.3">
      <c r="A489" s="5" t="str">
        <f>TEXT(Append1[[#This Row],[dteday]],"MMMM")</f>
        <v>January</v>
      </c>
      <c r="B489" s="5">
        <v>3</v>
      </c>
      <c r="C489" s="5">
        <v>37</v>
      </c>
      <c r="D489" s="20">
        <v>40</v>
      </c>
    </row>
    <row r="490" spans="1:4" x14ac:dyDescent="0.3">
      <c r="A490" s="4" t="str">
        <f>TEXT(Append1[[#This Row],[dteday]],"MMMM")</f>
        <v>January</v>
      </c>
      <c r="B490" s="4">
        <v>3</v>
      </c>
      <c r="C490" s="4">
        <v>50</v>
      </c>
      <c r="D490" s="19">
        <v>53</v>
      </c>
    </row>
    <row r="491" spans="1:4" x14ac:dyDescent="0.3">
      <c r="A491" s="5" t="str">
        <f>TEXT(Append1[[#This Row],[dteday]],"MMMM")</f>
        <v>January</v>
      </c>
      <c r="B491" s="5">
        <v>4</v>
      </c>
      <c r="C491" s="5">
        <v>59</v>
      </c>
      <c r="D491" s="20">
        <v>63</v>
      </c>
    </row>
    <row r="492" spans="1:4" x14ac:dyDescent="0.3">
      <c r="A492" s="4" t="str">
        <f>TEXT(Append1[[#This Row],[dteday]],"MMMM")</f>
        <v>January</v>
      </c>
      <c r="B492" s="4">
        <v>10</v>
      </c>
      <c r="C492" s="4">
        <v>60</v>
      </c>
      <c r="D492" s="19">
        <v>70</v>
      </c>
    </row>
    <row r="493" spans="1:4" x14ac:dyDescent="0.3">
      <c r="A493" s="5" t="str">
        <f>TEXT(Append1[[#This Row],[dteday]],"MMMM")</f>
        <v>January</v>
      </c>
      <c r="B493" s="5">
        <v>12</v>
      </c>
      <c r="C493" s="5">
        <v>72</v>
      </c>
      <c r="D493" s="20">
        <v>84</v>
      </c>
    </row>
    <row r="494" spans="1:4" x14ac:dyDescent="0.3">
      <c r="A494" s="4" t="str">
        <f>TEXT(Append1[[#This Row],[dteday]],"MMMM")</f>
        <v>January</v>
      </c>
      <c r="B494" s="4">
        <v>11</v>
      </c>
      <c r="C494" s="4">
        <v>64</v>
      </c>
      <c r="D494" s="19">
        <v>75</v>
      </c>
    </row>
    <row r="495" spans="1:4" x14ac:dyDescent="0.3">
      <c r="A495" s="5" t="str">
        <f>TEXT(Append1[[#This Row],[dteday]],"MMMM")</f>
        <v>January</v>
      </c>
      <c r="B495" s="5">
        <v>10</v>
      </c>
      <c r="C495" s="5">
        <v>93</v>
      </c>
      <c r="D495" s="20">
        <v>103</v>
      </c>
    </row>
    <row r="496" spans="1:4" x14ac:dyDescent="0.3">
      <c r="A496" s="4" t="str">
        <f>TEXT(Append1[[#This Row],[dteday]],"MMMM")</f>
        <v>January</v>
      </c>
      <c r="B496" s="4">
        <v>11</v>
      </c>
      <c r="C496" s="4">
        <v>72</v>
      </c>
      <c r="D496" s="19">
        <v>83</v>
      </c>
    </row>
    <row r="497" spans="1:4" x14ac:dyDescent="0.3">
      <c r="A497" s="5" t="str">
        <f>TEXT(Append1[[#This Row],[dteday]],"MMMM")</f>
        <v>January</v>
      </c>
      <c r="B497" s="5">
        <v>8</v>
      </c>
      <c r="C497" s="5">
        <v>59</v>
      </c>
      <c r="D497" s="20">
        <v>67</v>
      </c>
    </row>
    <row r="498" spans="1:4" x14ac:dyDescent="0.3">
      <c r="A498" s="4" t="str">
        <f>TEXT(Append1[[#This Row],[dteday]],"MMMM")</f>
        <v>January</v>
      </c>
      <c r="B498" s="4">
        <v>0</v>
      </c>
      <c r="C498" s="4">
        <v>54</v>
      </c>
      <c r="D498" s="19">
        <v>54</v>
      </c>
    </row>
    <row r="499" spans="1:4" x14ac:dyDescent="0.3">
      <c r="A499" s="5" t="str">
        <f>TEXT(Append1[[#This Row],[dteday]],"MMMM")</f>
        <v>January</v>
      </c>
      <c r="B499" s="5">
        <v>6</v>
      </c>
      <c r="C499" s="5">
        <v>53</v>
      </c>
      <c r="D499" s="20">
        <v>59</v>
      </c>
    </row>
    <row r="500" spans="1:4" x14ac:dyDescent="0.3">
      <c r="A500" s="4" t="str">
        <f>TEXT(Append1[[#This Row],[dteday]],"MMMM")</f>
        <v>January</v>
      </c>
      <c r="B500" s="4">
        <v>1</v>
      </c>
      <c r="C500" s="4">
        <v>44</v>
      </c>
      <c r="D500" s="19">
        <v>45</v>
      </c>
    </row>
    <row r="501" spans="1:4" x14ac:dyDescent="0.3">
      <c r="A501" s="5" t="str">
        <f>TEXT(Append1[[#This Row],[dteday]],"MMMM")</f>
        <v>January</v>
      </c>
      <c r="B501" s="5">
        <v>0</v>
      </c>
      <c r="C501" s="5">
        <v>39</v>
      </c>
      <c r="D501" s="20">
        <v>39</v>
      </c>
    </row>
    <row r="502" spans="1:4" x14ac:dyDescent="0.3">
      <c r="A502" s="4" t="str">
        <f>TEXT(Append1[[#This Row],[dteday]],"MMMM")</f>
        <v>January</v>
      </c>
      <c r="B502" s="4">
        <v>7</v>
      </c>
      <c r="C502" s="4">
        <v>23</v>
      </c>
      <c r="D502" s="19">
        <v>30</v>
      </c>
    </row>
    <row r="503" spans="1:4" x14ac:dyDescent="0.3">
      <c r="A503" s="5" t="str">
        <f>TEXT(Append1[[#This Row],[dteday]],"MMMM")</f>
        <v>January</v>
      </c>
      <c r="B503" s="5">
        <v>2</v>
      </c>
      <c r="C503" s="5">
        <v>31</v>
      </c>
      <c r="D503" s="20">
        <v>33</v>
      </c>
    </row>
    <row r="504" spans="1:4" x14ac:dyDescent="0.3">
      <c r="A504" s="4" t="str">
        <f>TEXT(Append1[[#This Row],[dteday]],"MMMM")</f>
        <v>January</v>
      </c>
      <c r="B504" s="4">
        <v>2</v>
      </c>
      <c r="C504" s="4">
        <v>20</v>
      </c>
      <c r="D504" s="19">
        <v>22</v>
      </c>
    </row>
    <row r="505" spans="1:4" x14ac:dyDescent="0.3">
      <c r="A505" s="5" t="str">
        <f>TEXT(Append1[[#This Row],[dteday]],"MMMM")</f>
        <v>January</v>
      </c>
      <c r="B505" s="5">
        <v>1</v>
      </c>
      <c r="C505" s="5">
        <v>12</v>
      </c>
      <c r="D505" s="20">
        <v>13</v>
      </c>
    </row>
    <row r="506" spans="1:4" x14ac:dyDescent="0.3">
      <c r="A506" s="4" t="str">
        <f>TEXT(Append1[[#This Row],[dteday]],"MMMM")</f>
        <v>January</v>
      </c>
      <c r="B506" s="4">
        <v>3</v>
      </c>
      <c r="C506" s="4">
        <v>15</v>
      </c>
      <c r="D506" s="19">
        <v>18</v>
      </c>
    </row>
    <row r="507" spans="1:4" x14ac:dyDescent="0.3">
      <c r="A507" s="5" t="str">
        <f>TEXT(Append1[[#This Row],[dteday]],"MMMM")</f>
        <v>January</v>
      </c>
      <c r="B507" s="5">
        <v>1</v>
      </c>
      <c r="C507" s="5">
        <v>4</v>
      </c>
      <c r="D507" s="20">
        <v>5</v>
      </c>
    </row>
    <row r="508" spans="1:4" x14ac:dyDescent="0.3">
      <c r="A508" s="4" t="str">
        <f>TEXT(Append1[[#This Row],[dteday]],"MMMM")</f>
        <v>January</v>
      </c>
      <c r="B508" s="4">
        <v>0</v>
      </c>
      <c r="C508" s="4">
        <v>3</v>
      </c>
      <c r="D508" s="19">
        <v>3</v>
      </c>
    </row>
    <row r="509" spans="1:4" x14ac:dyDescent="0.3">
      <c r="A509" s="5" t="str">
        <f>TEXT(Append1[[#This Row],[dteday]],"MMMM")</f>
        <v>January</v>
      </c>
      <c r="B509" s="5">
        <v>0</v>
      </c>
      <c r="C509" s="5">
        <v>1</v>
      </c>
      <c r="D509" s="20">
        <v>1</v>
      </c>
    </row>
    <row r="510" spans="1:4" x14ac:dyDescent="0.3">
      <c r="A510" s="4" t="str">
        <f>TEXT(Append1[[#This Row],[dteday]],"MMMM")</f>
        <v>January</v>
      </c>
      <c r="B510" s="4">
        <v>1</v>
      </c>
      <c r="C510" s="4">
        <v>1</v>
      </c>
      <c r="D510" s="19">
        <v>2</v>
      </c>
    </row>
    <row r="511" spans="1:4" x14ac:dyDescent="0.3">
      <c r="A511" s="5" t="str">
        <f>TEXT(Append1[[#This Row],[dteday]],"MMMM")</f>
        <v>January</v>
      </c>
      <c r="B511" s="5">
        <v>2</v>
      </c>
      <c r="C511" s="5">
        <v>17</v>
      </c>
      <c r="D511" s="20">
        <v>19</v>
      </c>
    </row>
    <row r="512" spans="1:4" x14ac:dyDescent="0.3">
      <c r="A512" s="4" t="str">
        <f>TEXT(Append1[[#This Row],[dteday]],"MMMM")</f>
        <v>January</v>
      </c>
      <c r="B512" s="4">
        <v>3</v>
      </c>
      <c r="C512" s="4">
        <v>25</v>
      </c>
      <c r="D512" s="19">
        <v>28</v>
      </c>
    </row>
    <row r="513" spans="1:4" x14ac:dyDescent="0.3">
      <c r="A513" s="5" t="str">
        <f>TEXT(Append1[[#This Row],[dteday]],"MMMM")</f>
        <v>January</v>
      </c>
      <c r="B513" s="5">
        <v>7</v>
      </c>
      <c r="C513" s="5">
        <v>51</v>
      </c>
      <c r="D513" s="20">
        <v>58</v>
      </c>
    </row>
    <row r="514" spans="1:4" x14ac:dyDescent="0.3">
      <c r="A514" s="4" t="str">
        <f>TEXT(Append1[[#This Row],[dteday]],"MMMM")</f>
        <v>January</v>
      </c>
      <c r="B514" s="4">
        <v>22</v>
      </c>
      <c r="C514" s="4">
        <v>77</v>
      </c>
      <c r="D514" s="19">
        <v>99</v>
      </c>
    </row>
    <row r="515" spans="1:4" x14ac:dyDescent="0.3">
      <c r="A515" s="5" t="str">
        <f>TEXT(Append1[[#This Row],[dteday]],"MMMM")</f>
        <v>January</v>
      </c>
      <c r="B515" s="5">
        <v>24</v>
      </c>
      <c r="C515" s="5">
        <v>92</v>
      </c>
      <c r="D515" s="20">
        <v>116</v>
      </c>
    </row>
    <row r="516" spans="1:4" x14ac:dyDescent="0.3">
      <c r="A516" s="4" t="str">
        <f>TEXT(Append1[[#This Row],[dteday]],"MMMM")</f>
        <v>January</v>
      </c>
      <c r="B516" s="4">
        <v>12</v>
      </c>
      <c r="C516" s="4">
        <v>75</v>
      </c>
      <c r="D516" s="19">
        <v>87</v>
      </c>
    </row>
    <row r="517" spans="1:4" x14ac:dyDescent="0.3">
      <c r="A517" s="5" t="str">
        <f>TEXT(Append1[[#This Row],[dteday]],"MMMM")</f>
        <v>January</v>
      </c>
      <c r="B517" s="5">
        <v>17</v>
      </c>
      <c r="C517" s="5">
        <v>93</v>
      </c>
      <c r="D517" s="20">
        <v>110</v>
      </c>
    </row>
    <row r="518" spans="1:4" x14ac:dyDescent="0.3">
      <c r="A518" s="4" t="str">
        <f>TEXT(Append1[[#This Row],[dteday]],"MMMM")</f>
        <v>January</v>
      </c>
      <c r="B518" s="4">
        <v>13</v>
      </c>
      <c r="C518" s="4">
        <v>64</v>
      </c>
      <c r="D518" s="19">
        <v>77</v>
      </c>
    </row>
    <row r="519" spans="1:4" x14ac:dyDescent="0.3">
      <c r="A519" s="5" t="str">
        <f>TEXT(Append1[[#This Row],[dteday]],"MMMM")</f>
        <v>January</v>
      </c>
      <c r="B519" s="5">
        <v>9</v>
      </c>
      <c r="C519" s="5">
        <v>56</v>
      </c>
      <c r="D519" s="20">
        <v>65</v>
      </c>
    </row>
    <row r="520" spans="1:4" x14ac:dyDescent="0.3">
      <c r="A520" s="4" t="str">
        <f>TEXT(Append1[[#This Row],[dteday]],"MMMM")</f>
        <v>January</v>
      </c>
      <c r="B520" s="4">
        <v>5</v>
      </c>
      <c r="C520" s="4">
        <v>50</v>
      </c>
      <c r="D520" s="19">
        <v>55</v>
      </c>
    </row>
    <row r="521" spans="1:4" x14ac:dyDescent="0.3">
      <c r="A521" s="5" t="str">
        <f>TEXT(Append1[[#This Row],[dteday]],"MMMM")</f>
        <v>January</v>
      </c>
      <c r="B521" s="5">
        <v>5</v>
      </c>
      <c r="C521" s="5">
        <v>44</v>
      </c>
      <c r="D521" s="20">
        <v>49</v>
      </c>
    </row>
    <row r="522" spans="1:4" x14ac:dyDescent="0.3">
      <c r="A522" s="4" t="str">
        <f>TEXT(Append1[[#This Row],[dteday]],"MMMM")</f>
        <v>January</v>
      </c>
      <c r="B522" s="4">
        <v>5</v>
      </c>
      <c r="C522" s="4">
        <v>45</v>
      </c>
      <c r="D522" s="19">
        <v>50</v>
      </c>
    </row>
    <row r="523" spans="1:4" x14ac:dyDescent="0.3">
      <c r="A523" s="5" t="str">
        <f>TEXT(Append1[[#This Row],[dteday]],"MMMM")</f>
        <v>January</v>
      </c>
      <c r="B523" s="5">
        <v>4</v>
      </c>
      <c r="C523" s="5">
        <v>31</v>
      </c>
      <c r="D523" s="20">
        <v>35</v>
      </c>
    </row>
    <row r="524" spans="1:4" x14ac:dyDescent="0.3">
      <c r="A524" s="4" t="str">
        <f>TEXT(Append1[[#This Row],[dteday]],"MMMM")</f>
        <v>January</v>
      </c>
      <c r="B524" s="4">
        <v>5</v>
      </c>
      <c r="C524" s="4">
        <v>20</v>
      </c>
      <c r="D524" s="19">
        <v>25</v>
      </c>
    </row>
    <row r="525" spans="1:4" x14ac:dyDescent="0.3">
      <c r="A525" s="5" t="str">
        <f>TEXT(Append1[[#This Row],[dteday]],"MMMM")</f>
        <v>January</v>
      </c>
      <c r="B525" s="5">
        <v>5</v>
      </c>
      <c r="C525" s="5">
        <v>23</v>
      </c>
      <c r="D525" s="20">
        <v>28</v>
      </c>
    </row>
    <row r="526" spans="1:4" x14ac:dyDescent="0.3">
      <c r="A526" s="4" t="str">
        <f>TEXT(Append1[[#This Row],[dteday]],"MMMM")</f>
        <v>January</v>
      </c>
      <c r="B526" s="4">
        <v>4</v>
      </c>
      <c r="C526" s="4">
        <v>17</v>
      </c>
      <c r="D526" s="19">
        <v>21</v>
      </c>
    </row>
    <row r="527" spans="1:4" x14ac:dyDescent="0.3">
      <c r="A527" s="5" t="str">
        <f>TEXT(Append1[[#This Row],[dteday]],"MMMM")</f>
        <v>January</v>
      </c>
      <c r="B527" s="5">
        <v>0</v>
      </c>
      <c r="C527" s="5">
        <v>7</v>
      </c>
      <c r="D527" s="20">
        <v>7</v>
      </c>
    </row>
    <row r="528" spans="1:4" x14ac:dyDescent="0.3">
      <c r="A528" s="4" t="str">
        <f>TEXT(Append1[[#This Row],[dteday]],"MMMM")</f>
        <v>January</v>
      </c>
      <c r="B528" s="4">
        <v>0</v>
      </c>
      <c r="C528" s="4">
        <v>1</v>
      </c>
      <c r="D528" s="19">
        <v>1</v>
      </c>
    </row>
    <row r="529" spans="1:4" x14ac:dyDescent="0.3">
      <c r="A529" s="5" t="str">
        <f>TEXT(Append1[[#This Row],[dteday]],"MMMM")</f>
        <v>January</v>
      </c>
      <c r="B529" s="5">
        <v>0</v>
      </c>
      <c r="C529" s="5">
        <v>1</v>
      </c>
      <c r="D529" s="20">
        <v>1</v>
      </c>
    </row>
    <row r="530" spans="1:4" x14ac:dyDescent="0.3">
      <c r="A530" s="4" t="str">
        <f>TEXT(Append1[[#This Row],[dteday]],"MMMM")</f>
        <v>January</v>
      </c>
      <c r="B530" s="4">
        <v>0</v>
      </c>
      <c r="C530" s="4">
        <v>1</v>
      </c>
      <c r="D530" s="19">
        <v>1</v>
      </c>
    </row>
    <row r="531" spans="1:4" x14ac:dyDescent="0.3">
      <c r="A531" s="5" t="str">
        <f>TEXT(Append1[[#This Row],[dteday]],"MMMM")</f>
        <v>January</v>
      </c>
      <c r="B531" s="5">
        <v>0</v>
      </c>
      <c r="C531" s="5">
        <v>5</v>
      </c>
      <c r="D531" s="20">
        <v>5</v>
      </c>
    </row>
    <row r="532" spans="1:4" x14ac:dyDescent="0.3">
      <c r="A532" s="4" t="str">
        <f>TEXT(Append1[[#This Row],[dteday]],"MMMM")</f>
        <v>January</v>
      </c>
      <c r="B532" s="4">
        <v>0</v>
      </c>
      <c r="C532" s="4">
        <v>15</v>
      </c>
      <c r="D532" s="19">
        <v>15</v>
      </c>
    </row>
    <row r="533" spans="1:4" x14ac:dyDescent="0.3">
      <c r="A533" s="5" t="str">
        <f>TEXT(Append1[[#This Row],[dteday]],"MMMM")</f>
        <v>January</v>
      </c>
      <c r="B533" s="5">
        <v>5</v>
      </c>
      <c r="C533" s="5">
        <v>79</v>
      </c>
      <c r="D533" s="20">
        <v>84</v>
      </c>
    </row>
    <row r="534" spans="1:4" x14ac:dyDescent="0.3">
      <c r="A534" s="4" t="str">
        <f>TEXT(Append1[[#This Row],[dteday]],"MMMM")</f>
        <v>January</v>
      </c>
      <c r="B534" s="4">
        <v>6</v>
      </c>
      <c r="C534" s="4">
        <v>171</v>
      </c>
      <c r="D534" s="19">
        <v>177</v>
      </c>
    </row>
    <row r="535" spans="1:4" x14ac:dyDescent="0.3">
      <c r="A535" s="5" t="str">
        <f>TEXT(Append1[[#This Row],[dteday]],"MMMM")</f>
        <v>January</v>
      </c>
      <c r="B535" s="5">
        <v>4</v>
      </c>
      <c r="C535" s="5">
        <v>98</v>
      </c>
      <c r="D535" s="20">
        <v>102</v>
      </c>
    </row>
    <row r="536" spans="1:4" x14ac:dyDescent="0.3">
      <c r="A536" s="4" t="str">
        <f>TEXT(Append1[[#This Row],[dteday]],"MMMM")</f>
        <v>January</v>
      </c>
      <c r="B536" s="4">
        <v>6</v>
      </c>
      <c r="C536" s="4">
        <v>34</v>
      </c>
      <c r="D536" s="19">
        <v>40</v>
      </c>
    </row>
    <row r="537" spans="1:4" x14ac:dyDescent="0.3">
      <c r="A537" s="5" t="str">
        <f>TEXT(Append1[[#This Row],[dteday]],"MMMM")</f>
        <v>January</v>
      </c>
      <c r="B537" s="5">
        <v>3</v>
      </c>
      <c r="C537" s="5">
        <v>43</v>
      </c>
      <c r="D537" s="20">
        <v>46</v>
      </c>
    </row>
    <row r="538" spans="1:4" x14ac:dyDescent="0.3">
      <c r="A538" s="4" t="str">
        <f>TEXT(Append1[[#This Row],[dteday]],"MMMM")</f>
        <v>January</v>
      </c>
      <c r="B538" s="4">
        <v>11</v>
      </c>
      <c r="C538" s="4">
        <v>52</v>
      </c>
      <c r="D538" s="19">
        <v>63</v>
      </c>
    </row>
    <row r="539" spans="1:4" x14ac:dyDescent="0.3">
      <c r="A539" s="5" t="str">
        <f>TEXT(Append1[[#This Row],[dteday]],"MMMM")</f>
        <v>January</v>
      </c>
      <c r="B539" s="5">
        <v>6</v>
      </c>
      <c r="C539" s="5">
        <v>54</v>
      </c>
      <c r="D539" s="20">
        <v>60</v>
      </c>
    </row>
    <row r="540" spans="1:4" x14ac:dyDescent="0.3">
      <c r="A540" s="4" t="str">
        <f>TEXT(Append1[[#This Row],[dteday]],"MMMM")</f>
        <v>January</v>
      </c>
      <c r="B540" s="4">
        <v>2</v>
      </c>
      <c r="C540" s="4">
        <v>43</v>
      </c>
      <c r="D540" s="19">
        <v>45</v>
      </c>
    </row>
    <row r="541" spans="1:4" x14ac:dyDescent="0.3">
      <c r="A541" s="5" t="str">
        <f>TEXT(Append1[[#This Row],[dteday]],"MMMM")</f>
        <v>January</v>
      </c>
      <c r="B541" s="5">
        <v>7</v>
      </c>
      <c r="C541" s="5">
        <v>50</v>
      </c>
      <c r="D541" s="20">
        <v>57</v>
      </c>
    </row>
    <row r="542" spans="1:4" x14ac:dyDescent="0.3">
      <c r="A542" s="4" t="str">
        <f>TEXT(Append1[[#This Row],[dteday]],"MMMM")</f>
        <v>January</v>
      </c>
      <c r="B542" s="4">
        <v>4</v>
      </c>
      <c r="C542" s="4">
        <v>66</v>
      </c>
      <c r="D542" s="19">
        <v>70</v>
      </c>
    </row>
    <row r="543" spans="1:4" x14ac:dyDescent="0.3">
      <c r="A543" s="5" t="str">
        <f>TEXT(Append1[[#This Row],[dteday]],"MMMM")</f>
        <v>January</v>
      </c>
      <c r="B543" s="5">
        <v>6</v>
      </c>
      <c r="C543" s="5">
        <v>178</v>
      </c>
      <c r="D543" s="20">
        <v>184</v>
      </c>
    </row>
    <row r="544" spans="1:4" x14ac:dyDescent="0.3">
      <c r="A544" s="4" t="str">
        <f>TEXT(Append1[[#This Row],[dteday]],"MMMM")</f>
        <v>January</v>
      </c>
      <c r="B544" s="4">
        <v>8</v>
      </c>
      <c r="C544" s="4">
        <v>145</v>
      </c>
      <c r="D544" s="19">
        <v>153</v>
      </c>
    </row>
    <row r="545" spans="1:4" x14ac:dyDescent="0.3">
      <c r="A545" s="5" t="str">
        <f>TEXT(Append1[[#This Row],[dteday]],"MMMM")</f>
        <v>January</v>
      </c>
      <c r="B545" s="5">
        <v>5</v>
      </c>
      <c r="C545" s="5">
        <v>101</v>
      </c>
      <c r="D545" s="20">
        <v>106</v>
      </c>
    </row>
    <row r="546" spans="1:4" x14ac:dyDescent="0.3">
      <c r="A546" s="4" t="str">
        <f>TEXT(Append1[[#This Row],[dteday]],"MMMM")</f>
        <v>January</v>
      </c>
      <c r="B546" s="4">
        <v>1</v>
      </c>
      <c r="C546" s="4">
        <v>80</v>
      </c>
      <c r="D546" s="19">
        <v>81</v>
      </c>
    </row>
    <row r="547" spans="1:4" x14ac:dyDescent="0.3">
      <c r="A547" s="5" t="str">
        <f>TEXT(Append1[[#This Row],[dteday]],"MMMM")</f>
        <v>January</v>
      </c>
      <c r="B547" s="5">
        <v>6</v>
      </c>
      <c r="C547" s="5">
        <v>53</v>
      </c>
      <c r="D547" s="20">
        <v>59</v>
      </c>
    </row>
    <row r="548" spans="1:4" x14ac:dyDescent="0.3">
      <c r="A548" s="4" t="str">
        <f>TEXT(Append1[[#This Row],[dteday]],"MMMM")</f>
        <v>January</v>
      </c>
      <c r="B548" s="4">
        <v>3</v>
      </c>
      <c r="C548" s="4">
        <v>32</v>
      </c>
      <c r="D548" s="19">
        <v>35</v>
      </c>
    </row>
    <row r="549" spans="1:4" x14ac:dyDescent="0.3">
      <c r="A549" s="5" t="str">
        <f>TEXT(Append1[[#This Row],[dteday]],"MMMM")</f>
        <v>January</v>
      </c>
      <c r="B549" s="5">
        <v>3</v>
      </c>
      <c r="C549" s="5">
        <v>21</v>
      </c>
      <c r="D549" s="20">
        <v>24</v>
      </c>
    </row>
    <row r="550" spans="1:4" x14ac:dyDescent="0.3">
      <c r="A550" s="4" t="str">
        <f>TEXT(Append1[[#This Row],[dteday]],"MMMM")</f>
        <v>January</v>
      </c>
      <c r="B550" s="4">
        <v>3</v>
      </c>
      <c r="C550" s="4">
        <v>6</v>
      </c>
      <c r="D550" s="19">
        <v>9</v>
      </c>
    </row>
    <row r="551" spans="1:4" x14ac:dyDescent="0.3">
      <c r="A551" s="5" t="str">
        <f>TEXT(Append1[[#This Row],[dteday]],"MMMM")</f>
        <v>January</v>
      </c>
      <c r="B551" s="5">
        <v>0</v>
      </c>
      <c r="C551" s="5">
        <v>5</v>
      </c>
      <c r="D551" s="20">
        <v>5</v>
      </c>
    </row>
    <row r="552" spans="1:4" x14ac:dyDescent="0.3">
      <c r="A552" s="4" t="str">
        <f>TEXT(Append1[[#This Row],[dteday]],"MMMM")</f>
        <v>January</v>
      </c>
      <c r="B552" s="4">
        <v>0</v>
      </c>
      <c r="C552" s="4">
        <v>2</v>
      </c>
      <c r="D552" s="19">
        <v>2</v>
      </c>
    </row>
    <row r="553" spans="1:4" x14ac:dyDescent="0.3">
      <c r="A553" s="5" t="str">
        <f>TEXT(Append1[[#This Row],[dteday]],"MMMM")</f>
        <v>January</v>
      </c>
      <c r="B553" s="5">
        <v>0</v>
      </c>
      <c r="C553" s="5">
        <v>1</v>
      </c>
      <c r="D553" s="20">
        <v>1</v>
      </c>
    </row>
    <row r="554" spans="1:4" x14ac:dyDescent="0.3">
      <c r="A554" s="4" t="str">
        <f>TEXT(Append1[[#This Row],[dteday]],"MMMM")</f>
        <v>January</v>
      </c>
      <c r="B554" s="4">
        <v>0</v>
      </c>
      <c r="C554" s="4">
        <v>9</v>
      </c>
      <c r="D554" s="19">
        <v>9</v>
      </c>
    </row>
    <row r="555" spans="1:4" x14ac:dyDescent="0.3">
      <c r="A555" s="5" t="str">
        <f>TEXT(Append1[[#This Row],[dteday]],"MMMM")</f>
        <v>January</v>
      </c>
      <c r="B555" s="5">
        <v>1</v>
      </c>
      <c r="C555" s="5">
        <v>35</v>
      </c>
      <c r="D555" s="20">
        <v>36</v>
      </c>
    </row>
    <row r="556" spans="1:4" x14ac:dyDescent="0.3">
      <c r="A556" s="4" t="str">
        <f>TEXT(Append1[[#This Row],[dteday]],"MMMM")</f>
        <v>January</v>
      </c>
      <c r="B556" s="4">
        <v>5</v>
      </c>
      <c r="C556" s="4">
        <v>103</v>
      </c>
      <c r="D556" s="19">
        <v>108</v>
      </c>
    </row>
    <row r="557" spans="1:4" x14ac:dyDescent="0.3">
      <c r="A557" s="5" t="str">
        <f>TEXT(Append1[[#This Row],[dteday]],"MMMM")</f>
        <v>January</v>
      </c>
      <c r="B557" s="5">
        <v>5</v>
      </c>
      <c r="C557" s="5">
        <v>233</v>
      </c>
      <c r="D557" s="20">
        <v>238</v>
      </c>
    </row>
    <row r="558" spans="1:4" x14ac:dyDescent="0.3">
      <c r="A558" s="4" t="str">
        <f>TEXT(Append1[[#This Row],[dteday]],"MMMM")</f>
        <v>January</v>
      </c>
      <c r="B558" s="4">
        <v>10</v>
      </c>
      <c r="C558" s="4">
        <v>134</v>
      </c>
      <c r="D558" s="19">
        <v>144</v>
      </c>
    </row>
    <row r="559" spans="1:4" x14ac:dyDescent="0.3">
      <c r="A559" s="5" t="str">
        <f>TEXT(Append1[[#This Row],[dteday]],"MMMM")</f>
        <v>January</v>
      </c>
      <c r="B559" s="5">
        <v>6</v>
      </c>
      <c r="C559" s="5">
        <v>49</v>
      </c>
      <c r="D559" s="20">
        <v>55</v>
      </c>
    </row>
    <row r="560" spans="1:4" x14ac:dyDescent="0.3">
      <c r="A560" s="4" t="str">
        <f>TEXT(Append1[[#This Row],[dteday]],"MMMM")</f>
        <v>January</v>
      </c>
      <c r="B560" s="4">
        <v>6</v>
      </c>
      <c r="C560" s="4">
        <v>55</v>
      </c>
      <c r="D560" s="19">
        <v>61</v>
      </c>
    </row>
    <row r="561" spans="1:4" x14ac:dyDescent="0.3">
      <c r="A561" s="5" t="str">
        <f>TEXT(Append1[[#This Row],[dteday]],"MMMM")</f>
        <v>January</v>
      </c>
      <c r="B561" s="5">
        <v>21</v>
      </c>
      <c r="C561" s="5">
        <v>85</v>
      </c>
      <c r="D561" s="20">
        <v>106</v>
      </c>
    </row>
    <row r="562" spans="1:4" x14ac:dyDescent="0.3">
      <c r="A562" s="4" t="str">
        <f>TEXT(Append1[[#This Row],[dteday]],"MMMM")</f>
        <v>January</v>
      </c>
      <c r="B562" s="4">
        <v>21</v>
      </c>
      <c r="C562" s="4">
        <v>72</v>
      </c>
      <c r="D562" s="19">
        <v>93</v>
      </c>
    </row>
    <row r="563" spans="1:4" x14ac:dyDescent="0.3">
      <c r="A563" s="5" t="str">
        <f>TEXT(Append1[[#This Row],[dteday]],"MMMM")</f>
        <v>January</v>
      </c>
      <c r="B563" s="5">
        <v>11</v>
      </c>
      <c r="C563" s="5">
        <v>57</v>
      </c>
      <c r="D563" s="20">
        <v>68</v>
      </c>
    </row>
    <row r="564" spans="1:4" x14ac:dyDescent="0.3">
      <c r="A564" s="4" t="str">
        <f>TEXT(Append1[[#This Row],[dteday]],"MMMM")</f>
        <v>January</v>
      </c>
      <c r="B564" s="4">
        <v>21</v>
      </c>
      <c r="C564" s="4">
        <v>63</v>
      </c>
      <c r="D564" s="19">
        <v>84</v>
      </c>
    </row>
    <row r="565" spans="1:4" x14ac:dyDescent="0.3">
      <c r="A565" s="5" t="str">
        <f>TEXT(Append1[[#This Row],[dteday]],"MMMM")</f>
        <v>January</v>
      </c>
      <c r="B565" s="5">
        <v>14</v>
      </c>
      <c r="C565" s="5">
        <v>102</v>
      </c>
      <c r="D565" s="20">
        <v>116</v>
      </c>
    </row>
    <row r="566" spans="1:4" x14ac:dyDescent="0.3">
      <c r="A566" s="4" t="str">
        <f>TEXT(Append1[[#This Row],[dteday]],"MMMM")</f>
        <v>January</v>
      </c>
      <c r="B566" s="4">
        <v>14</v>
      </c>
      <c r="C566" s="4">
        <v>208</v>
      </c>
      <c r="D566" s="19">
        <v>222</v>
      </c>
    </row>
    <row r="567" spans="1:4" x14ac:dyDescent="0.3">
      <c r="A567" s="5" t="str">
        <f>TEXT(Append1[[#This Row],[dteday]],"MMMM")</f>
        <v>January</v>
      </c>
      <c r="B567" s="5">
        <v>7</v>
      </c>
      <c r="C567" s="5">
        <v>218</v>
      </c>
      <c r="D567" s="20">
        <v>225</v>
      </c>
    </row>
    <row r="568" spans="1:4" x14ac:dyDescent="0.3">
      <c r="A568" s="4" t="str">
        <f>TEXT(Append1[[#This Row],[dteday]],"MMMM")</f>
        <v>January</v>
      </c>
      <c r="B568" s="4">
        <v>13</v>
      </c>
      <c r="C568" s="4">
        <v>133</v>
      </c>
      <c r="D568" s="19">
        <v>146</v>
      </c>
    </row>
    <row r="569" spans="1:4" x14ac:dyDescent="0.3">
      <c r="A569" s="5" t="str">
        <f>TEXT(Append1[[#This Row],[dteday]],"MMMM")</f>
        <v>January</v>
      </c>
      <c r="B569" s="5">
        <v>16</v>
      </c>
      <c r="C569" s="5">
        <v>103</v>
      </c>
      <c r="D569" s="20">
        <v>119</v>
      </c>
    </row>
    <row r="570" spans="1:4" x14ac:dyDescent="0.3">
      <c r="A570" s="4" t="str">
        <f>TEXT(Append1[[#This Row],[dteday]],"MMMM")</f>
        <v>January</v>
      </c>
      <c r="B570" s="4">
        <v>5</v>
      </c>
      <c r="C570" s="4">
        <v>40</v>
      </c>
      <c r="D570" s="19">
        <v>45</v>
      </c>
    </row>
    <row r="571" spans="1:4" x14ac:dyDescent="0.3">
      <c r="A571" s="5" t="str">
        <f>TEXT(Append1[[#This Row],[dteday]],"MMMM")</f>
        <v>January</v>
      </c>
      <c r="B571" s="5">
        <v>4</v>
      </c>
      <c r="C571" s="5">
        <v>49</v>
      </c>
      <c r="D571" s="20">
        <v>53</v>
      </c>
    </row>
    <row r="572" spans="1:4" x14ac:dyDescent="0.3">
      <c r="A572" s="4" t="str">
        <f>TEXT(Append1[[#This Row],[dteday]],"MMMM")</f>
        <v>January</v>
      </c>
      <c r="B572" s="4">
        <v>3</v>
      </c>
      <c r="C572" s="4">
        <v>37</v>
      </c>
      <c r="D572" s="19">
        <v>40</v>
      </c>
    </row>
    <row r="573" spans="1:4" x14ac:dyDescent="0.3">
      <c r="A573" s="5" t="str">
        <f>TEXT(Append1[[#This Row],[dteday]],"MMMM")</f>
        <v>January</v>
      </c>
      <c r="B573" s="5">
        <v>3</v>
      </c>
      <c r="C573" s="5">
        <v>14</v>
      </c>
      <c r="D573" s="20">
        <v>17</v>
      </c>
    </row>
    <row r="574" spans="1:4" x14ac:dyDescent="0.3">
      <c r="A574" s="4" t="str">
        <f>TEXT(Append1[[#This Row],[dteday]],"MMMM")</f>
        <v>January</v>
      </c>
      <c r="B574" s="4">
        <v>0</v>
      </c>
      <c r="C574" s="4">
        <v>5</v>
      </c>
      <c r="D574" s="19">
        <v>5</v>
      </c>
    </row>
    <row r="575" spans="1:4" x14ac:dyDescent="0.3">
      <c r="A575" s="5" t="str">
        <f>TEXT(Append1[[#This Row],[dteday]],"MMMM")</f>
        <v>January</v>
      </c>
      <c r="B575" s="5">
        <v>3</v>
      </c>
      <c r="C575" s="5">
        <v>7</v>
      </c>
      <c r="D575" s="20">
        <v>10</v>
      </c>
    </row>
    <row r="576" spans="1:4" x14ac:dyDescent="0.3">
      <c r="A576" s="4" t="str">
        <f>TEXT(Append1[[#This Row],[dteday]],"MMMM")</f>
        <v>January</v>
      </c>
      <c r="B576" s="4">
        <v>0</v>
      </c>
      <c r="C576" s="4">
        <v>1</v>
      </c>
      <c r="D576" s="19">
        <v>1</v>
      </c>
    </row>
    <row r="577" spans="1:4" x14ac:dyDescent="0.3">
      <c r="A577" s="5" t="str">
        <f>TEXT(Append1[[#This Row],[dteday]],"MMMM")</f>
        <v>January</v>
      </c>
      <c r="B577" s="5">
        <v>0</v>
      </c>
      <c r="C577" s="5">
        <v>8</v>
      </c>
      <c r="D577" s="20">
        <v>8</v>
      </c>
    </row>
    <row r="578" spans="1:4" x14ac:dyDescent="0.3">
      <c r="A578" s="4" t="str">
        <f>TEXT(Append1[[#This Row],[dteday]],"MMMM")</f>
        <v>January</v>
      </c>
      <c r="B578" s="4">
        <v>1</v>
      </c>
      <c r="C578" s="4">
        <v>29</v>
      </c>
      <c r="D578" s="19">
        <v>30</v>
      </c>
    </row>
    <row r="579" spans="1:4" x14ac:dyDescent="0.3">
      <c r="A579" s="5" t="str">
        <f>TEXT(Append1[[#This Row],[dteday]],"MMMM")</f>
        <v>January</v>
      </c>
      <c r="B579" s="5">
        <v>3</v>
      </c>
      <c r="C579" s="5">
        <v>69</v>
      </c>
      <c r="D579" s="20">
        <v>72</v>
      </c>
    </row>
    <row r="580" spans="1:4" x14ac:dyDescent="0.3">
      <c r="A580" s="4" t="str">
        <f>TEXT(Append1[[#This Row],[dteday]],"MMMM")</f>
        <v>January</v>
      </c>
      <c r="B580" s="4">
        <v>3</v>
      </c>
      <c r="C580" s="4">
        <v>55</v>
      </c>
      <c r="D580" s="19">
        <v>58</v>
      </c>
    </row>
    <row r="581" spans="1:4" x14ac:dyDescent="0.3">
      <c r="A581" s="5" t="str">
        <f>TEXT(Append1[[#This Row],[dteday]],"MMMM")</f>
        <v>January</v>
      </c>
      <c r="B581" s="5">
        <v>2</v>
      </c>
      <c r="C581" s="5">
        <v>26</v>
      </c>
      <c r="D581" s="20">
        <v>28</v>
      </c>
    </row>
    <row r="582" spans="1:4" x14ac:dyDescent="0.3">
      <c r="A582" s="4" t="str">
        <f>TEXT(Append1[[#This Row],[dteday]],"MMMM")</f>
        <v>January</v>
      </c>
      <c r="B582" s="4">
        <v>6</v>
      </c>
      <c r="C582" s="4">
        <v>35</v>
      </c>
      <c r="D582" s="19">
        <v>41</v>
      </c>
    </row>
    <row r="583" spans="1:4" x14ac:dyDescent="0.3">
      <c r="A583" s="5" t="str">
        <f>TEXT(Append1[[#This Row],[dteday]],"MMMM")</f>
        <v>January</v>
      </c>
      <c r="B583" s="5">
        <v>7</v>
      </c>
      <c r="C583" s="5">
        <v>41</v>
      </c>
      <c r="D583" s="20">
        <v>48</v>
      </c>
    </row>
    <row r="584" spans="1:4" x14ac:dyDescent="0.3">
      <c r="A584" s="4" t="str">
        <f>TEXT(Append1[[#This Row],[dteday]],"MMMM")</f>
        <v>January</v>
      </c>
      <c r="B584" s="4">
        <v>4</v>
      </c>
      <c r="C584" s="4">
        <v>43</v>
      </c>
      <c r="D584" s="19">
        <v>47</v>
      </c>
    </row>
    <row r="585" spans="1:4" x14ac:dyDescent="0.3">
      <c r="A585" s="5" t="str">
        <f>TEXT(Append1[[#This Row],[dteday]],"MMMM")</f>
        <v>January</v>
      </c>
      <c r="B585" s="5">
        <v>0</v>
      </c>
      <c r="C585" s="5">
        <v>36</v>
      </c>
      <c r="D585" s="20">
        <v>36</v>
      </c>
    </row>
    <row r="586" spans="1:4" x14ac:dyDescent="0.3">
      <c r="A586" s="4" t="str">
        <f>TEXT(Append1[[#This Row],[dteday]],"MMMM")</f>
        <v>January</v>
      </c>
      <c r="B586" s="4">
        <v>1</v>
      </c>
      <c r="C586" s="4">
        <v>42</v>
      </c>
      <c r="D586" s="19">
        <v>43</v>
      </c>
    </row>
    <row r="587" spans="1:4" x14ac:dyDescent="0.3">
      <c r="A587" s="5" t="str">
        <f>TEXT(Append1[[#This Row],[dteday]],"MMMM")</f>
        <v>January</v>
      </c>
      <c r="B587" s="5">
        <v>1</v>
      </c>
      <c r="C587" s="5">
        <v>35</v>
      </c>
      <c r="D587" s="20">
        <v>36</v>
      </c>
    </row>
    <row r="588" spans="1:4" x14ac:dyDescent="0.3">
      <c r="A588" s="4" t="str">
        <f>TEXT(Append1[[#This Row],[dteday]],"MMMM")</f>
        <v>January</v>
      </c>
      <c r="B588" s="4">
        <v>0</v>
      </c>
      <c r="C588" s="4">
        <v>26</v>
      </c>
      <c r="D588" s="19">
        <v>26</v>
      </c>
    </row>
    <row r="589" spans="1:4" x14ac:dyDescent="0.3">
      <c r="A589" s="5" t="str">
        <f>TEXT(Append1[[#This Row],[dteday]],"MMMM")</f>
        <v>January</v>
      </c>
      <c r="B589" s="5">
        <v>1</v>
      </c>
      <c r="C589" s="5">
        <v>23</v>
      </c>
      <c r="D589" s="20">
        <v>24</v>
      </c>
    </row>
    <row r="590" spans="1:4" x14ac:dyDescent="0.3">
      <c r="A590" s="4" t="str">
        <f>TEXT(Append1[[#This Row],[dteday]],"MMMM")</f>
        <v>January</v>
      </c>
      <c r="B590" s="4">
        <v>2</v>
      </c>
      <c r="C590" s="4">
        <v>82</v>
      </c>
      <c r="D590" s="19">
        <v>84</v>
      </c>
    </row>
    <row r="591" spans="1:4" x14ac:dyDescent="0.3">
      <c r="A591" s="5" t="str">
        <f>TEXT(Append1[[#This Row],[dteday]],"MMMM")</f>
        <v>January</v>
      </c>
      <c r="B591" s="5">
        <v>3</v>
      </c>
      <c r="C591" s="5">
        <v>101</v>
      </c>
      <c r="D591" s="20">
        <v>104</v>
      </c>
    </row>
    <row r="592" spans="1:4" x14ac:dyDescent="0.3">
      <c r="A592" s="4" t="str">
        <f>TEXT(Append1[[#This Row],[dteday]],"MMMM")</f>
        <v>January</v>
      </c>
      <c r="B592" s="4">
        <v>3</v>
      </c>
      <c r="C592" s="4">
        <v>76</v>
      </c>
      <c r="D592" s="19">
        <v>79</v>
      </c>
    </row>
    <row r="593" spans="1:4" x14ac:dyDescent="0.3">
      <c r="A593" s="5" t="str">
        <f>TEXT(Append1[[#This Row],[dteday]],"MMMM")</f>
        <v>January</v>
      </c>
      <c r="B593" s="5">
        <v>4</v>
      </c>
      <c r="C593" s="5">
        <v>55</v>
      </c>
      <c r="D593" s="20">
        <v>59</v>
      </c>
    </row>
    <row r="594" spans="1:4" x14ac:dyDescent="0.3">
      <c r="A594" s="4" t="str">
        <f>TEXT(Append1[[#This Row],[dteday]],"MMMM")</f>
        <v>January</v>
      </c>
      <c r="B594" s="4">
        <v>2</v>
      </c>
      <c r="C594" s="4">
        <v>36</v>
      </c>
      <c r="D594" s="19">
        <v>38</v>
      </c>
    </row>
    <row r="595" spans="1:4" x14ac:dyDescent="0.3">
      <c r="A595" s="5" t="str">
        <f>TEXT(Append1[[#This Row],[dteday]],"MMMM")</f>
        <v>January</v>
      </c>
      <c r="B595" s="5">
        <v>0</v>
      </c>
      <c r="C595" s="5">
        <v>27</v>
      </c>
      <c r="D595" s="20">
        <v>27</v>
      </c>
    </row>
    <row r="596" spans="1:4" x14ac:dyDescent="0.3">
      <c r="A596" s="4" t="str">
        <f>TEXT(Append1[[#This Row],[dteday]],"MMMM")</f>
        <v>January</v>
      </c>
      <c r="B596" s="4">
        <v>0</v>
      </c>
      <c r="C596" s="4">
        <v>16</v>
      </c>
      <c r="D596" s="19">
        <v>16</v>
      </c>
    </row>
    <row r="597" spans="1:4" x14ac:dyDescent="0.3">
      <c r="A597" s="5" t="str">
        <f>TEXT(Append1[[#This Row],[dteday]],"MMMM")</f>
        <v>January</v>
      </c>
      <c r="B597" s="5">
        <v>0</v>
      </c>
      <c r="C597" s="5">
        <v>9</v>
      </c>
      <c r="D597" s="20">
        <v>9</v>
      </c>
    </row>
    <row r="598" spans="1:4" x14ac:dyDescent="0.3">
      <c r="A598" s="4" t="str">
        <f>TEXT(Append1[[#This Row],[dteday]],"MMMM")</f>
        <v>January</v>
      </c>
      <c r="B598" s="4">
        <v>1</v>
      </c>
      <c r="C598" s="4">
        <v>2</v>
      </c>
      <c r="D598" s="19">
        <v>3</v>
      </c>
    </row>
    <row r="599" spans="1:4" x14ac:dyDescent="0.3">
      <c r="A599" s="5" t="str">
        <f>TEXT(Append1[[#This Row],[dteday]],"MMMM")</f>
        <v>January</v>
      </c>
      <c r="B599" s="5">
        <v>0</v>
      </c>
      <c r="C599" s="5">
        <v>2</v>
      </c>
      <c r="D599" s="20">
        <v>2</v>
      </c>
    </row>
    <row r="600" spans="1:4" x14ac:dyDescent="0.3">
      <c r="A600" s="4" t="str">
        <f>TEXT(Append1[[#This Row],[dteday]],"MMMM")</f>
        <v>January</v>
      </c>
      <c r="B600" s="4">
        <v>1</v>
      </c>
      <c r="C600" s="4">
        <v>0</v>
      </c>
      <c r="D600" s="19">
        <v>1</v>
      </c>
    </row>
    <row r="601" spans="1:4" x14ac:dyDescent="0.3">
      <c r="A601" s="5" t="str">
        <f>TEXT(Append1[[#This Row],[dteday]],"MMMM")</f>
        <v>January</v>
      </c>
      <c r="B601" s="5">
        <v>0</v>
      </c>
      <c r="C601" s="5">
        <v>4</v>
      </c>
      <c r="D601" s="20">
        <v>4</v>
      </c>
    </row>
    <row r="602" spans="1:4" x14ac:dyDescent="0.3">
      <c r="A602" s="4" t="str">
        <f>TEXT(Append1[[#This Row],[dteday]],"MMMM")</f>
        <v>January</v>
      </c>
      <c r="B602" s="4">
        <v>0</v>
      </c>
      <c r="C602" s="4">
        <v>16</v>
      </c>
      <c r="D602" s="19">
        <v>16</v>
      </c>
    </row>
    <row r="603" spans="1:4" x14ac:dyDescent="0.3">
      <c r="A603" s="5" t="str">
        <f>TEXT(Append1[[#This Row],[dteday]],"MMMM")</f>
        <v>January</v>
      </c>
      <c r="B603" s="5">
        <v>2</v>
      </c>
      <c r="C603" s="5">
        <v>58</v>
      </c>
      <c r="D603" s="20">
        <v>60</v>
      </c>
    </row>
    <row r="604" spans="1:4" x14ac:dyDescent="0.3">
      <c r="A604" s="4" t="str">
        <f>TEXT(Append1[[#This Row],[dteday]],"MMMM")</f>
        <v>January</v>
      </c>
      <c r="B604" s="4">
        <v>2</v>
      </c>
      <c r="C604" s="4">
        <v>155</v>
      </c>
      <c r="D604" s="19">
        <v>157</v>
      </c>
    </row>
    <row r="605" spans="1:4" x14ac:dyDescent="0.3">
      <c r="A605" s="5" t="str">
        <f>TEXT(Append1[[#This Row],[dteday]],"MMMM")</f>
        <v>January</v>
      </c>
      <c r="B605" s="5">
        <v>6</v>
      </c>
      <c r="C605" s="5">
        <v>95</v>
      </c>
      <c r="D605" s="20">
        <v>101</v>
      </c>
    </row>
    <row r="606" spans="1:4" x14ac:dyDescent="0.3">
      <c r="A606" s="4" t="str">
        <f>TEXT(Append1[[#This Row],[dteday]],"MMMM")</f>
        <v>January</v>
      </c>
      <c r="B606" s="4">
        <v>0</v>
      </c>
      <c r="C606" s="4">
        <v>49</v>
      </c>
      <c r="D606" s="19">
        <v>49</v>
      </c>
    </row>
    <row r="607" spans="1:4" x14ac:dyDescent="0.3">
      <c r="A607" s="5" t="str">
        <f>TEXT(Append1[[#This Row],[dteday]],"MMMM")</f>
        <v>January</v>
      </c>
      <c r="B607" s="5">
        <v>0</v>
      </c>
      <c r="C607" s="5">
        <v>30</v>
      </c>
      <c r="D607" s="20">
        <v>30</v>
      </c>
    </row>
    <row r="608" spans="1:4" x14ac:dyDescent="0.3">
      <c r="A608" s="4" t="str">
        <f>TEXT(Append1[[#This Row],[dteday]],"MMMM")</f>
        <v>January</v>
      </c>
      <c r="B608" s="4">
        <v>1</v>
      </c>
      <c r="C608" s="4">
        <v>28</v>
      </c>
      <c r="D608" s="19">
        <v>29</v>
      </c>
    </row>
    <row r="609" spans="1:4" x14ac:dyDescent="0.3">
      <c r="A609" s="5" t="str">
        <f>TEXT(Append1[[#This Row],[dteday]],"MMMM")</f>
        <v>January</v>
      </c>
      <c r="B609" s="5">
        <v>0</v>
      </c>
      <c r="C609" s="5">
        <v>31</v>
      </c>
      <c r="D609" s="20">
        <v>31</v>
      </c>
    </row>
    <row r="610" spans="1:4" x14ac:dyDescent="0.3">
      <c r="A610" s="4" t="str">
        <f>TEXT(Append1[[#This Row],[dteday]],"MMMM")</f>
        <v>January</v>
      </c>
      <c r="B610" s="4">
        <v>2</v>
      </c>
      <c r="C610" s="4">
        <v>36</v>
      </c>
      <c r="D610" s="19">
        <v>38</v>
      </c>
    </row>
    <row r="611" spans="1:4" x14ac:dyDescent="0.3">
      <c r="A611" s="5" t="str">
        <f>TEXT(Append1[[#This Row],[dteday]],"MMMM")</f>
        <v>January</v>
      </c>
      <c r="B611" s="5">
        <v>1</v>
      </c>
      <c r="C611" s="5">
        <v>40</v>
      </c>
      <c r="D611" s="20">
        <v>41</v>
      </c>
    </row>
    <row r="612" spans="1:4" x14ac:dyDescent="0.3">
      <c r="A612" s="4" t="str">
        <f>TEXT(Append1[[#This Row],[dteday]],"MMMM")</f>
        <v>January</v>
      </c>
      <c r="B612" s="4">
        <v>10</v>
      </c>
      <c r="C612" s="4">
        <v>70</v>
      </c>
      <c r="D612" s="19">
        <v>80</v>
      </c>
    </row>
    <row r="613" spans="1:4" x14ac:dyDescent="0.3">
      <c r="A613" s="5" t="str">
        <f>TEXT(Append1[[#This Row],[dteday]],"MMMM")</f>
        <v>January</v>
      </c>
      <c r="B613" s="5">
        <v>2</v>
      </c>
      <c r="C613" s="5">
        <v>147</v>
      </c>
      <c r="D613" s="20">
        <v>149</v>
      </c>
    </row>
    <row r="614" spans="1:4" x14ac:dyDescent="0.3">
      <c r="A614" s="4" t="str">
        <f>TEXT(Append1[[#This Row],[dteday]],"MMMM")</f>
        <v>January</v>
      </c>
      <c r="B614" s="4">
        <v>2</v>
      </c>
      <c r="C614" s="4">
        <v>107</v>
      </c>
      <c r="D614" s="19">
        <v>109</v>
      </c>
    </row>
    <row r="615" spans="1:4" x14ac:dyDescent="0.3">
      <c r="A615" s="5" t="str">
        <f>TEXT(Append1[[#This Row],[dteday]],"MMMM")</f>
        <v>January</v>
      </c>
      <c r="B615" s="5">
        <v>5</v>
      </c>
      <c r="C615" s="5">
        <v>84</v>
      </c>
      <c r="D615" s="20">
        <v>89</v>
      </c>
    </row>
    <row r="616" spans="1:4" x14ac:dyDescent="0.3">
      <c r="A616" s="4" t="str">
        <f>TEXT(Append1[[#This Row],[dteday]],"MMMM")</f>
        <v>January</v>
      </c>
      <c r="B616" s="4">
        <v>1</v>
      </c>
      <c r="C616" s="4">
        <v>61</v>
      </c>
      <c r="D616" s="19">
        <v>62</v>
      </c>
    </row>
    <row r="617" spans="1:4" x14ac:dyDescent="0.3">
      <c r="A617" s="5" t="str">
        <f>TEXT(Append1[[#This Row],[dteday]],"MMMM")</f>
        <v>January</v>
      </c>
      <c r="B617" s="5">
        <v>1</v>
      </c>
      <c r="C617" s="5">
        <v>57</v>
      </c>
      <c r="D617" s="20">
        <v>58</v>
      </c>
    </row>
    <row r="618" spans="1:4" x14ac:dyDescent="0.3">
      <c r="A618" s="4" t="str">
        <f>TEXT(Append1[[#This Row],[dteday]],"MMMM")</f>
        <v>January</v>
      </c>
      <c r="B618" s="4">
        <v>0</v>
      </c>
      <c r="C618" s="4">
        <v>26</v>
      </c>
      <c r="D618" s="19">
        <v>26</v>
      </c>
    </row>
    <row r="619" spans="1:4" x14ac:dyDescent="0.3">
      <c r="A619" s="5" t="str">
        <f>TEXT(Append1[[#This Row],[dteday]],"MMMM")</f>
        <v>January</v>
      </c>
      <c r="B619" s="5">
        <v>1</v>
      </c>
      <c r="C619" s="5">
        <v>22</v>
      </c>
      <c r="D619" s="20">
        <v>23</v>
      </c>
    </row>
    <row r="620" spans="1:4" x14ac:dyDescent="0.3">
      <c r="A620" s="4" t="str">
        <f>TEXT(Append1[[#This Row],[dteday]],"MMMM")</f>
        <v>January</v>
      </c>
      <c r="B620" s="4">
        <v>2</v>
      </c>
      <c r="C620" s="4">
        <v>26</v>
      </c>
      <c r="D620" s="19">
        <v>28</v>
      </c>
    </row>
    <row r="621" spans="1:4" x14ac:dyDescent="0.3">
      <c r="A621" s="5" t="str">
        <f>TEXT(Append1[[#This Row],[dteday]],"MMMM")</f>
        <v>January</v>
      </c>
      <c r="B621" s="5">
        <v>0</v>
      </c>
      <c r="C621" s="5">
        <v>20</v>
      </c>
      <c r="D621" s="20">
        <v>20</v>
      </c>
    </row>
    <row r="622" spans="1:4" x14ac:dyDescent="0.3">
      <c r="A622" s="4" t="str">
        <f>TEXT(Append1[[#This Row],[dteday]],"MMMM")</f>
        <v>January</v>
      </c>
      <c r="B622" s="4">
        <v>0</v>
      </c>
      <c r="C622" s="4">
        <v>15</v>
      </c>
      <c r="D622" s="19">
        <v>15</v>
      </c>
    </row>
    <row r="623" spans="1:4" x14ac:dyDescent="0.3">
      <c r="A623" s="5" t="str">
        <f>TEXT(Append1[[#This Row],[dteday]],"MMMM")</f>
        <v>January</v>
      </c>
      <c r="B623" s="5">
        <v>3</v>
      </c>
      <c r="C623" s="5">
        <v>5</v>
      </c>
      <c r="D623" s="20">
        <v>8</v>
      </c>
    </row>
    <row r="624" spans="1:4" x14ac:dyDescent="0.3">
      <c r="A624" s="4" t="str">
        <f>TEXT(Append1[[#This Row],[dteday]],"MMMM")</f>
        <v>January</v>
      </c>
      <c r="B624" s="4">
        <v>1</v>
      </c>
      <c r="C624" s="4">
        <v>2</v>
      </c>
      <c r="D624" s="19">
        <v>3</v>
      </c>
    </row>
    <row r="625" spans="1:4" x14ac:dyDescent="0.3">
      <c r="A625" s="5" t="str">
        <f>TEXT(Append1[[#This Row],[dteday]],"MMMM")</f>
        <v>January</v>
      </c>
      <c r="B625" s="5">
        <v>0</v>
      </c>
      <c r="C625" s="5">
        <v>2</v>
      </c>
      <c r="D625" s="20">
        <v>2</v>
      </c>
    </row>
    <row r="626" spans="1:4" x14ac:dyDescent="0.3">
      <c r="A626" s="4" t="str">
        <f>TEXT(Append1[[#This Row],[dteday]],"MMMM")</f>
        <v>January</v>
      </c>
      <c r="B626" s="4">
        <v>1</v>
      </c>
      <c r="C626" s="4">
        <v>4</v>
      </c>
      <c r="D626" s="19">
        <v>5</v>
      </c>
    </row>
    <row r="627" spans="1:4" x14ac:dyDescent="0.3">
      <c r="A627" s="5" t="str">
        <f>TEXT(Append1[[#This Row],[dteday]],"MMMM")</f>
        <v>January</v>
      </c>
      <c r="B627" s="5">
        <v>3</v>
      </c>
      <c r="C627" s="5">
        <v>31</v>
      </c>
      <c r="D627" s="20">
        <v>34</v>
      </c>
    </row>
    <row r="628" spans="1:4" x14ac:dyDescent="0.3">
      <c r="A628" s="4" t="str">
        <f>TEXT(Append1[[#This Row],[dteday]],"MMMM")</f>
        <v>January</v>
      </c>
      <c r="B628" s="4">
        <v>0</v>
      </c>
      <c r="C628" s="4">
        <v>34</v>
      </c>
      <c r="D628" s="19">
        <v>34</v>
      </c>
    </row>
    <row r="629" spans="1:4" x14ac:dyDescent="0.3">
      <c r="A629" s="5" t="str">
        <f>TEXT(Append1[[#This Row],[dteday]],"MMMM")</f>
        <v>January</v>
      </c>
      <c r="B629" s="5">
        <v>4</v>
      </c>
      <c r="C629" s="5">
        <v>51</v>
      </c>
      <c r="D629" s="20">
        <v>55</v>
      </c>
    </row>
    <row r="630" spans="1:4" x14ac:dyDescent="0.3">
      <c r="A630" s="4" t="str">
        <f>TEXT(Append1[[#This Row],[dteday]],"MMMM")</f>
        <v>January</v>
      </c>
      <c r="B630" s="4">
        <v>4</v>
      </c>
      <c r="C630" s="4">
        <v>60</v>
      </c>
      <c r="D630" s="19">
        <v>64</v>
      </c>
    </row>
    <row r="631" spans="1:4" x14ac:dyDescent="0.3">
      <c r="A631" s="5" t="str">
        <f>TEXT(Append1[[#This Row],[dteday]],"MMMM")</f>
        <v>January</v>
      </c>
      <c r="B631" s="5">
        <v>12</v>
      </c>
      <c r="C631" s="5">
        <v>66</v>
      </c>
      <c r="D631" s="20">
        <v>78</v>
      </c>
    </row>
    <row r="632" spans="1:4" x14ac:dyDescent="0.3">
      <c r="A632" s="4" t="str">
        <f>TEXT(Append1[[#This Row],[dteday]],"MMMM")</f>
        <v>January</v>
      </c>
      <c r="B632" s="4">
        <v>9</v>
      </c>
      <c r="C632" s="4">
        <v>56</v>
      </c>
      <c r="D632" s="19">
        <v>65</v>
      </c>
    </row>
    <row r="633" spans="1:4" x14ac:dyDescent="0.3">
      <c r="A633" s="5" t="str">
        <f>TEXT(Append1[[#This Row],[dteday]],"MMMM")</f>
        <v>January</v>
      </c>
      <c r="B633" s="5">
        <v>10</v>
      </c>
      <c r="C633" s="5">
        <v>89</v>
      </c>
      <c r="D633" s="20">
        <v>99</v>
      </c>
    </row>
    <row r="634" spans="1:4" x14ac:dyDescent="0.3">
      <c r="A634" s="4" t="str">
        <f>TEXT(Append1[[#This Row],[dteday]],"MMMM")</f>
        <v>January</v>
      </c>
      <c r="B634" s="4">
        <v>22</v>
      </c>
      <c r="C634" s="4">
        <v>98</v>
      </c>
      <c r="D634" s="19">
        <v>120</v>
      </c>
    </row>
    <row r="635" spans="1:4" x14ac:dyDescent="0.3">
      <c r="A635" s="5" t="str">
        <f>TEXT(Append1[[#This Row],[dteday]],"MMMM")</f>
        <v>January</v>
      </c>
      <c r="B635" s="5">
        <v>19</v>
      </c>
      <c r="C635" s="5">
        <v>88</v>
      </c>
      <c r="D635" s="20">
        <v>107</v>
      </c>
    </row>
    <row r="636" spans="1:4" x14ac:dyDescent="0.3">
      <c r="A636" s="4" t="str">
        <f>TEXT(Append1[[#This Row],[dteday]],"MMMM")</f>
        <v>January</v>
      </c>
      <c r="B636" s="4">
        <v>9</v>
      </c>
      <c r="C636" s="4">
        <v>82</v>
      </c>
      <c r="D636" s="19">
        <v>91</v>
      </c>
    </row>
    <row r="637" spans="1:4" x14ac:dyDescent="0.3">
      <c r="A637" s="5" t="str">
        <f>TEXT(Append1[[#This Row],[dteday]],"MMMM")</f>
        <v>January</v>
      </c>
      <c r="B637" s="5">
        <v>9</v>
      </c>
      <c r="C637" s="5">
        <v>59</v>
      </c>
      <c r="D637" s="20">
        <v>68</v>
      </c>
    </row>
    <row r="638" spans="1:4" x14ac:dyDescent="0.3">
      <c r="A638" s="4" t="str">
        <f>TEXT(Append1[[#This Row],[dteday]],"MMMM")</f>
        <v>January</v>
      </c>
      <c r="B638" s="4">
        <v>6</v>
      </c>
      <c r="C638" s="4">
        <v>52</v>
      </c>
      <c r="D638" s="19">
        <v>58</v>
      </c>
    </row>
    <row r="639" spans="1:4" x14ac:dyDescent="0.3">
      <c r="A639" s="5" t="str">
        <f>TEXT(Append1[[#This Row],[dteday]],"MMMM")</f>
        <v>January</v>
      </c>
      <c r="B639" s="5">
        <v>1</v>
      </c>
      <c r="C639" s="5">
        <v>42</v>
      </c>
      <c r="D639" s="20">
        <v>43</v>
      </c>
    </row>
    <row r="640" spans="1:4" x14ac:dyDescent="0.3">
      <c r="A640" s="4" t="str">
        <f>TEXT(Append1[[#This Row],[dteday]],"MMMM")</f>
        <v>January</v>
      </c>
      <c r="B640" s="4">
        <v>1</v>
      </c>
      <c r="C640" s="4">
        <v>35</v>
      </c>
      <c r="D640" s="19">
        <v>36</v>
      </c>
    </row>
    <row r="641" spans="1:4" x14ac:dyDescent="0.3">
      <c r="A641" s="5" t="str">
        <f>TEXT(Append1[[#This Row],[dteday]],"MMMM")</f>
        <v>January</v>
      </c>
      <c r="B641" s="5">
        <v>4</v>
      </c>
      <c r="C641" s="5">
        <v>28</v>
      </c>
      <c r="D641" s="20">
        <v>32</v>
      </c>
    </row>
    <row r="642" spans="1:4" x14ac:dyDescent="0.3">
      <c r="A642" s="4" t="str">
        <f>TEXT(Append1[[#This Row],[dteday]],"MMMM")</f>
        <v>January</v>
      </c>
      <c r="B642" s="4">
        <v>3</v>
      </c>
      <c r="C642" s="4">
        <v>30</v>
      </c>
      <c r="D642" s="19">
        <v>33</v>
      </c>
    </row>
    <row r="643" spans="1:4" x14ac:dyDescent="0.3">
      <c r="A643" s="5" t="str">
        <f>TEXT(Append1[[#This Row],[dteday]],"MMMM")</f>
        <v>January</v>
      </c>
      <c r="B643" s="5">
        <v>0</v>
      </c>
      <c r="C643" s="5">
        <v>33</v>
      </c>
      <c r="D643" s="20">
        <v>33</v>
      </c>
    </row>
    <row r="644" spans="1:4" x14ac:dyDescent="0.3">
      <c r="A644" s="4" t="str">
        <f>TEXT(Append1[[#This Row],[dteday]],"MMMM")</f>
        <v>January</v>
      </c>
      <c r="B644" s="4">
        <v>7</v>
      </c>
      <c r="C644" s="4">
        <v>22</v>
      </c>
      <c r="D644" s="19">
        <v>29</v>
      </c>
    </row>
    <row r="645" spans="1:4" x14ac:dyDescent="0.3">
      <c r="A645" s="5" t="str">
        <f>TEXT(Append1[[#This Row],[dteday]],"MMMM")</f>
        <v>January</v>
      </c>
      <c r="B645" s="5">
        <v>1</v>
      </c>
      <c r="C645" s="5">
        <v>10</v>
      </c>
      <c r="D645" s="20">
        <v>11</v>
      </c>
    </row>
    <row r="646" spans="1:4" x14ac:dyDescent="0.3">
      <c r="A646" s="4" t="str">
        <f>TEXT(Append1[[#This Row],[dteday]],"MMMM")</f>
        <v>January</v>
      </c>
      <c r="B646" s="4">
        <v>1</v>
      </c>
      <c r="C646" s="4">
        <v>7</v>
      </c>
      <c r="D646" s="19">
        <v>8</v>
      </c>
    </row>
    <row r="647" spans="1:4" x14ac:dyDescent="0.3">
      <c r="A647" s="5" t="str">
        <f>TEXT(Append1[[#This Row],[dteday]],"MMMM")</f>
        <v>January</v>
      </c>
      <c r="B647" s="5">
        <v>0</v>
      </c>
      <c r="C647" s="5">
        <v>1</v>
      </c>
      <c r="D647" s="20">
        <v>1</v>
      </c>
    </row>
    <row r="648" spans="1:4" x14ac:dyDescent="0.3">
      <c r="A648" s="4" t="str">
        <f>TEXT(Append1[[#This Row],[dteday]],"MMMM")</f>
        <v>January</v>
      </c>
      <c r="B648" s="4">
        <v>0</v>
      </c>
      <c r="C648" s="4">
        <v>3</v>
      </c>
      <c r="D648" s="19">
        <v>3</v>
      </c>
    </row>
    <row r="649" spans="1:4" x14ac:dyDescent="0.3">
      <c r="A649" s="5" t="str">
        <f>TEXT(Append1[[#This Row],[dteday]],"MMMM")</f>
        <v>January</v>
      </c>
      <c r="B649" s="5">
        <v>0</v>
      </c>
      <c r="C649" s="5">
        <v>3</v>
      </c>
      <c r="D649" s="20">
        <v>3</v>
      </c>
    </row>
    <row r="650" spans="1:4" x14ac:dyDescent="0.3">
      <c r="A650" s="4" t="str">
        <f>TEXT(Append1[[#This Row],[dteday]],"MMMM")</f>
        <v>January</v>
      </c>
      <c r="B650" s="4">
        <v>1</v>
      </c>
      <c r="C650" s="4">
        <v>11</v>
      </c>
      <c r="D650" s="19">
        <v>12</v>
      </c>
    </row>
    <row r="651" spans="1:4" x14ac:dyDescent="0.3">
      <c r="A651" s="5" t="str">
        <f>TEXT(Append1[[#This Row],[dteday]],"MMMM")</f>
        <v>January</v>
      </c>
      <c r="B651" s="5">
        <v>4</v>
      </c>
      <c r="C651" s="5">
        <v>34</v>
      </c>
      <c r="D651" s="20">
        <v>38</v>
      </c>
    </row>
    <row r="652" spans="1:4" x14ac:dyDescent="0.3">
      <c r="A652" s="4" t="str">
        <f>TEXT(Append1[[#This Row],[dteday]],"MMMM")</f>
        <v>January</v>
      </c>
      <c r="B652" s="4">
        <v>7</v>
      </c>
      <c r="C652" s="4">
        <v>57</v>
      </c>
      <c r="D652" s="19">
        <v>64</v>
      </c>
    </row>
    <row r="653" spans="1:4" x14ac:dyDescent="0.3">
      <c r="A653" s="5" t="str">
        <f>TEXT(Append1[[#This Row],[dteday]],"MMMM")</f>
        <v>January</v>
      </c>
      <c r="B653" s="5">
        <v>9</v>
      </c>
      <c r="C653" s="5">
        <v>50</v>
      </c>
      <c r="D653" s="20">
        <v>59</v>
      </c>
    </row>
    <row r="654" spans="1:4" x14ac:dyDescent="0.3">
      <c r="A654" s="4" t="str">
        <f>TEXT(Append1[[#This Row],[dteday]],"MMMM")</f>
        <v>January</v>
      </c>
      <c r="B654" s="4">
        <v>10</v>
      </c>
      <c r="C654" s="4">
        <v>87</v>
      </c>
      <c r="D654" s="19">
        <v>97</v>
      </c>
    </row>
    <row r="655" spans="1:4" x14ac:dyDescent="0.3">
      <c r="A655" s="5" t="str">
        <f>TEXT(Append1[[#This Row],[dteday]],"MMMM")</f>
        <v>January</v>
      </c>
      <c r="B655" s="5">
        <v>13</v>
      </c>
      <c r="C655" s="5">
        <v>71</v>
      </c>
      <c r="D655" s="20">
        <v>84</v>
      </c>
    </row>
    <row r="656" spans="1:4" x14ac:dyDescent="0.3">
      <c r="A656" s="4" t="str">
        <f>TEXT(Append1[[#This Row],[dteday]],"MMMM")</f>
        <v>January</v>
      </c>
      <c r="B656" s="4">
        <v>18</v>
      </c>
      <c r="C656" s="4">
        <v>104</v>
      </c>
      <c r="D656" s="19">
        <v>122</v>
      </c>
    </row>
    <row r="657" spans="1:4" x14ac:dyDescent="0.3">
      <c r="A657" s="5" t="str">
        <f>TEXT(Append1[[#This Row],[dteday]],"MMMM")</f>
        <v>January</v>
      </c>
      <c r="B657" s="5">
        <v>14</v>
      </c>
      <c r="C657" s="5">
        <v>95</v>
      </c>
      <c r="D657" s="20">
        <v>109</v>
      </c>
    </row>
    <row r="658" spans="1:4" x14ac:dyDescent="0.3">
      <c r="A658" s="4" t="str">
        <f>TEXT(Append1[[#This Row],[dteday]],"MMMM")</f>
        <v>January</v>
      </c>
      <c r="B658" s="4">
        <v>19</v>
      </c>
      <c r="C658" s="4">
        <v>104</v>
      </c>
      <c r="D658" s="19">
        <v>123</v>
      </c>
    </row>
    <row r="659" spans="1:4" x14ac:dyDescent="0.3">
      <c r="A659" s="5" t="str">
        <f>TEXT(Append1[[#This Row],[dteday]],"MMMM")</f>
        <v>January</v>
      </c>
      <c r="B659" s="5">
        <v>6</v>
      </c>
      <c r="C659" s="5">
        <v>71</v>
      </c>
      <c r="D659" s="20">
        <v>77</v>
      </c>
    </row>
    <row r="660" spans="1:4" x14ac:dyDescent="0.3">
      <c r="A660" s="4" t="str">
        <f>TEXT(Append1[[#This Row],[dteday]],"MMMM")</f>
        <v>January</v>
      </c>
      <c r="B660" s="4">
        <v>8</v>
      </c>
      <c r="C660" s="4">
        <v>57</v>
      </c>
      <c r="D660" s="19">
        <v>65</v>
      </c>
    </row>
    <row r="661" spans="1:4" x14ac:dyDescent="0.3">
      <c r="A661" s="5" t="str">
        <f>TEXT(Append1[[#This Row],[dteday]],"MMMM")</f>
        <v>January</v>
      </c>
      <c r="B661" s="5">
        <v>9</v>
      </c>
      <c r="C661" s="5">
        <v>46</v>
      </c>
      <c r="D661" s="20">
        <v>55</v>
      </c>
    </row>
    <row r="662" spans="1:4" x14ac:dyDescent="0.3">
      <c r="A662" s="4" t="str">
        <f>TEXT(Append1[[#This Row],[dteday]],"MMMM")</f>
        <v>January</v>
      </c>
      <c r="B662" s="4">
        <v>3</v>
      </c>
      <c r="C662" s="4">
        <v>30</v>
      </c>
      <c r="D662" s="19">
        <v>33</v>
      </c>
    </row>
    <row r="663" spans="1:4" x14ac:dyDescent="0.3">
      <c r="A663" s="5" t="str">
        <f>TEXT(Append1[[#This Row],[dteday]],"MMMM")</f>
        <v>January</v>
      </c>
      <c r="B663" s="5">
        <v>3</v>
      </c>
      <c r="C663" s="5">
        <v>25</v>
      </c>
      <c r="D663" s="20">
        <v>28</v>
      </c>
    </row>
    <row r="664" spans="1:4" x14ac:dyDescent="0.3">
      <c r="A664" s="4" t="str">
        <f>TEXT(Append1[[#This Row],[dteday]],"MMMM")</f>
        <v>January</v>
      </c>
      <c r="B664" s="4">
        <v>2</v>
      </c>
      <c r="C664" s="4">
        <v>19</v>
      </c>
      <c r="D664" s="19">
        <v>21</v>
      </c>
    </row>
    <row r="665" spans="1:4" x14ac:dyDescent="0.3">
      <c r="A665" s="5" t="str">
        <f>TEXT(Append1[[#This Row],[dteday]],"MMMM")</f>
        <v>January</v>
      </c>
      <c r="B665" s="5">
        <v>5</v>
      </c>
      <c r="C665" s="5">
        <v>16</v>
      </c>
      <c r="D665" s="20">
        <v>21</v>
      </c>
    </row>
    <row r="666" spans="1:4" x14ac:dyDescent="0.3">
      <c r="A666" s="4" t="str">
        <f>TEXT(Append1[[#This Row],[dteday]],"MMMM")</f>
        <v>January</v>
      </c>
      <c r="B666" s="4">
        <v>1</v>
      </c>
      <c r="C666" s="4">
        <v>6</v>
      </c>
      <c r="D666" s="19">
        <v>7</v>
      </c>
    </row>
    <row r="667" spans="1:4" x14ac:dyDescent="0.3">
      <c r="A667" s="5" t="str">
        <f>TEXT(Append1[[#This Row],[dteday]],"MMMM")</f>
        <v>January</v>
      </c>
      <c r="B667" s="5">
        <v>2</v>
      </c>
      <c r="C667" s="5">
        <v>5</v>
      </c>
      <c r="D667" s="20">
        <v>7</v>
      </c>
    </row>
    <row r="668" spans="1:4" x14ac:dyDescent="0.3">
      <c r="A668" s="4" t="str">
        <f>TEXT(Append1[[#This Row],[dteday]],"MMMM")</f>
        <v>January</v>
      </c>
      <c r="B668" s="4">
        <v>0</v>
      </c>
      <c r="C668" s="4">
        <v>1</v>
      </c>
      <c r="D668" s="19">
        <v>1</v>
      </c>
    </row>
    <row r="669" spans="1:4" x14ac:dyDescent="0.3">
      <c r="A669" s="5" t="str">
        <f>TEXT(Append1[[#This Row],[dteday]],"MMMM")</f>
        <v>January</v>
      </c>
      <c r="B669" s="5">
        <v>0</v>
      </c>
      <c r="C669" s="5">
        <v>2</v>
      </c>
      <c r="D669" s="20">
        <v>2</v>
      </c>
    </row>
    <row r="670" spans="1:4" x14ac:dyDescent="0.3">
      <c r="A670" s="4" t="str">
        <f>TEXT(Append1[[#This Row],[dteday]],"MMMM")</f>
        <v>January</v>
      </c>
      <c r="B670" s="4">
        <v>0</v>
      </c>
      <c r="C670" s="4">
        <v>2</v>
      </c>
      <c r="D670" s="19">
        <v>2</v>
      </c>
    </row>
    <row r="671" spans="1:4" x14ac:dyDescent="0.3">
      <c r="A671" s="5" t="str">
        <f>TEXT(Append1[[#This Row],[dteday]],"MMMM")</f>
        <v>January</v>
      </c>
      <c r="B671" s="5">
        <v>0</v>
      </c>
      <c r="C671" s="5">
        <v>8</v>
      </c>
      <c r="D671" s="20">
        <v>8</v>
      </c>
    </row>
    <row r="672" spans="1:4" x14ac:dyDescent="0.3">
      <c r="A672" s="4" t="str">
        <f>TEXT(Append1[[#This Row],[dteday]],"MMMM")</f>
        <v>January</v>
      </c>
      <c r="B672" s="4">
        <v>0</v>
      </c>
      <c r="C672" s="4">
        <v>37</v>
      </c>
      <c r="D672" s="19">
        <v>37</v>
      </c>
    </row>
    <row r="673" spans="1:4" x14ac:dyDescent="0.3">
      <c r="A673" s="5" t="str">
        <f>TEXT(Append1[[#This Row],[dteday]],"MMMM")</f>
        <v>January</v>
      </c>
      <c r="B673" s="5">
        <v>1</v>
      </c>
      <c r="C673" s="5">
        <v>71</v>
      </c>
      <c r="D673" s="20">
        <v>72</v>
      </c>
    </row>
    <row r="674" spans="1:4" x14ac:dyDescent="0.3">
      <c r="A674" s="4" t="str">
        <f>TEXT(Append1[[#This Row],[dteday]],"MMMM")</f>
        <v>January</v>
      </c>
      <c r="B674" s="4">
        <v>3</v>
      </c>
      <c r="C674" s="4">
        <v>182</v>
      </c>
      <c r="D674" s="19">
        <v>185</v>
      </c>
    </row>
    <row r="675" spans="1:4" x14ac:dyDescent="0.3">
      <c r="A675" s="5" t="str">
        <f>TEXT(Append1[[#This Row],[dteday]],"MMMM")</f>
        <v>January</v>
      </c>
      <c r="B675" s="5">
        <v>0</v>
      </c>
      <c r="C675" s="5">
        <v>112</v>
      </c>
      <c r="D675" s="20">
        <v>112</v>
      </c>
    </row>
    <row r="676" spans="1:4" x14ac:dyDescent="0.3">
      <c r="A676" s="4" t="str">
        <f>TEXT(Append1[[#This Row],[dteday]],"MMMM")</f>
        <v>January</v>
      </c>
      <c r="B676" s="4">
        <v>1</v>
      </c>
      <c r="C676" s="4">
        <v>68</v>
      </c>
      <c r="D676" s="19">
        <v>69</v>
      </c>
    </row>
    <row r="677" spans="1:4" x14ac:dyDescent="0.3">
      <c r="A677" s="5" t="str">
        <f>TEXT(Append1[[#This Row],[dteday]],"MMMM")</f>
        <v>January</v>
      </c>
      <c r="B677" s="5">
        <v>2</v>
      </c>
      <c r="C677" s="5">
        <v>46</v>
      </c>
      <c r="D677" s="20">
        <v>48</v>
      </c>
    </row>
    <row r="678" spans="1:4" x14ac:dyDescent="0.3">
      <c r="A678" s="4" t="str">
        <f>TEXT(Append1[[#This Row],[dteday]],"MMMM")</f>
        <v>January</v>
      </c>
      <c r="B678" s="4">
        <v>6</v>
      </c>
      <c r="C678" s="4">
        <v>62</v>
      </c>
      <c r="D678" s="19">
        <v>68</v>
      </c>
    </row>
    <row r="679" spans="1:4" x14ac:dyDescent="0.3">
      <c r="A679" s="5" t="str">
        <f>TEXT(Append1[[#This Row],[dteday]],"MMMM")</f>
        <v>January</v>
      </c>
      <c r="B679" s="5">
        <v>2</v>
      </c>
      <c r="C679" s="5">
        <v>52</v>
      </c>
      <c r="D679" s="20">
        <v>54</v>
      </c>
    </row>
    <row r="680" spans="1:4" x14ac:dyDescent="0.3">
      <c r="A680" s="4" t="str">
        <f>TEXT(Append1[[#This Row],[dteday]],"MMMM")</f>
        <v>January</v>
      </c>
      <c r="B680" s="4">
        <v>1</v>
      </c>
      <c r="C680" s="4">
        <v>85</v>
      </c>
      <c r="D680" s="19">
        <v>86</v>
      </c>
    </row>
    <row r="681" spans="1:4" x14ac:dyDescent="0.3">
      <c r="A681" s="5" t="str">
        <f>TEXT(Append1[[#This Row],[dteday]],"MMMM")</f>
        <v>January</v>
      </c>
      <c r="B681" s="5">
        <v>3</v>
      </c>
      <c r="C681" s="5">
        <v>41</v>
      </c>
      <c r="D681" s="20">
        <v>44</v>
      </c>
    </row>
    <row r="682" spans="1:4" x14ac:dyDescent="0.3">
      <c r="A682" s="4" t="str">
        <f>TEXT(Append1[[#This Row],[dteday]],"MMMM")</f>
        <v>January</v>
      </c>
      <c r="B682" s="4">
        <v>3</v>
      </c>
      <c r="C682" s="4">
        <v>83</v>
      </c>
      <c r="D682" s="19">
        <v>86</v>
      </c>
    </row>
    <row r="683" spans="1:4" x14ac:dyDescent="0.3">
      <c r="A683" s="5" t="str">
        <f>TEXT(Append1[[#This Row],[dteday]],"MMMM")</f>
        <v>January</v>
      </c>
      <c r="B683" s="5">
        <v>6</v>
      </c>
      <c r="C683" s="5">
        <v>155</v>
      </c>
      <c r="D683" s="20">
        <v>161</v>
      </c>
    </row>
    <row r="684" spans="1:4" x14ac:dyDescent="0.3">
      <c r="A684" s="4" t="str">
        <f>TEXT(Append1[[#This Row],[dteday]],"MMMM")</f>
        <v>January</v>
      </c>
      <c r="B684" s="4">
        <v>3</v>
      </c>
      <c r="C684" s="4">
        <v>153</v>
      </c>
      <c r="D684" s="19">
        <v>156</v>
      </c>
    </row>
    <row r="685" spans="1:4" x14ac:dyDescent="0.3">
      <c r="A685" s="5" t="str">
        <f>TEXT(Append1[[#This Row],[dteday]],"MMMM")</f>
        <v>January</v>
      </c>
      <c r="B685" s="5">
        <v>3</v>
      </c>
      <c r="C685" s="5">
        <v>108</v>
      </c>
      <c r="D685" s="20">
        <v>111</v>
      </c>
    </row>
    <row r="686" spans="1:4" x14ac:dyDescent="0.3">
      <c r="A686" s="4" t="str">
        <f>TEXT(Append1[[#This Row],[dteday]],"MMMM")</f>
        <v>January</v>
      </c>
      <c r="B686" s="4">
        <v>0</v>
      </c>
      <c r="C686" s="4">
        <v>78</v>
      </c>
      <c r="D686" s="19">
        <v>78</v>
      </c>
    </row>
    <row r="687" spans="1:4" x14ac:dyDescent="0.3">
      <c r="A687" s="5" t="str">
        <f>TEXT(Append1[[#This Row],[dteday]],"MMMM")</f>
        <v>January</v>
      </c>
      <c r="B687" s="5">
        <v>3</v>
      </c>
      <c r="C687" s="5">
        <v>53</v>
      </c>
      <c r="D687" s="20">
        <v>56</v>
      </c>
    </row>
    <row r="688" spans="1:4" x14ac:dyDescent="0.3">
      <c r="A688" s="4" t="str">
        <f>TEXT(Append1[[#This Row],[dteday]],"MMMM")</f>
        <v>January</v>
      </c>
      <c r="B688" s="4">
        <v>0</v>
      </c>
      <c r="C688" s="4">
        <v>34</v>
      </c>
      <c r="D688" s="19">
        <v>34</v>
      </c>
    </row>
    <row r="689" spans="1:4" x14ac:dyDescent="0.3">
      <c r="A689" s="5" t="str">
        <f>TEXT(Append1[[#This Row],[dteday]],"MMMM")</f>
        <v>January</v>
      </c>
      <c r="B689" s="5">
        <v>2</v>
      </c>
      <c r="C689" s="5">
        <v>15</v>
      </c>
      <c r="D689" s="20">
        <v>17</v>
      </c>
    </row>
    <row r="690" spans="1:4" x14ac:dyDescent="0.3">
      <c r="A690" s="4" t="str">
        <f>TEXT(Append1[[#This Row],[dteday]],"MMMM")</f>
        <v>February</v>
      </c>
      <c r="B690" s="4">
        <v>2</v>
      </c>
      <c r="C690" s="4">
        <v>6</v>
      </c>
      <c r="D690" s="19">
        <v>8</v>
      </c>
    </row>
    <row r="691" spans="1:4" x14ac:dyDescent="0.3">
      <c r="A691" s="5" t="str">
        <f>TEXT(Append1[[#This Row],[dteday]],"MMMM")</f>
        <v>February</v>
      </c>
      <c r="B691" s="5">
        <v>0</v>
      </c>
      <c r="C691" s="5">
        <v>3</v>
      </c>
      <c r="D691" s="20">
        <v>3</v>
      </c>
    </row>
    <row r="692" spans="1:4" x14ac:dyDescent="0.3">
      <c r="A692" s="4" t="str">
        <f>TEXT(Append1[[#This Row],[dteday]],"MMMM")</f>
        <v>February</v>
      </c>
      <c r="B692" s="4">
        <v>0</v>
      </c>
      <c r="C692" s="4">
        <v>2</v>
      </c>
      <c r="D692" s="19">
        <v>2</v>
      </c>
    </row>
    <row r="693" spans="1:4" x14ac:dyDescent="0.3">
      <c r="A693" s="5" t="str">
        <f>TEXT(Append1[[#This Row],[dteday]],"MMMM")</f>
        <v>February</v>
      </c>
      <c r="B693" s="5">
        <v>0</v>
      </c>
      <c r="C693" s="5">
        <v>2</v>
      </c>
      <c r="D693" s="20">
        <v>2</v>
      </c>
    </row>
    <row r="694" spans="1:4" x14ac:dyDescent="0.3">
      <c r="A694" s="4" t="str">
        <f>TEXT(Append1[[#This Row],[dteday]],"MMMM")</f>
        <v>February</v>
      </c>
      <c r="B694" s="4">
        <v>0</v>
      </c>
      <c r="C694" s="4">
        <v>3</v>
      </c>
      <c r="D694" s="19">
        <v>3</v>
      </c>
    </row>
    <row r="695" spans="1:4" x14ac:dyDescent="0.3">
      <c r="A695" s="5" t="str">
        <f>TEXT(Append1[[#This Row],[dteday]],"MMMM")</f>
        <v>February</v>
      </c>
      <c r="B695" s="5">
        <v>0</v>
      </c>
      <c r="C695" s="5">
        <v>22</v>
      </c>
      <c r="D695" s="20">
        <v>22</v>
      </c>
    </row>
    <row r="696" spans="1:4" x14ac:dyDescent="0.3">
      <c r="A696" s="4" t="str">
        <f>TEXT(Append1[[#This Row],[dteday]],"MMMM")</f>
        <v>February</v>
      </c>
      <c r="B696" s="4">
        <v>0</v>
      </c>
      <c r="C696" s="4">
        <v>52</v>
      </c>
      <c r="D696" s="19">
        <v>52</v>
      </c>
    </row>
    <row r="697" spans="1:4" x14ac:dyDescent="0.3">
      <c r="A697" s="5" t="str">
        <f>TEXT(Append1[[#This Row],[dteday]],"MMMM")</f>
        <v>February</v>
      </c>
      <c r="B697" s="5">
        <v>3</v>
      </c>
      <c r="C697" s="5">
        <v>132</v>
      </c>
      <c r="D697" s="20">
        <v>135</v>
      </c>
    </row>
    <row r="698" spans="1:4" x14ac:dyDescent="0.3">
      <c r="A698" s="4" t="str">
        <f>TEXT(Append1[[#This Row],[dteday]],"MMMM")</f>
        <v>February</v>
      </c>
      <c r="B698" s="4">
        <v>2</v>
      </c>
      <c r="C698" s="4">
        <v>114</v>
      </c>
      <c r="D698" s="19">
        <v>116</v>
      </c>
    </row>
    <row r="699" spans="1:4" x14ac:dyDescent="0.3">
      <c r="A699" s="5" t="str">
        <f>TEXT(Append1[[#This Row],[dteday]],"MMMM")</f>
        <v>February</v>
      </c>
      <c r="B699" s="5">
        <v>0</v>
      </c>
      <c r="C699" s="5">
        <v>47</v>
      </c>
      <c r="D699" s="20">
        <v>47</v>
      </c>
    </row>
    <row r="700" spans="1:4" x14ac:dyDescent="0.3">
      <c r="A700" s="4" t="str">
        <f>TEXT(Append1[[#This Row],[dteday]],"MMMM")</f>
        <v>February</v>
      </c>
      <c r="B700" s="4">
        <v>2</v>
      </c>
      <c r="C700" s="4">
        <v>49</v>
      </c>
      <c r="D700" s="19">
        <v>51</v>
      </c>
    </row>
    <row r="701" spans="1:4" x14ac:dyDescent="0.3">
      <c r="A701" s="5" t="str">
        <f>TEXT(Append1[[#This Row],[dteday]],"MMMM")</f>
        <v>February</v>
      </c>
      <c r="B701" s="5">
        <v>2</v>
      </c>
      <c r="C701" s="5">
        <v>53</v>
      </c>
      <c r="D701" s="20">
        <v>55</v>
      </c>
    </row>
    <row r="702" spans="1:4" x14ac:dyDescent="0.3">
      <c r="A702" s="4" t="str">
        <f>TEXT(Append1[[#This Row],[dteday]],"MMMM")</f>
        <v>February</v>
      </c>
      <c r="B702" s="4">
        <v>3</v>
      </c>
      <c r="C702" s="4">
        <v>49</v>
      </c>
      <c r="D702" s="19">
        <v>52</v>
      </c>
    </row>
    <row r="703" spans="1:4" x14ac:dyDescent="0.3">
      <c r="A703" s="5" t="str">
        <f>TEXT(Append1[[#This Row],[dteday]],"MMMM")</f>
        <v>February</v>
      </c>
      <c r="B703" s="5">
        <v>5</v>
      </c>
      <c r="C703" s="5">
        <v>49</v>
      </c>
      <c r="D703" s="20">
        <v>54</v>
      </c>
    </row>
    <row r="704" spans="1:4" x14ac:dyDescent="0.3">
      <c r="A704" s="4" t="str">
        <f>TEXT(Append1[[#This Row],[dteday]],"MMMM")</f>
        <v>February</v>
      </c>
      <c r="B704" s="4">
        <v>7</v>
      </c>
      <c r="C704" s="4">
        <v>45</v>
      </c>
      <c r="D704" s="19">
        <v>52</v>
      </c>
    </row>
    <row r="705" spans="1:4" x14ac:dyDescent="0.3">
      <c r="A705" s="5" t="str">
        <f>TEXT(Append1[[#This Row],[dteday]],"MMMM")</f>
        <v>February</v>
      </c>
      <c r="B705" s="5">
        <v>3</v>
      </c>
      <c r="C705" s="5">
        <v>61</v>
      </c>
      <c r="D705" s="20">
        <v>64</v>
      </c>
    </row>
    <row r="706" spans="1:4" x14ac:dyDescent="0.3">
      <c r="A706" s="4" t="str">
        <f>TEXT(Append1[[#This Row],[dteday]],"MMMM")</f>
        <v>February</v>
      </c>
      <c r="B706" s="4">
        <v>4</v>
      </c>
      <c r="C706" s="4">
        <v>172</v>
      </c>
      <c r="D706" s="19">
        <v>176</v>
      </c>
    </row>
    <row r="707" spans="1:4" x14ac:dyDescent="0.3">
      <c r="A707" s="5" t="str">
        <f>TEXT(Append1[[#This Row],[dteday]],"MMMM")</f>
        <v>February</v>
      </c>
      <c r="B707" s="5">
        <v>3</v>
      </c>
      <c r="C707" s="5">
        <v>165</v>
      </c>
      <c r="D707" s="20">
        <v>168</v>
      </c>
    </row>
    <row r="708" spans="1:4" x14ac:dyDescent="0.3">
      <c r="A708" s="4" t="str">
        <f>TEXT(Append1[[#This Row],[dteday]],"MMMM")</f>
        <v>February</v>
      </c>
      <c r="B708" s="4">
        <v>3</v>
      </c>
      <c r="C708" s="4">
        <v>105</v>
      </c>
      <c r="D708" s="19">
        <v>108</v>
      </c>
    </row>
    <row r="709" spans="1:4" x14ac:dyDescent="0.3">
      <c r="A709" s="5" t="str">
        <f>TEXT(Append1[[#This Row],[dteday]],"MMMM")</f>
        <v>February</v>
      </c>
      <c r="B709" s="5">
        <v>5</v>
      </c>
      <c r="C709" s="5">
        <v>69</v>
      </c>
      <c r="D709" s="20">
        <v>74</v>
      </c>
    </row>
    <row r="710" spans="1:4" x14ac:dyDescent="0.3">
      <c r="A710" s="4" t="str">
        <f>TEXT(Append1[[#This Row],[dteday]],"MMMM")</f>
        <v>February</v>
      </c>
      <c r="B710" s="4">
        <v>0</v>
      </c>
      <c r="C710" s="4">
        <v>64</v>
      </c>
      <c r="D710" s="19">
        <v>64</v>
      </c>
    </row>
    <row r="711" spans="1:4" x14ac:dyDescent="0.3">
      <c r="A711" s="5" t="str">
        <f>TEXT(Append1[[#This Row],[dteday]],"MMMM")</f>
        <v>February</v>
      </c>
      <c r="B711" s="5">
        <v>2</v>
      </c>
      <c r="C711" s="5">
        <v>34</v>
      </c>
      <c r="D711" s="20">
        <v>36</v>
      </c>
    </row>
    <row r="712" spans="1:4" x14ac:dyDescent="0.3">
      <c r="A712" s="4" t="str">
        <f>TEXT(Append1[[#This Row],[dteday]],"MMMM")</f>
        <v>February</v>
      </c>
      <c r="B712" s="4">
        <v>1</v>
      </c>
      <c r="C712" s="4">
        <v>15</v>
      </c>
      <c r="D712" s="19">
        <v>16</v>
      </c>
    </row>
    <row r="713" spans="1:4" x14ac:dyDescent="0.3">
      <c r="A713" s="5" t="str">
        <f>TEXT(Append1[[#This Row],[dteday]],"MMMM")</f>
        <v>February</v>
      </c>
      <c r="B713" s="5">
        <v>0</v>
      </c>
      <c r="C713" s="5">
        <v>2</v>
      </c>
      <c r="D713" s="20">
        <v>2</v>
      </c>
    </row>
    <row r="714" spans="1:4" x14ac:dyDescent="0.3">
      <c r="A714" s="4" t="str">
        <f>TEXT(Append1[[#This Row],[dteday]],"MMMM")</f>
        <v>February</v>
      </c>
      <c r="B714" s="4">
        <v>0</v>
      </c>
      <c r="C714" s="4">
        <v>3</v>
      </c>
      <c r="D714" s="19">
        <v>3</v>
      </c>
    </row>
    <row r="715" spans="1:4" x14ac:dyDescent="0.3">
      <c r="A715" s="5" t="str">
        <f>TEXT(Append1[[#This Row],[dteday]],"MMMM")</f>
        <v>February</v>
      </c>
      <c r="B715" s="5">
        <v>4</v>
      </c>
      <c r="C715" s="5">
        <v>0</v>
      </c>
      <c r="D715" s="20">
        <v>4</v>
      </c>
    </row>
    <row r="716" spans="1:4" x14ac:dyDescent="0.3">
      <c r="A716" s="4" t="str">
        <f>TEXT(Append1[[#This Row],[dteday]],"MMMM")</f>
        <v>February</v>
      </c>
      <c r="B716" s="4">
        <v>0</v>
      </c>
      <c r="C716" s="4">
        <v>1</v>
      </c>
      <c r="D716" s="19">
        <v>1</v>
      </c>
    </row>
    <row r="717" spans="1:4" x14ac:dyDescent="0.3">
      <c r="A717" s="5" t="str">
        <f>TEXT(Append1[[#This Row],[dteday]],"MMMM")</f>
        <v>February</v>
      </c>
      <c r="B717" s="5">
        <v>0</v>
      </c>
      <c r="C717" s="5">
        <v>1</v>
      </c>
      <c r="D717" s="20">
        <v>1</v>
      </c>
    </row>
    <row r="718" spans="1:4" x14ac:dyDescent="0.3">
      <c r="A718" s="4" t="str">
        <f>TEXT(Append1[[#This Row],[dteday]],"MMMM")</f>
        <v>February</v>
      </c>
      <c r="B718" s="4">
        <v>0</v>
      </c>
      <c r="C718" s="4">
        <v>3</v>
      </c>
      <c r="D718" s="19">
        <v>3</v>
      </c>
    </row>
    <row r="719" spans="1:4" x14ac:dyDescent="0.3">
      <c r="A719" s="5" t="str">
        <f>TEXT(Append1[[#This Row],[dteday]],"MMMM")</f>
        <v>February</v>
      </c>
      <c r="B719" s="5">
        <v>1</v>
      </c>
      <c r="C719" s="5">
        <v>17</v>
      </c>
      <c r="D719" s="20">
        <v>18</v>
      </c>
    </row>
    <row r="720" spans="1:4" x14ac:dyDescent="0.3">
      <c r="A720" s="4" t="str">
        <f>TEXT(Append1[[#This Row],[dteday]],"MMMM")</f>
        <v>February</v>
      </c>
      <c r="B720" s="4">
        <v>1</v>
      </c>
      <c r="C720" s="4">
        <v>48</v>
      </c>
      <c r="D720" s="19">
        <v>49</v>
      </c>
    </row>
    <row r="721" spans="1:4" x14ac:dyDescent="0.3">
      <c r="A721" s="5" t="str">
        <f>TEXT(Append1[[#This Row],[dteday]],"MMMM")</f>
        <v>February</v>
      </c>
      <c r="B721" s="5">
        <v>1</v>
      </c>
      <c r="C721" s="5">
        <v>154</v>
      </c>
      <c r="D721" s="20">
        <v>155</v>
      </c>
    </row>
    <row r="722" spans="1:4" x14ac:dyDescent="0.3">
      <c r="A722" s="4" t="str">
        <f>TEXT(Append1[[#This Row],[dteday]],"MMMM")</f>
        <v>February</v>
      </c>
      <c r="B722" s="4">
        <v>4</v>
      </c>
      <c r="C722" s="4">
        <v>119</v>
      </c>
      <c r="D722" s="19">
        <v>123</v>
      </c>
    </row>
    <row r="723" spans="1:4" x14ac:dyDescent="0.3">
      <c r="A723" s="5" t="str">
        <f>TEXT(Append1[[#This Row],[dteday]],"MMMM")</f>
        <v>February</v>
      </c>
      <c r="B723" s="5">
        <v>2</v>
      </c>
      <c r="C723" s="5">
        <v>59</v>
      </c>
      <c r="D723" s="20">
        <v>61</v>
      </c>
    </row>
    <row r="724" spans="1:4" x14ac:dyDescent="0.3">
      <c r="A724" s="4" t="str">
        <f>TEXT(Append1[[#This Row],[dteday]],"MMMM")</f>
        <v>February</v>
      </c>
      <c r="B724" s="4">
        <v>5</v>
      </c>
      <c r="C724" s="4">
        <v>47</v>
      </c>
      <c r="D724" s="19">
        <v>52</v>
      </c>
    </row>
    <row r="725" spans="1:4" x14ac:dyDescent="0.3">
      <c r="A725" s="5" t="str">
        <f>TEXT(Append1[[#This Row],[dteday]],"MMMM")</f>
        <v>February</v>
      </c>
      <c r="B725" s="5">
        <v>3</v>
      </c>
      <c r="C725" s="5">
        <v>61</v>
      </c>
      <c r="D725" s="20">
        <v>64</v>
      </c>
    </row>
    <row r="726" spans="1:4" x14ac:dyDescent="0.3">
      <c r="A726" s="4" t="str">
        <f>TEXT(Append1[[#This Row],[dteday]],"MMMM")</f>
        <v>February</v>
      </c>
      <c r="B726" s="4">
        <v>1</v>
      </c>
      <c r="C726" s="4">
        <v>74</v>
      </c>
      <c r="D726" s="19">
        <v>75</v>
      </c>
    </row>
    <row r="727" spans="1:4" x14ac:dyDescent="0.3">
      <c r="A727" s="5" t="str">
        <f>TEXT(Append1[[#This Row],[dteday]],"MMMM")</f>
        <v>February</v>
      </c>
      <c r="B727" s="5">
        <v>2</v>
      </c>
      <c r="C727" s="5">
        <v>61</v>
      </c>
      <c r="D727" s="20">
        <v>63</v>
      </c>
    </row>
    <row r="728" spans="1:4" x14ac:dyDescent="0.3">
      <c r="A728" s="4" t="str">
        <f>TEXT(Append1[[#This Row],[dteday]],"MMMM")</f>
        <v>February</v>
      </c>
      <c r="B728" s="4">
        <v>10</v>
      </c>
      <c r="C728" s="4">
        <v>66</v>
      </c>
      <c r="D728" s="19">
        <v>76</v>
      </c>
    </row>
    <row r="729" spans="1:4" x14ac:dyDescent="0.3">
      <c r="A729" s="5" t="str">
        <f>TEXT(Append1[[#This Row],[dteday]],"MMMM")</f>
        <v>February</v>
      </c>
      <c r="B729" s="5">
        <v>8</v>
      </c>
      <c r="C729" s="5">
        <v>95</v>
      </c>
      <c r="D729" s="20">
        <v>103</v>
      </c>
    </row>
    <row r="730" spans="1:4" x14ac:dyDescent="0.3">
      <c r="A730" s="4" t="str">
        <f>TEXT(Append1[[#This Row],[dteday]],"MMMM")</f>
        <v>February</v>
      </c>
      <c r="B730" s="4">
        <v>7</v>
      </c>
      <c r="C730" s="4">
        <v>183</v>
      </c>
      <c r="D730" s="19">
        <v>190</v>
      </c>
    </row>
    <row r="731" spans="1:4" x14ac:dyDescent="0.3">
      <c r="A731" s="5" t="str">
        <f>TEXT(Append1[[#This Row],[dteday]],"MMMM")</f>
        <v>February</v>
      </c>
      <c r="B731" s="5">
        <v>7</v>
      </c>
      <c r="C731" s="5">
        <v>175</v>
      </c>
      <c r="D731" s="20">
        <v>182</v>
      </c>
    </row>
    <row r="732" spans="1:4" x14ac:dyDescent="0.3">
      <c r="A732" s="4" t="str">
        <f>TEXT(Append1[[#This Row],[dteday]],"MMMM")</f>
        <v>February</v>
      </c>
      <c r="B732" s="4">
        <v>3</v>
      </c>
      <c r="C732" s="4">
        <v>88</v>
      </c>
      <c r="D732" s="19">
        <v>91</v>
      </c>
    </row>
    <row r="733" spans="1:4" x14ac:dyDescent="0.3">
      <c r="A733" s="5" t="str">
        <f>TEXT(Append1[[#This Row],[dteday]],"MMMM")</f>
        <v>February</v>
      </c>
      <c r="B733" s="5">
        <v>4</v>
      </c>
      <c r="C733" s="5">
        <v>71</v>
      </c>
      <c r="D733" s="20">
        <v>75</v>
      </c>
    </row>
    <row r="734" spans="1:4" x14ac:dyDescent="0.3">
      <c r="A734" s="4" t="str">
        <f>TEXT(Append1[[#This Row],[dteday]],"MMMM")</f>
        <v>February</v>
      </c>
      <c r="B734" s="4">
        <v>1</v>
      </c>
      <c r="C734" s="4">
        <v>62</v>
      </c>
      <c r="D734" s="19">
        <v>63</v>
      </c>
    </row>
    <row r="735" spans="1:4" x14ac:dyDescent="0.3">
      <c r="A735" s="5" t="str">
        <f>TEXT(Append1[[#This Row],[dteday]],"MMMM")</f>
        <v>February</v>
      </c>
      <c r="B735" s="5">
        <v>5</v>
      </c>
      <c r="C735" s="5">
        <v>35</v>
      </c>
      <c r="D735" s="20">
        <v>40</v>
      </c>
    </row>
    <row r="736" spans="1:4" x14ac:dyDescent="0.3">
      <c r="A736" s="4" t="str">
        <f>TEXT(Append1[[#This Row],[dteday]],"MMMM")</f>
        <v>February</v>
      </c>
      <c r="B736" s="4">
        <v>3</v>
      </c>
      <c r="C736" s="4">
        <v>29</v>
      </c>
      <c r="D736" s="19">
        <v>32</v>
      </c>
    </row>
    <row r="737" spans="1:4" x14ac:dyDescent="0.3">
      <c r="A737" s="5" t="str">
        <f>TEXT(Append1[[#This Row],[dteday]],"MMMM")</f>
        <v>February</v>
      </c>
      <c r="B737" s="5">
        <v>1</v>
      </c>
      <c r="C737" s="5">
        <v>11</v>
      </c>
      <c r="D737" s="20">
        <v>12</v>
      </c>
    </row>
    <row r="738" spans="1:4" x14ac:dyDescent="0.3">
      <c r="A738" s="4" t="str">
        <f>TEXT(Append1[[#This Row],[dteday]],"MMMM")</f>
        <v>February</v>
      </c>
      <c r="B738" s="4">
        <v>0</v>
      </c>
      <c r="C738" s="4">
        <v>5</v>
      </c>
      <c r="D738" s="19">
        <v>5</v>
      </c>
    </row>
    <row r="739" spans="1:4" x14ac:dyDescent="0.3">
      <c r="A739" s="5" t="str">
        <f>TEXT(Append1[[#This Row],[dteday]],"MMMM")</f>
        <v>February</v>
      </c>
      <c r="B739" s="5">
        <v>0</v>
      </c>
      <c r="C739" s="5">
        <v>2</v>
      </c>
      <c r="D739" s="20">
        <v>2</v>
      </c>
    </row>
    <row r="740" spans="1:4" x14ac:dyDescent="0.3">
      <c r="A740" s="4" t="str">
        <f>TEXT(Append1[[#This Row],[dteday]],"MMMM")</f>
        <v>February</v>
      </c>
      <c r="B740" s="4">
        <v>0</v>
      </c>
      <c r="C740" s="4">
        <v>1</v>
      </c>
      <c r="D740" s="19">
        <v>1</v>
      </c>
    </row>
    <row r="741" spans="1:4" x14ac:dyDescent="0.3">
      <c r="A741" s="5" t="str">
        <f>TEXT(Append1[[#This Row],[dteday]],"MMMM")</f>
        <v>February</v>
      </c>
      <c r="B741" s="5">
        <v>0</v>
      </c>
      <c r="C741" s="5">
        <v>2</v>
      </c>
      <c r="D741" s="20">
        <v>2</v>
      </c>
    </row>
    <row r="742" spans="1:4" x14ac:dyDescent="0.3">
      <c r="A742" s="4" t="str">
        <f>TEXT(Append1[[#This Row],[dteday]],"MMMM")</f>
        <v>February</v>
      </c>
      <c r="B742" s="4">
        <v>0</v>
      </c>
      <c r="C742" s="4">
        <v>39</v>
      </c>
      <c r="D742" s="19">
        <v>39</v>
      </c>
    </row>
    <row r="743" spans="1:4" x14ac:dyDescent="0.3">
      <c r="A743" s="5" t="str">
        <f>TEXT(Append1[[#This Row],[dteday]],"MMMM")</f>
        <v>February</v>
      </c>
      <c r="B743" s="5">
        <v>1</v>
      </c>
      <c r="C743" s="5">
        <v>86</v>
      </c>
      <c r="D743" s="20">
        <v>87</v>
      </c>
    </row>
    <row r="744" spans="1:4" x14ac:dyDescent="0.3">
      <c r="A744" s="4" t="str">
        <f>TEXT(Append1[[#This Row],[dteday]],"MMMM")</f>
        <v>February</v>
      </c>
      <c r="B744" s="4">
        <v>4</v>
      </c>
      <c r="C744" s="4">
        <v>184</v>
      </c>
      <c r="D744" s="19">
        <v>188</v>
      </c>
    </row>
    <row r="745" spans="1:4" x14ac:dyDescent="0.3">
      <c r="A745" s="5" t="str">
        <f>TEXT(Append1[[#This Row],[dteday]],"MMMM")</f>
        <v>February</v>
      </c>
      <c r="B745" s="5">
        <v>6</v>
      </c>
      <c r="C745" s="5">
        <v>127</v>
      </c>
      <c r="D745" s="20">
        <v>133</v>
      </c>
    </row>
    <row r="746" spans="1:4" x14ac:dyDescent="0.3">
      <c r="A746" s="4" t="str">
        <f>TEXT(Append1[[#This Row],[dteday]],"MMMM")</f>
        <v>February</v>
      </c>
      <c r="B746" s="4">
        <v>2</v>
      </c>
      <c r="C746" s="4">
        <v>50</v>
      </c>
      <c r="D746" s="19">
        <v>52</v>
      </c>
    </row>
    <row r="747" spans="1:4" x14ac:dyDescent="0.3">
      <c r="A747" s="5" t="str">
        <f>TEXT(Append1[[#This Row],[dteday]],"MMMM")</f>
        <v>February</v>
      </c>
      <c r="B747" s="5">
        <v>9</v>
      </c>
      <c r="C747" s="5">
        <v>55</v>
      </c>
      <c r="D747" s="20">
        <v>64</v>
      </c>
    </row>
    <row r="748" spans="1:4" x14ac:dyDescent="0.3">
      <c r="A748" s="4" t="str">
        <f>TEXT(Append1[[#This Row],[dteday]],"MMMM")</f>
        <v>February</v>
      </c>
      <c r="B748" s="4">
        <v>2</v>
      </c>
      <c r="C748" s="4">
        <v>67</v>
      </c>
      <c r="D748" s="19">
        <v>69</v>
      </c>
    </row>
    <row r="749" spans="1:4" x14ac:dyDescent="0.3">
      <c r="A749" s="5" t="str">
        <f>TEXT(Append1[[#This Row],[dteday]],"MMMM")</f>
        <v>February</v>
      </c>
      <c r="B749" s="5">
        <v>4</v>
      </c>
      <c r="C749" s="5">
        <v>47</v>
      </c>
      <c r="D749" s="20">
        <v>51</v>
      </c>
    </row>
    <row r="750" spans="1:4" x14ac:dyDescent="0.3">
      <c r="A750" s="4" t="str">
        <f>TEXT(Append1[[#This Row],[dteday]],"MMMM")</f>
        <v>February</v>
      </c>
      <c r="B750" s="4">
        <v>4</v>
      </c>
      <c r="C750" s="4">
        <v>43</v>
      </c>
      <c r="D750" s="19">
        <v>47</v>
      </c>
    </row>
    <row r="751" spans="1:4" x14ac:dyDescent="0.3">
      <c r="A751" s="5" t="str">
        <f>TEXT(Append1[[#This Row],[dteday]],"MMMM")</f>
        <v>February</v>
      </c>
      <c r="B751" s="5">
        <v>4</v>
      </c>
      <c r="C751" s="5">
        <v>56</v>
      </c>
      <c r="D751" s="20">
        <v>60</v>
      </c>
    </row>
    <row r="752" spans="1:4" x14ac:dyDescent="0.3">
      <c r="A752" s="4" t="str">
        <f>TEXT(Append1[[#This Row],[dteday]],"MMMM")</f>
        <v>February</v>
      </c>
      <c r="B752" s="4">
        <v>5</v>
      </c>
      <c r="C752" s="4">
        <v>73</v>
      </c>
      <c r="D752" s="19">
        <v>78</v>
      </c>
    </row>
    <row r="753" spans="1:4" x14ac:dyDescent="0.3">
      <c r="A753" s="5" t="str">
        <f>TEXT(Append1[[#This Row],[dteday]],"MMMM")</f>
        <v>February</v>
      </c>
      <c r="B753" s="5">
        <v>5</v>
      </c>
      <c r="C753" s="5">
        <v>170</v>
      </c>
      <c r="D753" s="20">
        <v>175</v>
      </c>
    </row>
    <row r="754" spans="1:4" x14ac:dyDescent="0.3">
      <c r="A754" s="4" t="str">
        <f>TEXT(Append1[[#This Row],[dteday]],"MMMM")</f>
        <v>February</v>
      </c>
      <c r="B754" s="4">
        <v>2</v>
      </c>
      <c r="C754" s="4">
        <v>145</v>
      </c>
      <c r="D754" s="19">
        <v>147</v>
      </c>
    </row>
    <row r="755" spans="1:4" x14ac:dyDescent="0.3">
      <c r="A755" s="5" t="str">
        <f>TEXT(Append1[[#This Row],[dteday]],"MMMM")</f>
        <v>February</v>
      </c>
      <c r="B755" s="5">
        <v>4</v>
      </c>
      <c r="C755" s="5">
        <v>92</v>
      </c>
      <c r="D755" s="20">
        <v>96</v>
      </c>
    </row>
    <row r="756" spans="1:4" x14ac:dyDescent="0.3">
      <c r="A756" s="4" t="str">
        <f>TEXT(Append1[[#This Row],[dteday]],"MMMM")</f>
        <v>February</v>
      </c>
      <c r="B756" s="4">
        <v>1</v>
      </c>
      <c r="C756" s="4">
        <v>108</v>
      </c>
      <c r="D756" s="19">
        <v>109</v>
      </c>
    </row>
    <row r="757" spans="1:4" x14ac:dyDescent="0.3">
      <c r="A757" s="5" t="str">
        <f>TEXT(Append1[[#This Row],[dteday]],"MMMM")</f>
        <v>February</v>
      </c>
      <c r="B757" s="5">
        <v>1</v>
      </c>
      <c r="C757" s="5">
        <v>53</v>
      </c>
      <c r="D757" s="20">
        <v>54</v>
      </c>
    </row>
    <row r="758" spans="1:4" x14ac:dyDescent="0.3">
      <c r="A758" s="4" t="str">
        <f>TEXT(Append1[[#This Row],[dteday]],"MMMM")</f>
        <v>February</v>
      </c>
      <c r="B758" s="4">
        <v>2</v>
      </c>
      <c r="C758" s="4">
        <v>39</v>
      </c>
      <c r="D758" s="19">
        <v>41</v>
      </c>
    </row>
    <row r="759" spans="1:4" x14ac:dyDescent="0.3">
      <c r="A759" s="5" t="str">
        <f>TEXT(Append1[[#This Row],[dteday]],"MMMM")</f>
        <v>February</v>
      </c>
      <c r="B759" s="5">
        <v>4</v>
      </c>
      <c r="C759" s="5">
        <v>34</v>
      </c>
      <c r="D759" s="20">
        <v>38</v>
      </c>
    </row>
    <row r="760" spans="1:4" x14ac:dyDescent="0.3">
      <c r="A760" s="4" t="str">
        <f>TEXT(Append1[[#This Row],[dteday]],"MMMM")</f>
        <v>February</v>
      </c>
      <c r="B760" s="4">
        <v>3</v>
      </c>
      <c r="C760" s="4">
        <v>10</v>
      </c>
      <c r="D760" s="19">
        <v>13</v>
      </c>
    </row>
    <row r="761" spans="1:4" x14ac:dyDescent="0.3">
      <c r="A761" s="5" t="str">
        <f>TEXT(Append1[[#This Row],[dteday]],"MMMM")</f>
        <v>February</v>
      </c>
      <c r="B761" s="5">
        <v>0</v>
      </c>
      <c r="C761" s="5">
        <v>7</v>
      </c>
      <c r="D761" s="20">
        <v>7</v>
      </c>
    </row>
    <row r="762" spans="1:4" x14ac:dyDescent="0.3">
      <c r="A762" s="4" t="str">
        <f>TEXT(Append1[[#This Row],[dteday]],"MMMM")</f>
        <v>February</v>
      </c>
      <c r="B762" s="4">
        <v>0</v>
      </c>
      <c r="C762" s="4">
        <v>1</v>
      </c>
      <c r="D762" s="19">
        <v>1</v>
      </c>
    </row>
    <row r="763" spans="1:4" x14ac:dyDescent="0.3">
      <c r="A763" s="5" t="str">
        <f>TEXT(Append1[[#This Row],[dteday]],"MMMM")</f>
        <v>February</v>
      </c>
      <c r="B763" s="5">
        <v>0</v>
      </c>
      <c r="C763" s="5">
        <v>1</v>
      </c>
      <c r="D763" s="20">
        <v>1</v>
      </c>
    </row>
    <row r="764" spans="1:4" x14ac:dyDescent="0.3">
      <c r="A764" s="4" t="str">
        <f>TEXT(Append1[[#This Row],[dteday]],"MMMM")</f>
        <v>February</v>
      </c>
      <c r="B764" s="4">
        <v>0</v>
      </c>
      <c r="C764" s="4">
        <v>7</v>
      </c>
      <c r="D764" s="19">
        <v>7</v>
      </c>
    </row>
    <row r="765" spans="1:4" x14ac:dyDescent="0.3">
      <c r="A765" s="5" t="str">
        <f>TEXT(Append1[[#This Row],[dteday]],"MMMM")</f>
        <v>February</v>
      </c>
      <c r="B765" s="5">
        <v>2</v>
      </c>
      <c r="C765" s="5">
        <v>26</v>
      </c>
      <c r="D765" s="20">
        <v>28</v>
      </c>
    </row>
    <row r="766" spans="1:4" x14ac:dyDescent="0.3">
      <c r="A766" s="4" t="str">
        <f>TEXT(Append1[[#This Row],[dteday]],"MMMM")</f>
        <v>February</v>
      </c>
      <c r="B766" s="4">
        <v>0</v>
      </c>
      <c r="C766" s="4">
        <v>87</v>
      </c>
      <c r="D766" s="19">
        <v>87</v>
      </c>
    </row>
    <row r="767" spans="1:4" x14ac:dyDescent="0.3">
      <c r="A767" s="5" t="str">
        <f>TEXT(Append1[[#This Row],[dteday]],"MMMM")</f>
        <v>February</v>
      </c>
      <c r="B767" s="5">
        <v>3</v>
      </c>
      <c r="C767" s="5">
        <v>217</v>
      </c>
      <c r="D767" s="20">
        <v>220</v>
      </c>
    </row>
    <row r="768" spans="1:4" x14ac:dyDescent="0.3">
      <c r="A768" s="4" t="str">
        <f>TEXT(Append1[[#This Row],[dteday]],"MMMM")</f>
        <v>February</v>
      </c>
      <c r="B768" s="4">
        <v>3</v>
      </c>
      <c r="C768" s="4">
        <v>124</v>
      </c>
      <c r="D768" s="19">
        <v>127</v>
      </c>
    </row>
    <row r="769" spans="1:4" x14ac:dyDescent="0.3">
      <c r="A769" s="5" t="str">
        <f>TEXT(Append1[[#This Row],[dteday]],"MMMM")</f>
        <v>February</v>
      </c>
      <c r="B769" s="5">
        <v>5</v>
      </c>
      <c r="C769" s="5">
        <v>46</v>
      </c>
      <c r="D769" s="20">
        <v>51</v>
      </c>
    </row>
    <row r="770" spans="1:4" x14ac:dyDescent="0.3">
      <c r="A770" s="4" t="str">
        <f>TEXT(Append1[[#This Row],[dteday]],"MMMM")</f>
        <v>February</v>
      </c>
      <c r="B770" s="4">
        <v>3</v>
      </c>
      <c r="C770" s="4">
        <v>61</v>
      </c>
      <c r="D770" s="19">
        <v>64</v>
      </c>
    </row>
    <row r="771" spans="1:4" x14ac:dyDescent="0.3">
      <c r="A771" s="5" t="str">
        <f>TEXT(Append1[[#This Row],[dteday]],"MMMM")</f>
        <v>February</v>
      </c>
      <c r="B771" s="5">
        <v>8</v>
      </c>
      <c r="C771" s="5">
        <v>78</v>
      </c>
      <c r="D771" s="20">
        <v>86</v>
      </c>
    </row>
    <row r="772" spans="1:4" x14ac:dyDescent="0.3">
      <c r="A772" s="4" t="str">
        <f>TEXT(Append1[[#This Row],[dteday]],"MMMM")</f>
        <v>February</v>
      </c>
      <c r="B772" s="4">
        <v>9</v>
      </c>
      <c r="C772" s="4">
        <v>73</v>
      </c>
      <c r="D772" s="19">
        <v>82</v>
      </c>
    </row>
    <row r="773" spans="1:4" x14ac:dyDescent="0.3">
      <c r="A773" s="5" t="str">
        <f>TEXT(Append1[[#This Row],[dteday]],"MMMM")</f>
        <v>February</v>
      </c>
      <c r="B773" s="5">
        <v>15</v>
      </c>
      <c r="C773" s="5">
        <v>76</v>
      </c>
      <c r="D773" s="20">
        <v>91</v>
      </c>
    </row>
    <row r="774" spans="1:4" x14ac:dyDescent="0.3">
      <c r="A774" s="4" t="str">
        <f>TEXT(Append1[[#This Row],[dteday]],"MMMM")</f>
        <v>February</v>
      </c>
      <c r="B774" s="4">
        <v>9</v>
      </c>
      <c r="C774" s="4">
        <v>81</v>
      </c>
      <c r="D774" s="19">
        <v>90</v>
      </c>
    </row>
    <row r="775" spans="1:4" x14ac:dyDescent="0.3">
      <c r="A775" s="5" t="str">
        <f>TEXT(Append1[[#This Row],[dteday]],"MMMM")</f>
        <v>February</v>
      </c>
      <c r="B775" s="5">
        <v>8</v>
      </c>
      <c r="C775" s="5">
        <v>91</v>
      </c>
      <c r="D775" s="20">
        <v>99</v>
      </c>
    </row>
    <row r="776" spans="1:4" x14ac:dyDescent="0.3">
      <c r="A776" s="4" t="str">
        <f>TEXT(Append1[[#This Row],[dteday]],"MMMM")</f>
        <v>February</v>
      </c>
      <c r="B776" s="4">
        <v>10</v>
      </c>
      <c r="C776" s="4">
        <v>195</v>
      </c>
      <c r="D776" s="19">
        <v>205</v>
      </c>
    </row>
    <row r="777" spans="1:4" x14ac:dyDescent="0.3">
      <c r="A777" s="5" t="str">
        <f>TEXT(Append1[[#This Row],[dteday]],"MMMM")</f>
        <v>February</v>
      </c>
      <c r="B777" s="5">
        <v>3</v>
      </c>
      <c r="C777" s="5">
        <v>152</v>
      </c>
      <c r="D777" s="20">
        <v>155</v>
      </c>
    </row>
    <row r="778" spans="1:4" x14ac:dyDescent="0.3">
      <c r="A778" s="4" t="str">
        <f>TEXT(Append1[[#This Row],[dteday]],"MMMM")</f>
        <v>February</v>
      </c>
      <c r="B778" s="4">
        <v>1</v>
      </c>
      <c r="C778" s="4">
        <v>102</v>
      </c>
      <c r="D778" s="19">
        <v>103</v>
      </c>
    </row>
    <row r="779" spans="1:4" x14ac:dyDescent="0.3">
      <c r="A779" s="5" t="str">
        <f>TEXT(Append1[[#This Row],[dteday]],"MMMM")</f>
        <v>February</v>
      </c>
      <c r="B779" s="5">
        <v>2</v>
      </c>
      <c r="C779" s="5">
        <v>69</v>
      </c>
      <c r="D779" s="20">
        <v>71</v>
      </c>
    </row>
    <row r="780" spans="1:4" x14ac:dyDescent="0.3">
      <c r="A780" s="4" t="str">
        <f>TEXT(Append1[[#This Row],[dteday]],"MMMM")</f>
        <v>February</v>
      </c>
      <c r="B780" s="4">
        <v>2</v>
      </c>
      <c r="C780" s="4">
        <v>41</v>
      </c>
      <c r="D780" s="19">
        <v>43</v>
      </c>
    </row>
    <row r="781" spans="1:4" x14ac:dyDescent="0.3">
      <c r="A781" s="5" t="str">
        <f>TEXT(Append1[[#This Row],[dteday]],"MMMM")</f>
        <v>February</v>
      </c>
      <c r="B781" s="5">
        <v>1</v>
      </c>
      <c r="C781" s="5">
        <v>45</v>
      </c>
      <c r="D781" s="20">
        <v>46</v>
      </c>
    </row>
    <row r="782" spans="1:4" x14ac:dyDescent="0.3">
      <c r="A782" s="4" t="str">
        <f>TEXT(Append1[[#This Row],[dteday]],"MMMM")</f>
        <v>February</v>
      </c>
      <c r="B782" s="4">
        <v>1</v>
      </c>
      <c r="C782" s="4">
        <v>30</v>
      </c>
      <c r="D782" s="19">
        <v>31</v>
      </c>
    </row>
    <row r="783" spans="1:4" x14ac:dyDescent="0.3">
      <c r="A783" s="5" t="str">
        <f>TEXT(Append1[[#This Row],[dteday]],"MMMM")</f>
        <v>February</v>
      </c>
      <c r="B783" s="5">
        <v>3</v>
      </c>
      <c r="C783" s="5">
        <v>36</v>
      </c>
      <c r="D783" s="20">
        <v>39</v>
      </c>
    </row>
    <row r="784" spans="1:4" x14ac:dyDescent="0.3">
      <c r="A784" s="4" t="str">
        <f>TEXT(Append1[[#This Row],[dteday]],"MMMM")</f>
        <v>February</v>
      </c>
      <c r="B784" s="4">
        <v>1</v>
      </c>
      <c r="C784" s="4">
        <v>17</v>
      </c>
      <c r="D784" s="19">
        <v>18</v>
      </c>
    </row>
    <row r="785" spans="1:4" x14ac:dyDescent="0.3">
      <c r="A785" s="5" t="str">
        <f>TEXT(Append1[[#This Row],[dteday]],"MMMM")</f>
        <v>February</v>
      </c>
      <c r="B785" s="5">
        <v>5</v>
      </c>
      <c r="C785" s="5">
        <v>12</v>
      </c>
      <c r="D785" s="20">
        <v>17</v>
      </c>
    </row>
    <row r="786" spans="1:4" x14ac:dyDescent="0.3">
      <c r="A786" s="4" t="str">
        <f>TEXT(Append1[[#This Row],[dteday]],"MMMM")</f>
        <v>February</v>
      </c>
      <c r="B786" s="4">
        <v>1</v>
      </c>
      <c r="C786" s="4">
        <v>10</v>
      </c>
      <c r="D786" s="19">
        <v>11</v>
      </c>
    </row>
    <row r="787" spans="1:4" x14ac:dyDescent="0.3">
      <c r="A787" s="5" t="str">
        <f>TEXT(Append1[[#This Row],[dteday]],"MMMM")</f>
        <v>February</v>
      </c>
      <c r="B787" s="5">
        <v>0</v>
      </c>
      <c r="C787" s="5">
        <v>8</v>
      </c>
      <c r="D787" s="20">
        <v>8</v>
      </c>
    </row>
    <row r="788" spans="1:4" x14ac:dyDescent="0.3">
      <c r="A788" s="4" t="str">
        <f>TEXT(Append1[[#This Row],[dteday]],"MMMM")</f>
        <v>February</v>
      </c>
      <c r="B788" s="4">
        <v>0</v>
      </c>
      <c r="C788" s="4">
        <v>9</v>
      </c>
      <c r="D788" s="19">
        <v>9</v>
      </c>
    </row>
    <row r="789" spans="1:4" x14ac:dyDescent="0.3">
      <c r="A789" s="5" t="str">
        <f>TEXT(Append1[[#This Row],[dteday]],"MMMM")</f>
        <v>February</v>
      </c>
      <c r="B789" s="5">
        <v>0</v>
      </c>
      <c r="C789" s="5">
        <v>4</v>
      </c>
      <c r="D789" s="20">
        <v>4</v>
      </c>
    </row>
    <row r="790" spans="1:4" x14ac:dyDescent="0.3">
      <c r="A790" s="4" t="str">
        <f>TEXT(Append1[[#This Row],[dteday]],"MMMM")</f>
        <v>February</v>
      </c>
      <c r="B790" s="4">
        <v>0</v>
      </c>
      <c r="C790" s="4">
        <v>4</v>
      </c>
      <c r="D790" s="19">
        <v>4</v>
      </c>
    </row>
    <row r="791" spans="1:4" x14ac:dyDescent="0.3">
      <c r="A791" s="5" t="str">
        <f>TEXT(Append1[[#This Row],[dteday]],"MMMM")</f>
        <v>February</v>
      </c>
      <c r="B791" s="5">
        <v>0</v>
      </c>
      <c r="C791" s="5">
        <v>10</v>
      </c>
      <c r="D791" s="20">
        <v>10</v>
      </c>
    </row>
    <row r="792" spans="1:4" x14ac:dyDescent="0.3">
      <c r="A792" s="4" t="str">
        <f>TEXT(Append1[[#This Row],[dteday]],"MMMM")</f>
        <v>February</v>
      </c>
      <c r="B792" s="4">
        <v>3</v>
      </c>
      <c r="C792" s="4">
        <v>17</v>
      </c>
      <c r="D792" s="19">
        <v>20</v>
      </c>
    </row>
    <row r="793" spans="1:4" x14ac:dyDescent="0.3">
      <c r="A793" s="5" t="str">
        <f>TEXT(Append1[[#This Row],[dteday]],"MMMM")</f>
        <v>February</v>
      </c>
      <c r="B793" s="5">
        <v>3</v>
      </c>
      <c r="C793" s="5">
        <v>31</v>
      </c>
      <c r="D793" s="20">
        <v>34</v>
      </c>
    </row>
    <row r="794" spans="1:4" x14ac:dyDescent="0.3">
      <c r="A794" s="4" t="str">
        <f>TEXT(Append1[[#This Row],[dteday]],"MMMM")</f>
        <v>February</v>
      </c>
      <c r="B794" s="4">
        <v>1</v>
      </c>
      <c r="C794" s="4">
        <v>46</v>
      </c>
      <c r="D794" s="19">
        <v>47</v>
      </c>
    </row>
    <row r="795" spans="1:4" x14ac:dyDescent="0.3">
      <c r="A795" s="5" t="str">
        <f>TEXT(Append1[[#This Row],[dteday]],"MMMM")</f>
        <v>February</v>
      </c>
      <c r="B795" s="5">
        <v>10</v>
      </c>
      <c r="C795" s="5">
        <v>42</v>
      </c>
      <c r="D795" s="20">
        <v>52</v>
      </c>
    </row>
    <row r="796" spans="1:4" x14ac:dyDescent="0.3">
      <c r="A796" s="4" t="str">
        <f>TEXT(Append1[[#This Row],[dteday]],"MMMM")</f>
        <v>February</v>
      </c>
      <c r="B796" s="4">
        <v>10</v>
      </c>
      <c r="C796" s="4">
        <v>62</v>
      </c>
      <c r="D796" s="19">
        <v>72</v>
      </c>
    </row>
    <row r="797" spans="1:4" x14ac:dyDescent="0.3">
      <c r="A797" s="5" t="str">
        <f>TEXT(Append1[[#This Row],[dteday]],"MMMM")</f>
        <v>February</v>
      </c>
      <c r="B797" s="5">
        <v>5</v>
      </c>
      <c r="C797" s="5">
        <v>50</v>
      </c>
      <c r="D797" s="20">
        <v>55</v>
      </c>
    </row>
    <row r="798" spans="1:4" x14ac:dyDescent="0.3">
      <c r="A798" s="4" t="str">
        <f>TEXT(Append1[[#This Row],[dteday]],"MMMM")</f>
        <v>February</v>
      </c>
      <c r="B798" s="4">
        <v>11</v>
      </c>
      <c r="C798" s="4">
        <v>49</v>
      </c>
      <c r="D798" s="19">
        <v>60</v>
      </c>
    </row>
    <row r="799" spans="1:4" x14ac:dyDescent="0.3">
      <c r="A799" s="5" t="str">
        <f>TEXT(Append1[[#This Row],[dteday]],"MMMM")</f>
        <v>February</v>
      </c>
      <c r="B799" s="5">
        <v>8</v>
      </c>
      <c r="C799" s="5">
        <v>63</v>
      </c>
      <c r="D799" s="20">
        <v>71</v>
      </c>
    </row>
    <row r="800" spans="1:4" x14ac:dyDescent="0.3">
      <c r="A800" s="4" t="str">
        <f>TEXT(Append1[[#This Row],[dteday]],"MMMM")</f>
        <v>February</v>
      </c>
      <c r="B800" s="4">
        <v>14</v>
      </c>
      <c r="C800" s="4">
        <v>64</v>
      </c>
      <c r="D800" s="19">
        <v>78</v>
      </c>
    </row>
    <row r="801" spans="1:4" x14ac:dyDescent="0.3">
      <c r="A801" s="5" t="str">
        <f>TEXT(Append1[[#This Row],[dteday]],"MMMM")</f>
        <v>February</v>
      </c>
      <c r="B801" s="5">
        <v>2</v>
      </c>
      <c r="C801" s="5">
        <v>81</v>
      </c>
      <c r="D801" s="20">
        <v>83</v>
      </c>
    </row>
    <row r="802" spans="1:4" x14ac:dyDescent="0.3">
      <c r="A802" s="4" t="str">
        <f>TEXT(Append1[[#This Row],[dteday]],"MMMM")</f>
        <v>February</v>
      </c>
      <c r="B802" s="4">
        <v>6</v>
      </c>
      <c r="C802" s="4">
        <v>78</v>
      </c>
      <c r="D802" s="19">
        <v>84</v>
      </c>
    </row>
    <row r="803" spans="1:4" x14ac:dyDescent="0.3">
      <c r="A803" s="5" t="str">
        <f>TEXT(Append1[[#This Row],[dteday]],"MMMM")</f>
        <v>February</v>
      </c>
      <c r="B803" s="5">
        <v>5</v>
      </c>
      <c r="C803" s="5">
        <v>64</v>
      </c>
      <c r="D803" s="20">
        <v>69</v>
      </c>
    </row>
    <row r="804" spans="1:4" x14ac:dyDescent="0.3">
      <c r="A804" s="4" t="str">
        <f>TEXT(Append1[[#This Row],[dteday]],"MMMM")</f>
        <v>February</v>
      </c>
      <c r="B804" s="4">
        <v>3</v>
      </c>
      <c r="C804" s="4">
        <v>53</v>
      </c>
      <c r="D804" s="19">
        <v>56</v>
      </c>
    </row>
    <row r="805" spans="1:4" x14ac:dyDescent="0.3">
      <c r="A805" s="5" t="str">
        <f>TEXT(Append1[[#This Row],[dteday]],"MMMM")</f>
        <v>February</v>
      </c>
      <c r="B805" s="5">
        <v>2</v>
      </c>
      <c r="C805" s="5">
        <v>43</v>
      </c>
      <c r="D805" s="20">
        <v>45</v>
      </c>
    </row>
    <row r="806" spans="1:4" x14ac:dyDescent="0.3">
      <c r="A806" s="4" t="str">
        <f>TEXT(Append1[[#This Row],[dteday]],"MMMM")</f>
        <v>February</v>
      </c>
      <c r="B806" s="4">
        <v>7</v>
      </c>
      <c r="C806" s="4">
        <v>52</v>
      </c>
      <c r="D806" s="19">
        <v>59</v>
      </c>
    </row>
    <row r="807" spans="1:4" x14ac:dyDescent="0.3">
      <c r="A807" s="5" t="str">
        <f>TEXT(Append1[[#This Row],[dteday]],"MMMM")</f>
        <v>February</v>
      </c>
      <c r="B807" s="5">
        <v>2</v>
      </c>
      <c r="C807" s="5">
        <v>37</v>
      </c>
      <c r="D807" s="20">
        <v>39</v>
      </c>
    </row>
    <row r="808" spans="1:4" x14ac:dyDescent="0.3">
      <c r="A808" s="4" t="str">
        <f>TEXT(Append1[[#This Row],[dteday]],"MMMM")</f>
        <v>February</v>
      </c>
      <c r="B808" s="4">
        <v>4</v>
      </c>
      <c r="C808" s="4">
        <v>40</v>
      </c>
      <c r="D808" s="19">
        <v>44</v>
      </c>
    </row>
    <row r="809" spans="1:4" x14ac:dyDescent="0.3">
      <c r="A809" s="5" t="str">
        <f>TEXT(Append1[[#This Row],[dteday]],"MMMM")</f>
        <v>February</v>
      </c>
      <c r="B809" s="5">
        <v>0</v>
      </c>
      <c r="C809" s="5">
        <v>20</v>
      </c>
      <c r="D809" s="20">
        <v>20</v>
      </c>
    </row>
    <row r="810" spans="1:4" x14ac:dyDescent="0.3">
      <c r="A810" s="4" t="str">
        <f>TEXT(Append1[[#This Row],[dteday]],"MMMM")</f>
        <v>February</v>
      </c>
      <c r="B810" s="4">
        <v>3</v>
      </c>
      <c r="C810" s="4">
        <v>10</v>
      </c>
      <c r="D810" s="19">
        <v>13</v>
      </c>
    </row>
    <row r="811" spans="1:4" x14ac:dyDescent="0.3">
      <c r="A811" s="5" t="str">
        <f>TEXT(Append1[[#This Row],[dteday]],"MMMM")</f>
        <v>February</v>
      </c>
      <c r="B811" s="5">
        <v>0</v>
      </c>
      <c r="C811" s="5">
        <v>2</v>
      </c>
      <c r="D811" s="20">
        <v>2</v>
      </c>
    </row>
    <row r="812" spans="1:4" x14ac:dyDescent="0.3">
      <c r="A812" s="4" t="str">
        <f>TEXT(Append1[[#This Row],[dteday]],"MMMM")</f>
        <v>February</v>
      </c>
      <c r="B812" s="4">
        <v>0</v>
      </c>
      <c r="C812" s="4">
        <v>1</v>
      </c>
      <c r="D812" s="19">
        <v>1</v>
      </c>
    </row>
    <row r="813" spans="1:4" x14ac:dyDescent="0.3">
      <c r="A813" s="5" t="str">
        <f>TEXT(Append1[[#This Row],[dteday]],"MMMM")</f>
        <v>February</v>
      </c>
      <c r="B813" s="5">
        <v>0</v>
      </c>
      <c r="C813" s="5">
        <v>1</v>
      </c>
      <c r="D813" s="20">
        <v>1</v>
      </c>
    </row>
    <row r="814" spans="1:4" x14ac:dyDescent="0.3">
      <c r="A814" s="4" t="str">
        <f>TEXT(Append1[[#This Row],[dteday]],"MMMM")</f>
        <v>February</v>
      </c>
      <c r="B814" s="4">
        <v>0</v>
      </c>
      <c r="C814" s="4">
        <v>8</v>
      </c>
      <c r="D814" s="19">
        <v>8</v>
      </c>
    </row>
    <row r="815" spans="1:4" x14ac:dyDescent="0.3">
      <c r="A815" s="5" t="str">
        <f>TEXT(Append1[[#This Row],[dteday]],"MMMM")</f>
        <v>February</v>
      </c>
      <c r="B815" s="5">
        <v>2</v>
      </c>
      <c r="C815" s="5">
        <v>21</v>
      </c>
      <c r="D815" s="20">
        <v>23</v>
      </c>
    </row>
    <row r="816" spans="1:4" x14ac:dyDescent="0.3">
      <c r="A816" s="4" t="str">
        <f>TEXT(Append1[[#This Row],[dteday]],"MMMM")</f>
        <v>February</v>
      </c>
      <c r="B816" s="4">
        <v>7</v>
      </c>
      <c r="C816" s="4">
        <v>38</v>
      </c>
      <c r="D816" s="19">
        <v>45</v>
      </c>
    </row>
    <row r="817" spans="1:4" x14ac:dyDescent="0.3">
      <c r="A817" s="5" t="str">
        <f>TEXT(Append1[[#This Row],[dteday]],"MMMM")</f>
        <v>February</v>
      </c>
      <c r="B817" s="5">
        <v>15</v>
      </c>
      <c r="C817" s="5">
        <v>74</v>
      </c>
      <c r="D817" s="20">
        <v>89</v>
      </c>
    </row>
    <row r="818" spans="1:4" x14ac:dyDescent="0.3">
      <c r="A818" s="4" t="str">
        <f>TEXT(Append1[[#This Row],[dteday]],"MMMM")</f>
        <v>February</v>
      </c>
      <c r="B818" s="4">
        <v>28</v>
      </c>
      <c r="C818" s="4">
        <v>89</v>
      </c>
      <c r="D818" s="19">
        <v>117</v>
      </c>
    </row>
    <row r="819" spans="1:4" x14ac:dyDescent="0.3">
      <c r="A819" s="5" t="str">
        <f>TEXT(Append1[[#This Row],[dteday]],"MMMM")</f>
        <v>February</v>
      </c>
      <c r="B819" s="5">
        <v>48</v>
      </c>
      <c r="C819" s="5">
        <v>126</v>
      </c>
      <c r="D819" s="20">
        <v>174</v>
      </c>
    </row>
    <row r="820" spans="1:4" x14ac:dyDescent="0.3">
      <c r="A820" s="4" t="str">
        <f>TEXT(Append1[[#This Row],[dteday]],"MMMM")</f>
        <v>February</v>
      </c>
      <c r="B820" s="4">
        <v>47</v>
      </c>
      <c r="C820" s="4">
        <v>135</v>
      </c>
      <c r="D820" s="19">
        <v>182</v>
      </c>
    </row>
    <row r="821" spans="1:4" x14ac:dyDescent="0.3">
      <c r="A821" s="5" t="str">
        <f>TEXT(Append1[[#This Row],[dteday]],"MMMM")</f>
        <v>February</v>
      </c>
      <c r="B821" s="5">
        <v>47</v>
      </c>
      <c r="C821" s="5">
        <v>114</v>
      </c>
      <c r="D821" s="20">
        <v>161</v>
      </c>
    </row>
    <row r="822" spans="1:4" x14ac:dyDescent="0.3">
      <c r="A822" s="4" t="str">
        <f>TEXT(Append1[[#This Row],[dteday]],"MMMM")</f>
        <v>February</v>
      </c>
      <c r="B822" s="4">
        <v>52</v>
      </c>
      <c r="C822" s="4">
        <v>130</v>
      </c>
      <c r="D822" s="19">
        <v>182</v>
      </c>
    </row>
    <row r="823" spans="1:4" x14ac:dyDescent="0.3">
      <c r="A823" s="5" t="str">
        <f>TEXT(Append1[[#This Row],[dteday]],"MMMM")</f>
        <v>February</v>
      </c>
      <c r="B823" s="5">
        <v>42</v>
      </c>
      <c r="C823" s="5">
        <v>115</v>
      </c>
      <c r="D823" s="20">
        <v>157</v>
      </c>
    </row>
    <row r="824" spans="1:4" x14ac:dyDescent="0.3">
      <c r="A824" s="4" t="str">
        <f>TEXT(Append1[[#This Row],[dteday]],"MMMM")</f>
        <v>February</v>
      </c>
      <c r="B824" s="4">
        <v>24</v>
      </c>
      <c r="C824" s="4">
        <v>97</v>
      </c>
      <c r="D824" s="19">
        <v>121</v>
      </c>
    </row>
    <row r="825" spans="1:4" x14ac:dyDescent="0.3">
      <c r="A825" s="5" t="str">
        <f>TEXT(Append1[[#This Row],[dteday]],"MMMM")</f>
        <v>February</v>
      </c>
      <c r="B825" s="5">
        <v>13</v>
      </c>
      <c r="C825" s="5">
        <v>65</v>
      </c>
      <c r="D825" s="20">
        <v>78</v>
      </c>
    </row>
    <row r="826" spans="1:4" x14ac:dyDescent="0.3">
      <c r="A826" s="4" t="str">
        <f>TEXT(Append1[[#This Row],[dteday]],"MMMM")</f>
        <v>February</v>
      </c>
      <c r="B826" s="4">
        <v>1</v>
      </c>
      <c r="C826" s="4">
        <v>20</v>
      </c>
      <c r="D826" s="19">
        <v>21</v>
      </c>
    </row>
    <row r="827" spans="1:4" x14ac:dyDescent="0.3">
      <c r="A827" s="5" t="str">
        <f>TEXT(Append1[[#This Row],[dteday]],"MMMM")</f>
        <v>February</v>
      </c>
      <c r="B827" s="5">
        <v>5</v>
      </c>
      <c r="C827" s="5">
        <v>21</v>
      </c>
      <c r="D827" s="20">
        <v>26</v>
      </c>
    </row>
    <row r="828" spans="1:4" x14ac:dyDescent="0.3">
      <c r="A828" s="4" t="str">
        <f>TEXT(Append1[[#This Row],[dteday]],"MMMM")</f>
        <v>February</v>
      </c>
      <c r="B828" s="4">
        <v>5</v>
      </c>
      <c r="C828" s="4">
        <v>22</v>
      </c>
      <c r="D828" s="19">
        <v>27</v>
      </c>
    </row>
    <row r="829" spans="1:4" x14ac:dyDescent="0.3">
      <c r="A829" s="5" t="str">
        <f>TEXT(Append1[[#This Row],[dteday]],"MMMM")</f>
        <v>February</v>
      </c>
      <c r="B829" s="5">
        <v>5</v>
      </c>
      <c r="C829" s="5">
        <v>57</v>
      </c>
      <c r="D829" s="20">
        <v>62</v>
      </c>
    </row>
    <row r="830" spans="1:4" x14ac:dyDescent="0.3">
      <c r="A830" s="4" t="str">
        <f>TEXT(Append1[[#This Row],[dteday]],"MMMM")</f>
        <v>February</v>
      </c>
      <c r="B830" s="4">
        <v>4</v>
      </c>
      <c r="C830" s="4">
        <v>26</v>
      </c>
      <c r="D830" s="19">
        <v>30</v>
      </c>
    </row>
    <row r="831" spans="1:4" x14ac:dyDescent="0.3">
      <c r="A831" s="5" t="str">
        <f>TEXT(Append1[[#This Row],[dteday]],"MMMM")</f>
        <v>February</v>
      </c>
      <c r="B831" s="5">
        <v>1</v>
      </c>
      <c r="C831" s="5">
        <v>14</v>
      </c>
      <c r="D831" s="20">
        <v>15</v>
      </c>
    </row>
    <row r="832" spans="1:4" x14ac:dyDescent="0.3">
      <c r="A832" s="4" t="str">
        <f>TEXT(Append1[[#This Row],[dteday]],"MMMM")</f>
        <v>February</v>
      </c>
      <c r="B832" s="4">
        <v>1</v>
      </c>
      <c r="C832" s="4">
        <v>4</v>
      </c>
      <c r="D832" s="19">
        <v>5</v>
      </c>
    </row>
    <row r="833" spans="1:4" x14ac:dyDescent="0.3">
      <c r="A833" s="5" t="str">
        <f>TEXT(Append1[[#This Row],[dteday]],"MMMM")</f>
        <v>February</v>
      </c>
      <c r="B833" s="5">
        <v>0</v>
      </c>
      <c r="C833" s="5">
        <v>3</v>
      </c>
      <c r="D833" s="20">
        <v>3</v>
      </c>
    </row>
    <row r="834" spans="1:4" x14ac:dyDescent="0.3">
      <c r="A834" s="4" t="str">
        <f>TEXT(Append1[[#This Row],[dteday]],"MMMM")</f>
        <v>February</v>
      </c>
      <c r="B834" s="4">
        <v>0</v>
      </c>
      <c r="C834" s="4">
        <v>1</v>
      </c>
      <c r="D834" s="19">
        <v>1</v>
      </c>
    </row>
    <row r="835" spans="1:4" x14ac:dyDescent="0.3">
      <c r="A835" s="5" t="str">
        <f>TEXT(Append1[[#This Row],[dteday]],"MMMM")</f>
        <v>February</v>
      </c>
      <c r="B835" s="5">
        <v>1</v>
      </c>
      <c r="C835" s="5">
        <v>1</v>
      </c>
      <c r="D835" s="20">
        <v>2</v>
      </c>
    </row>
    <row r="836" spans="1:4" x14ac:dyDescent="0.3">
      <c r="A836" s="4" t="str">
        <f>TEXT(Append1[[#This Row],[dteday]],"MMMM")</f>
        <v>February</v>
      </c>
      <c r="B836" s="4">
        <v>1</v>
      </c>
      <c r="C836" s="4">
        <v>9</v>
      </c>
      <c r="D836" s="19">
        <v>10</v>
      </c>
    </row>
    <row r="837" spans="1:4" x14ac:dyDescent="0.3">
      <c r="A837" s="5" t="str">
        <f>TEXT(Append1[[#This Row],[dteday]],"MMMM")</f>
        <v>February</v>
      </c>
      <c r="B837" s="5">
        <v>1</v>
      </c>
      <c r="C837" s="5">
        <v>29</v>
      </c>
      <c r="D837" s="20">
        <v>30</v>
      </c>
    </row>
    <row r="838" spans="1:4" x14ac:dyDescent="0.3">
      <c r="A838" s="4" t="str">
        <f>TEXT(Append1[[#This Row],[dteday]],"MMMM")</f>
        <v>February</v>
      </c>
      <c r="B838" s="4">
        <v>6</v>
      </c>
      <c r="C838" s="4">
        <v>89</v>
      </c>
      <c r="D838" s="19">
        <v>95</v>
      </c>
    </row>
    <row r="839" spans="1:4" x14ac:dyDescent="0.3">
      <c r="A839" s="5" t="str">
        <f>TEXT(Append1[[#This Row],[dteday]],"MMMM")</f>
        <v>February</v>
      </c>
      <c r="B839" s="5">
        <v>7</v>
      </c>
      <c r="C839" s="5">
        <v>223</v>
      </c>
      <c r="D839" s="20">
        <v>230</v>
      </c>
    </row>
    <row r="840" spans="1:4" x14ac:dyDescent="0.3">
      <c r="A840" s="4" t="str">
        <f>TEXT(Append1[[#This Row],[dteday]],"MMMM")</f>
        <v>February</v>
      </c>
      <c r="B840" s="4">
        <v>3</v>
      </c>
      <c r="C840" s="4">
        <v>115</v>
      </c>
      <c r="D840" s="19">
        <v>118</v>
      </c>
    </row>
    <row r="841" spans="1:4" x14ac:dyDescent="0.3">
      <c r="A841" s="5" t="str">
        <f>TEXT(Append1[[#This Row],[dteday]],"MMMM")</f>
        <v>February</v>
      </c>
      <c r="B841" s="5">
        <v>6</v>
      </c>
      <c r="C841" s="5">
        <v>49</v>
      </c>
      <c r="D841" s="20">
        <v>55</v>
      </c>
    </row>
    <row r="842" spans="1:4" x14ac:dyDescent="0.3">
      <c r="A842" s="4" t="str">
        <f>TEXT(Append1[[#This Row],[dteday]],"MMMM")</f>
        <v>February</v>
      </c>
      <c r="B842" s="4">
        <v>11</v>
      </c>
      <c r="C842" s="4">
        <v>36</v>
      </c>
      <c r="D842" s="19">
        <v>47</v>
      </c>
    </row>
    <row r="843" spans="1:4" x14ac:dyDescent="0.3">
      <c r="A843" s="5" t="str">
        <f>TEXT(Append1[[#This Row],[dteday]],"MMMM")</f>
        <v>February</v>
      </c>
      <c r="B843" s="5">
        <v>7</v>
      </c>
      <c r="C843" s="5">
        <v>59</v>
      </c>
      <c r="D843" s="20">
        <v>66</v>
      </c>
    </row>
    <row r="844" spans="1:4" x14ac:dyDescent="0.3">
      <c r="A844" s="4" t="str">
        <f>TEXT(Append1[[#This Row],[dteday]],"MMMM")</f>
        <v>February</v>
      </c>
      <c r="B844" s="4">
        <v>10</v>
      </c>
      <c r="C844" s="4">
        <v>54</v>
      </c>
      <c r="D844" s="19">
        <v>64</v>
      </c>
    </row>
    <row r="845" spans="1:4" x14ac:dyDescent="0.3">
      <c r="A845" s="5" t="str">
        <f>TEXT(Append1[[#This Row],[dteday]],"MMMM")</f>
        <v>February</v>
      </c>
      <c r="B845" s="5">
        <v>8</v>
      </c>
      <c r="C845" s="5">
        <v>52</v>
      </c>
      <c r="D845" s="20">
        <v>60</v>
      </c>
    </row>
    <row r="846" spans="1:4" x14ac:dyDescent="0.3">
      <c r="A846" s="4" t="str">
        <f>TEXT(Append1[[#This Row],[dteday]],"MMMM")</f>
        <v>February</v>
      </c>
      <c r="B846" s="4">
        <v>4</v>
      </c>
      <c r="C846" s="4">
        <v>46</v>
      </c>
      <c r="D846" s="19">
        <v>50</v>
      </c>
    </row>
    <row r="847" spans="1:4" x14ac:dyDescent="0.3">
      <c r="A847" s="5" t="str">
        <f>TEXT(Append1[[#This Row],[dteday]],"MMMM")</f>
        <v>February</v>
      </c>
      <c r="B847" s="5">
        <v>16</v>
      </c>
      <c r="C847" s="5">
        <v>98</v>
      </c>
      <c r="D847" s="20">
        <v>114</v>
      </c>
    </row>
    <row r="848" spans="1:4" x14ac:dyDescent="0.3">
      <c r="A848" s="4" t="str">
        <f>TEXT(Append1[[#This Row],[dteday]],"MMMM")</f>
        <v>February</v>
      </c>
      <c r="B848" s="4">
        <v>9</v>
      </c>
      <c r="C848" s="4">
        <v>207</v>
      </c>
      <c r="D848" s="19">
        <v>216</v>
      </c>
    </row>
    <row r="849" spans="1:4" x14ac:dyDescent="0.3">
      <c r="A849" s="5" t="str">
        <f>TEXT(Append1[[#This Row],[dteday]],"MMMM")</f>
        <v>February</v>
      </c>
      <c r="B849" s="5">
        <v>5</v>
      </c>
      <c r="C849" s="5">
        <v>170</v>
      </c>
      <c r="D849" s="20">
        <v>175</v>
      </c>
    </row>
    <row r="850" spans="1:4" x14ac:dyDescent="0.3">
      <c r="A850" s="4" t="str">
        <f>TEXT(Append1[[#This Row],[dteday]],"MMMM")</f>
        <v>February</v>
      </c>
      <c r="B850" s="4">
        <v>5</v>
      </c>
      <c r="C850" s="4">
        <v>123</v>
      </c>
      <c r="D850" s="19">
        <v>128</v>
      </c>
    </row>
    <row r="851" spans="1:4" x14ac:dyDescent="0.3">
      <c r="A851" s="5" t="str">
        <f>TEXT(Append1[[#This Row],[dteday]],"MMMM")</f>
        <v>February</v>
      </c>
      <c r="B851" s="5">
        <v>6</v>
      </c>
      <c r="C851" s="5">
        <v>82</v>
      </c>
      <c r="D851" s="20">
        <v>88</v>
      </c>
    </row>
    <row r="852" spans="1:4" x14ac:dyDescent="0.3">
      <c r="A852" s="4" t="str">
        <f>TEXT(Append1[[#This Row],[dteday]],"MMMM")</f>
        <v>February</v>
      </c>
      <c r="B852" s="4">
        <v>3</v>
      </c>
      <c r="C852" s="4">
        <v>75</v>
      </c>
      <c r="D852" s="19">
        <v>78</v>
      </c>
    </row>
    <row r="853" spans="1:4" x14ac:dyDescent="0.3">
      <c r="A853" s="5" t="str">
        <f>TEXT(Append1[[#This Row],[dteday]],"MMMM")</f>
        <v>February</v>
      </c>
      <c r="B853" s="5">
        <v>3</v>
      </c>
      <c r="C853" s="5">
        <v>34</v>
      </c>
      <c r="D853" s="20">
        <v>37</v>
      </c>
    </row>
    <row r="854" spans="1:4" x14ac:dyDescent="0.3">
      <c r="A854" s="4" t="str">
        <f>TEXT(Append1[[#This Row],[dteday]],"MMMM")</f>
        <v>February</v>
      </c>
      <c r="B854" s="4">
        <v>6</v>
      </c>
      <c r="C854" s="4">
        <v>19</v>
      </c>
      <c r="D854" s="19">
        <v>25</v>
      </c>
    </row>
    <row r="855" spans="1:4" x14ac:dyDescent="0.3">
      <c r="A855" s="5" t="str">
        <f>TEXT(Append1[[#This Row],[dteday]],"MMMM")</f>
        <v>February</v>
      </c>
      <c r="B855" s="5">
        <v>4</v>
      </c>
      <c r="C855" s="5">
        <v>6</v>
      </c>
      <c r="D855" s="20">
        <v>10</v>
      </c>
    </row>
    <row r="856" spans="1:4" x14ac:dyDescent="0.3">
      <c r="A856" s="4" t="str">
        <f>TEXT(Append1[[#This Row],[dteday]],"MMMM")</f>
        <v>February</v>
      </c>
      <c r="B856" s="4">
        <v>0</v>
      </c>
      <c r="C856" s="4">
        <v>4</v>
      </c>
      <c r="D856" s="19">
        <v>4</v>
      </c>
    </row>
    <row r="857" spans="1:4" x14ac:dyDescent="0.3">
      <c r="A857" s="5" t="str">
        <f>TEXT(Append1[[#This Row],[dteday]],"MMMM")</f>
        <v>February</v>
      </c>
      <c r="B857" s="5">
        <v>1</v>
      </c>
      <c r="C857" s="5">
        <v>1</v>
      </c>
      <c r="D857" s="20">
        <v>2</v>
      </c>
    </row>
    <row r="858" spans="1:4" x14ac:dyDescent="0.3">
      <c r="A858" s="4" t="str">
        <f>TEXT(Append1[[#This Row],[dteday]],"MMMM")</f>
        <v>February</v>
      </c>
      <c r="B858" s="4">
        <v>0</v>
      </c>
      <c r="C858" s="4">
        <v>1</v>
      </c>
      <c r="D858" s="19">
        <v>1</v>
      </c>
    </row>
    <row r="859" spans="1:4" x14ac:dyDescent="0.3">
      <c r="A859" s="5" t="str">
        <f>TEXT(Append1[[#This Row],[dteday]],"MMMM")</f>
        <v>February</v>
      </c>
      <c r="B859" s="5">
        <v>0</v>
      </c>
      <c r="C859" s="5">
        <v>3</v>
      </c>
      <c r="D859" s="20">
        <v>3</v>
      </c>
    </row>
    <row r="860" spans="1:4" x14ac:dyDescent="0.3">
      <c r="A860" s="4" t="str">
        <f>TEXT(Append1[[#This Row],[dteday]],"MMMM")</f>
        <v>February</v>
      </c>
      <c r="B860" s="4">
        <v>0</v>
      </c>
      <c r="C860" s="4">
        <v>2</v>
      </c>
      <c r="D860" s="19">
        <v>2</v>
      </c>
    </row>
    <row r="861" spans="1:4" x14ac:dyDescent="0.3">
      <c r="A861" s="5" t="str">
        <f>TEXT(Append1[[#This Row],[dteday]],"MMMM")</f>
        <v>February</v>
      </c>
      <c r="B861" s="5">
        <v>0</v>
      </c>
      <c r="C861" s="5">
        <v>39</v>
      </c>
      <c r="D861" s="20">
        <v>39</v>
      </c>
    </row>
    <row r="862" spans="1:4" x14ac:dyDescent="0.3">
      <c r="A862" s="4" t="str">
        <f>TEXT(Append1[[#This Row],[dteday]],"MMMM")</f>
        <v>February</v>
      </c>
      <c r="B862" s="4">
        <v>3</v>
      </c>
      <c r="C862" s="4">
        <v>97</v>
      </c>
      <c r="D862" s="19">
        <v>100</v>
      </c>
    </row>
    <row r="863" spans="1:4" x14ac:dyDescent="0.3">
      <c r="A863" s="5" t="str">
        <f>TEXT(Append1[[#This Row],[dteday]],"MMMM")</f>
        <v>February</v>
      </c>
      <c r="B863" s="5">
        <v>7</v>
      </c>
      <c r="C863" s="5">
        <v>236</v>
      </c>
      <c r="D863" s="20">
        <v>243</v>
      </c>
    </row>
    <row r="864" spans="1:4" x14ac:dyDescent="0.3">
      <c r="A864" s="4" t="str">
        <f>TEXT(Append1[[#This Row],[dteday]],"MMMM")</f>
        <v>February</v>
      </c>
      <c r="B864" s="4">
        <v>7</v>
      </c>
      <c r="C864" s="4">
        <v>128</v>
      </c>
      <c r="D864" s="19">
        <v>135</v>
      </c>
    </row>
    <row r="865" spans="1:4" x14ac:dyDescent="0.3">
      <c r="A865" s="5" t="str">
        <f>TEXT(Append1[[#This Row],[dteday]],"MMMM")</f>
        <v>February</v>
      </c>
      <c r="B865" s="5">
        <v>4</v>
      </c>
      <c r="C865" s="5">
        <v>44</v>
      </c>
      <c r="D865" s="20">
        <v>48</v>
      </c>
    </row>
    <row r="866" spans="1:4" x14ac:dyDescent="0.3">
      <c r="A866" s="4" t="str">
        <f>TEXT(Append1[[#This Row],[dteday]],"MMMM")</f>
        <v>February</v>
      </c>
      <c r="B866" s="4">
        <v>1</v>
      </c>
      <c r="C866" s="4">
        <v>49</v>
      </c>
      <c r="D866" s="19">
        <v>50</v>
      </c>
    </row>
    <row r="867" spans="1:4" x14ac:dyDescent="0.3">
      <c r="A867" s="5" t="str">
        <f>TEXT(Append1[[#This Row],[dteday]],"MMMM")</f>
        <v>February</v>
      </c>
      <c r="B867" s="5">
        <v>2</v>
      </c>
      <c r="C867" s="5">
        <v>63</v>
      </c>
      <c r="D867" s="20">
        <v>65</v>
      </c>
    </row>
    <row r="868" spans="1:4" x14ac:dyDescent="0.3">
      <c r="A868" s="4" t="str">
        <f>TEXT(Append1[[#This Row],[dteday]],"MMMM")</f>
        <v>February</v>
      </c>
      <c r="B868" s="4">
        <v>2</v>
      </c>
      <c r="C868" s="4">
        <v>48</v>
      </c>
      <c r="D868" s="19">
        <v>50</v>
      </c>
    </row>
    <row r="869" spans="1:4" x14ac:dyDescent="0.3">
      <c r="A869" s="5" t="str">
        <f>TEXT(Append1[[#This Row],[dteday]],"MMMM")</f>
        <v>February</v>
      </c>
      <c r="B869" s="5">
        <v>3</v>
      </c>
      <c r="C869" s="5">
        <v>61</v>
      </c>
      <c r="D869" s="20">
        <v>64</v>
      </c>
    </row>
    <row r="870" spans="1:4" x14ac:dyDescent="0.3">
      <c r="A870" s="4" t="str">
        <f>TEXT(Append1[[#This Row],[dteday]],"MMMM")</f>
        <v>February</v>
      </c>
      <c r="B870" s="4">
        <v>6</v>
      </c>
      <c r="C870" s="4">
        <v>45</v>
      </c>
      <c r="D870" s="19">
        <v>51</v>
      </c>
    </row>
    <row r="871" spans="1:4" x14ac:dyDescent="0.3">
      <c r="A871" s="5" t="str">
        <f>TEXT(Append1[[#This Row],[dteday]],"MMMM")</f>
        <v>February</v>
      </c>
      <c r="B871" s="5">
        <v>4</v>
      </c>
      <c r="C871" s="5">
        <v>79</v>
      </c>
      <c r="D871" s="20">
        <v>83</v>
      </c>
    </row>
    <row r="872" spans="1:4" x14ac:dyDescent="0.3">
      <c r="A872" s="4" t="str">
        <f>TEXT(Append1[[#This Row],[dteday]],"MMMM")</f>
        <v>February</v>
      </c>
      <c r="B872" s="4">
        <v>4</v>
      </c>
      <c r="C872" s="4">
        <v>172</v>
      </c>
      <c r="D872" s="19">
        <v>176</v>
      </c>
    </row>
    <row r="873" spans="1:4" x14ac:dyDescent="0.3">
      <c r="A873" s="5" t="str">
        <f>TEXT(Append1[[#This Row],[dteday]],"MMMM")</f>
        <v>February</v>
      </c>
      <c r="B873" s="5">
        <v>1</v>
      </c>
      <c r="C873" s="5">
        <v>151</v>
      </c>
      <c r="D873" s="20">
        <v>152</v>
      </c>
    </row>
    <row r="874" spans="1:4" x14ac:dyDescent="0.3">
      <c r="A874" s="4" t="str">
        <f>TEXT(Append1[[#This Row],[dteday]],"MMMM")</f>
        <v>February</v>
      </c>
      <c r="B874" s="4">
        <v>1</v>
      </c>
      <c r="C874" s="4">
        <v>100</v>
      </c>
      <c r="D874" s="19">
        <v>101</v>
      </c>
    </row>
    <row r="875" spans="1:4" x14ac:dyDescent="0.3">
      <c r="A875" s="5" t="str">
        <f>TEXT(Append1[[#This Row],[dteday]],"MMMM")</f>
        <v>February</v>
      </c>
      <c r="B875" s="5">
        <v>3</v>
      </c>
      <c r="C875" s="5">
        <v>53</v>
      </c>
      <c r="D875" s="20">
        <v>56</v>
      </c>
    </row>
    <row r="876" spans="1:4" x14ac:dyDescent="0.3">
      <c r="A876" s="4" t="str">
        <f>TEXT(Append1[[#This Row],[dteday]],"MMMM")</f>
        <v>February</v>
      </c>
      <c r="B876" s="4">
        <v>8</v>
      </c>
      <c r="C876" s="4">
        <v>46</v>
      </c>
      <c r="D876" s="19">
        <v>54</v>
      </c>
    </row>
    <row r="877" spans="1:4" x14ac:dyDescent="0.3">
      <c r="A877" s="5" t="str">
        <f>TEXT(Append1[[#This Row],[dteday]],"MMMM")</f>
        <v>February</v>
      </c>
      <c r="B877" s="5">
        <v>0</v>
      </c>
      <c r="C877" s="5">
        <v>29</v>
      </c>
      <c r="D877" s="20">
        <v>29</v>
      </c>
    </row>
    <row r="878" spans="1:4" x14ac:dyDescent="0.3">
      <c r="A878" s="4" t="str">
        <f>TEXT(Append1[[#This Row],[dteday]],"MMMM")</f>
        <v>February</v>
      </c>
      <c r="B878" s="4">
        <v>3</v>
      </c>
      <c r="C878" s="4">
        <v>9</v>
      </c>
      <c r="D878" s="19">
        <v>12</v>
      </c>
    </row>
    <row r="879" spans="1:4" x14ac:dyDescent="0.3">
      <c r="A879" s="5" t="str">
        <f>TEXT(Append1[[#This Row],[dteday]],"MMMM")</f>
        <v>February</v>
      </c>
      <c r="B879" s="5">
        <v>0</v>
      </c>
      <c r="C879" s="5">
        <v>17</v>
      </c>
      <c r="D879" s="20">
        <v>17</v>
      </c>
    </row>
    <row r="880" spans="1:4" x14ac:dyDescent="0.3">
      <c r="A880" s="4" t="str">
        <f>TEXT(Append1[[#This Row],[dteday]],"MMMM")</f>
        <v>February</v>
      </c>
      <c r="B880" s="4">
        <v>0</v>
      </c>
      <c r="C880" s="4">
        <v>7</v>
      </c>
      <c r="D880" s="19">
        <v>7</v>
      </c>
    </row>
    <row r="881" spans="1:4" x14ac:dyDescent="0.3">
      <c r="A881" s="5" t="str">
        <f>TEXT(Append1[[#This Row],[dteday]],"MMMM")</f>
        <v>February</v>
      </c>
      <c r="B881" s="5">
        <v>1</v>
      </c>
      <c r="C881" s="5">
        <v>2</v>
      </c>
      <c r="D881" s="20">
        <v>3</v>
      </c>
    </row>
    <row r="882" spans="1:4" x14ac:dyDescent="0.3">
      <c r="A882" s="4" t="str">
        <f>TEXT(Append1[[#This Row],[dteday]],"MMMM")</f>
        <v>February</v>
      </c>
      <c r="B882" s="4">
        <v>0</v>
      </c>
      <c r="C882" s="4">
        <v>2</v>
      </c>
      <c r="D882" s="19">
        <v>2</v>
      </c>
    </row>
    <row r="883" spans="1:4" x14ac:dyDescent="0.3">
      <c r="A883" s="5" t="str">
        <f>TEXT(Append1[[#This Row],[dteday]],"MMMM")</f>
        <v>February</v>
      </c>
      <c r="B883" s="5">
        <v>0</v>
      </c>
      <c r="C883" s="5">
        <v>7</v>
      </c>
      <c r="D883" s="20">
        <v>7</v>
      </c>
    </row>
    <row r="884" spans="1:4" x14ac:dyDescent="0.3">
      <c r="A884" s="4" t="str">
        <f>TEXT(Append1[[#This Row],[dteday]],"MMMM")</f>
        <v>February</v>
      </c>
      <c r="B884" s="4">
        <v>0</v>
      </c>
      <c r="C884" s="4">
        <v>43</v>
      </c>
      <c r="D884" s="19">
        <v>43</v>
      </c>
    </row>
    <row r="885" spans="1:4" x14ac:dyDescent="0.3">
      <c r="A885" s="5" t="str">
        <f>TEXT(Append1[[#This Row],[dteday]],"MMMM")</f>
        <v>February</v>
      </c>
      <c r="B885" s="5">
        <v>4</v>
      </c>
      <c r="C885" s="5">
        <v>95</v>
      </c>
      <c r="D885" s="20">
        <v>99</v>
      </c>
    </row>
    <row r="886" spans="1:4" x14ac:dyDescent="0.3">
      <c r="A886" s="4" t="str">
        <f>TEXT(Append1[[#This Row],[dteday]],"MMMM")</f>
        <v>February</v>
      </c>
      <c r="B886" s="4">
        <v>1</v>
      </c>
      <c r="C886" s="4">
        <v>198</v>
      </c>
      <c r="D886" s="19">
        <v>199</v>
      </c>
    </row>
    <row r="887" spans="1:4" x14ac:dyDescent="0.3">
      <c r="A887" s="5" t="str">
        <f>TEXT(Append1[[#This Row],[dteday]],"MMMM")</f>
        <v>February</v>
      </c>
      <c r="B887" s="5">
        <v>4</v>
      </c>
      <c r="C887" s="5">
        <v>119</v>
      </c>
      <c r="D887" s="20">
        <v>123</v>
      </c>
    </row>
    <row r="888" spans="1:4" x14ac:dyDescent="0.3">
      <c r="A888" s="4" t="str">
        <f>TEXT(Append1[[#This Row],[dteday]],"MMMM")</f>
        <v>February</v>
      </c>
      <c r="B888" s="4">
        <v>8</v>
      </c>
      <c r="C888" s="4">
        <v>51</v>
      </c>
      <c r="D888" s="19">
        <v>59</v>
      </c>
    </row>
    <row r="889" spans="1:4" x14ac:dyDescent="0.3">
      <c r="A889" s="5" t="str">
        <f>TEXT(Append1[[#This Row],[dteday]],"MMMM")</f>
        <v>February</v>
      </c>
      <c r="B889" s="5">
        <v>1</v>
      </c>
      <c r="C889" s="5">
        <v>40</v>
      </c>
      <c r="D889" s="20">
        <v>41</v>
      </c>
    </row>
    <row r="890" spans="1:4" x14ac:dyDescent="0.3">
      <c r="A890" s="4" t="str">
        <f>TEXT(Append1[[#This Row],[dteday]],"MMMM")</f>
        <v>February</v>
      </c>
      <c r="B890" s="4">
        <v>4</v>
      </c>
      <c r="C890" s="4">
        <v>57</v>
      </c>
      <c r="D890" s="19">
        <v>61</v>
      </c>
    </row>
    <row r="891" spans="1:4" x14ac:dyDescent="0.3">
      <c r="A891" s="5" t="str">
        <f>TEXT(Append1[[#This Row],[dteday]],"MMMM")</f>
        <v>February</v>
      </c>
      <c r="B891" s="5">
        <v>2</v>
      </c>
      <c r="C891" s="5">
        <v>67</v>
      </c>
      <c r="D891" s="20">
        <v>69</v>
      </c>
    </row>
    <row r="892" spans="1:4" x14ac:dyDescent="0.3">
      <c r="A892" s="4" t="str">
        <f>TEXT(Append1[[#This Row],[dteday]],"MMMM")</f>
        <v>February</v>
      </c>
      <c r="B892" s="4">
        <v>2</v>
      </c>
      <c r="C892" s="4">
        <v>56</v>
      </c>
      <c r="D892" s="19">
        <v>58</v>
      </c>
    </row>
    <row r="893" spans="1:4" x14ac:dyDescent="0.3">
      <c r="A893" s="5" t="str">
        <f>TEXT(Append1[[#This Row],[dteday]],"MMMM")</f>
        <v>February</v>
      </c>
      <c r="B893" s="5">
        <v>3</v>
      </c>
      <c r="C893" s="5">
        <v>61</v>
      </c>
      <c r="D893" s="20">
        <v>64</v>
      </c>
    </row>
    <row r="894" spans="1:4" x14ac:dyDescent="0.3">
      <c r="A894" s="4" t="str">
        <f>TEXT(Append1[[#This Row],[dteday]],"MMMM")</f>
        <v>February</v>
      </c>
      <c r="B894" s="4">
        <v>7</v>
      </c>
      <c r="C894" s="4">
        <v>72</v>
      </c>
      <c r="D894" s="19">
        <v>79</v>
      </c>
    </row>
    <row r="895" spans="1:4" x14ac:dyDescent="0.3">
      <c r="A895" s="5" t="str">
        <f>TEXT(Append1[[#This Row],[dteday]],"MMMM")</f>
        <v>February</v>
      </c>
      <c r="B895" s="5">
        <v>9</v>
      </c>
      <c r="C895" s="5">
        <v>157</v>
      </c>
      <c r="D895" s="20">
        <v>166</v>
      </c>
    </row>
    <row r="896" spans="1:4" x14ac:dyDescent="0.3">
      <c r="A896" s="4" t="str">
        <f>TEXT(Append1[[#This Row],[dteday]],"MMMM")</f>
        <v>February</v>
      </c>
      <c r="B896" s="4">
        <v>2</v>
      </c>
      <c r="C896" s="4">
        <v>168</v>
      </c>
      <c r="D896" s="19">
        <v>170</v>
      </c>
    </row>
    <row r="897" spans="1:4" x14ac:dyDescent="0.3">
      <c r="A897" s="5" t="str">
        <f>TEXT(Append1[[#This Row],[dteday]],"MMMM")</f>
        <v>February</v>
      </c>
      <c r="B897" s="5">
        <v>1</v>
      </c>
      <c r="C897" s="5">
        <v>87</v>
      </c>
      <c r="D897" s="20">
        <v>88</v>
      </c>
    </row>
    <row r="898" spans="1:4" x14ac:dyDescent="0.3">
      <c r="A898" s="4" t="str">
        <f>TEXT(Append1[[#This Row],[dteday]],"MMMM")</f>
        <v>February</v>
      </c>
      <c r="B898" s="4">
        <v>0</v>
      </c>
      <c r="C898" s="4">
        <v>84</v>
      </c>
      <c r="D898" s="19">
        <v>84</v>
      </c>
    </row>
    <row r="899" spans="1:4" x14ac:dyDescent="0.3">
      <c r="A899" s="5" t="str">
        <f>TEXT(Append1[[#This Row],[dteday]],"MMMM")</f>
        <v>February</v>
      </c>
      <c r="B899" s="5">
        <v>0</v>
      </c>
      <c r="C899" s="5">
        <v>83</v>
      </c>
      <c r="D899" s="20">
        <v>83</v>
      </c>
    </row>
    <row r="900" spans="1:4" x14ac:dyDescent="0.3">
      <c r="A900" s="4" t="str">
        <f>TEXT(Append1[[#This Row],[dteday]],"MMMM")</f>
        <v>February</v>
      </c>
      <c r="B900" s="4">
        <v>4</v>
      </c>
      <c r="C900" s="4">
        <v>42</v>
      </c>
      <c r="D900" s="19">
        <v>46</v>
      </c>
    </row>
    <row r="901" spans="1:4" x14ac:dyDescent="0.3">
      <c r="A901" s="5" t="str">
        <f>TEXT(Append1[[#This Row],[dteday]],"MMMM")</f>
        <v>February</v>
      </c>
      <c r="B901" s="5">
        <v>0</v>
      </c>
      <c r="C901" s="5">
        <v>37</v>
      </c>
      <c r="D901" s="20">
        <v>37</v>
      </c>
    </row>
    <row r="902" spans="1:4" x14ac:dyDescent="0.3">
      <c r="A902" s="4" t="str">
        <f>TEXT(Append1[[#This Row],[dteday]],"MMMM")</f>
        <v>February</v>
      </c>
      <c r="B902" s="4">
        <v>0</v>
      </c>
      <c r="C902" s="4">
        <v>16</v>
      </c>
      <c r="D902" s="19">
        <v>16</v>
      </c>
    </row>
    <row r="903" spans="1:4" x14ac:dyDescent="0.3">
      <c r="A903" s="5" t="str">
        <f>TEXT(Append1[[#This Row],[dteday]],"MMMM")</f>
        <v>February</v>
      </c>
      <c r="B903" s="5">
        <v>0</v>
      </c>
      <c r="C903" s="5">
        <v>7</v>
      </c>
      <c r="D903" s="20">
        <v>7</v>
      </c>
    </row>
    <row r="904" spans="1:4" x14ac:dyDescent="0.3">
      <c r="A904" s="4" t="str">
        <f>TEXT(Append1[[#This Row],[dteday]],"MMMM")</f>
        <v>February</v>
      </c>
      <c r="B904" s="4">
        <v>0</v>
      </c>
      <c r="C904" s="4">
        <v>3</v>
      </c>
      <c r="D904" s="19">
        <v>3</v>
      </c>
    </row>
    <row r="905" spans="1:4" x14ac:dyDescent="0.3">
      <c r="A905" s="5" t="str">
        <f>TEXT(Append1[[#This Row],[dteday]],"MMMM")</f>
        <v>February</v>
      </c>
      <c r="B905" s="5">
        <v>0</v>
      </c>
      <c r="C905" s="5">
        <v>1</v>
      </c>
      <c r="D905" s="20">
        <v>1</v>
      </c>
    </row>
    <row r="906" spans="1:4" x14ac:dyDescent="0.3">
      <c r="A906" s="4" t="str">
        <f>TEXT(Append1[[#This Row],[dteday]],"MMMM")</f>
        <v>February</v>
      </c>
      <c r="B906" s="4">
        <v>0</v>
      </c>
      <c r="C906" s="4">
        <v>6</v>
      </c>
      <c r="D906" s="19">
        <v>6</v>
      </c>
    </row>
    <row r="907" spans="1:4" x14ac:dyDescent="0.3">
      <c r="A907" s="5" t="str">
        <f>TEXT(Append1[[#This Row],[dteday]],"MMMM")</f>
        <v>February</v>
      </c>
      <c r="B907" s="5">
        <v>0</v>
      </c>
      <c r="C907" s="5">
        <v>26</v>
      </c>
      <c r="D907" s="20">
        <v>26</v>
      </c>
    </row>
    <row r="908" spans="1:4" x14ac:dyDescent="0.3">
      <c r="A908" s="4" t="str">
        <f>TEXT(Append1[[#This Row],[dteday]],"MMMM")</f>
        <v>February</v>
      </c>
      <c r="B908" s="4">
        <v>0</v>
      </c>
      <c r="C908" s="4">
        <v>99</v>
      </c>
      <c r="D908" s="19">
        <v>99</v>
      </c>
    </row>
    <row r="909" spans="1:4" x14ac:dyDescent="0.3">
      <c r="A909" s="5" t="str">
        <f>TEXT(Append1[[#This Row],[dteday]],"MMMM")</f>
        <v>February</v>
      </c>
      <c r="B909" s="5">
        <v>5</v>
      </c>
      <c r="C909" s="5">
        <v>173</v>
      </c>
      <c r="D909" s="20">
        <v>178</v>
      </c>
    </row>
    <row r="910" spans="1:4" x14ac:dyDescent="0.3">
      <c r="A910" s="4" t="str">
        <f>TEXT(Append1[[#This Row],[dteday]],"MMMM")</f>
        <v>February</v>
      </c>
      <c r="B910" s="4">
        <v>1</v>
      </c>
      <c r="C910" s="4">
        <v>121</v>
      </c>
      <c r="D910" s="19">
        <v>122</v>
      </c>
    </row>
    <row r="911" spans="1:4" x14ac:dyDescent="0.3">
      <c r="A911" s="5" t="str">
        <f>TEXT(Append1[[#This Row],[dteday]],"MMMM")</f>
        <v>February</v>
      </c>
      <c r="B911" s="5">
        <v>1</v>
      </c>
      <c r="C911" s="5">
        <v>34</v>
      </c>
      <c r="D911" s="20">
        <v>35</v>
      </c>
    </row>
    <row r="912" spans="1:4" x14ac:dyDescent="0.3">
      <c r="A912" s="4" t="str">
        <f>TEXT(Append1[[#This Row],[dteday]],"MMMM")</f>
        <v>February</v>
      </c>
      <c r="B912" s="4">
        <v>1</v>
      </c>
      <c r="C912" s="4">
        <v>44</v>
      </c>
      <c r="D912" s="19">
        <v>45</v>
      </c>
    </row>
    <row r="913" spans="1:4" x14ac:dyDescent="0.3">
      <c r="A913" s="5" t="str">
        <f>TEXT(Append1[[#This Row],[dteday]],"MMMM")</f>
        <v>February</v>
      </c>
      <c r="B913" s="5">
        <v>4</v>
      </c>
      <c r="C913" s="5">
        <v>65</v>
      </c>
      <c r="D913" s="20">
        <v>69</v>
      </c>
    </row>
    <row r="914" spans="1:4" x14ac:dyDescent="0.3">
      <c r="A914" s="4" t="str">
        <f>TEXT(Append1[[#This Row],[dteday]],"MMMM")</f>
        <v>February</v>
      </c>
      <c r="B914" s="4">
        <v>3</v>
      </c>
      <c r="C914" s="4">
        <v>59</v>
      </c>
      <c r="D914" s="19">
        <v>62</v>
      </c>
    </row>
    <row r="915" spans="1:4" x14ac:dyDescent="0.3">
      <c r="A915" s="5" t="str">
        <f>TEXT(Append1[[#This Row],[dteday]],"MMMM")</f>
        <v>February</v>
      </c>
      <c r="B915" s="5">
        <v>6</v>
      </c>
      <c r="C915" s="5">
        <v>42</v>
      </c>
      <c r="D915" s="20">
        <v>48</v>
      </c>
    </row>
    <row r="916" spans="1:4" x14ac:dyDescent="0.3">
      <c r="A916" s="4" t="str">
        <f>TEXT(Append1[[#This Row],[dteday]],"MMMM")</f>
        <v>February</v>
      </c>
      <c r="B916" s="4">
        <v>0</v>
      </c>
      <c r="C916" s="4">
        <v>50</v>
      </c>
      <c r="D916" s="19">
        <v>50</v>
      </c>
    </row>
    <row r="917" spans="1:4" x14ac:dyDescent="0.3">
      <c r="A917" s="5" t="str">
        <f>TEXT(Append1[[#This Row],[dteday]],"MMMM")</f>
        <v>February</v>
      </c>
      <c r="B917" s="5">
        <v>4</v>
      </c>
      <c r="C917" s="5">
        <v>76</v>
      </c>
      <c r="D917" s="20">
        <v>80</v>
      </c>
    </row>
    <row r="918" spans="1:4" x14ac:dyDescent="0.3">
      <c r="A918" s="4" t="str">
        <f>TEXT(Append1[[#This Row],[dteday]],"MMMM")</f>
        <v>February</v>
      </c>
      <c r="B918" s="4">
        <v>6</v>
      </c>
      <c r="C918" s="4">
        <v>159</v>
      </c>
      <c r="D918" s="19">
        <v>165</v>
      </c>
    </row>
    <row r="919" spans="1:4" x14ac:dyDescent="0.3">
      <c r="A919" s="5" t="str">
        <f>TEXT(Append1[[#This Row],[dteday]],"MMMM")</f>
        <v>February</v>
      </c>
      <c r="B919" s="5">
        <v>3</v>
      </c>
      <c r="C919" s="5">
        <v>157</v>
      </c>
      <c r="D919" s="20">
        <v>160</v>
      </c>
    </row>
    <row r="920" spans="1:4" x14ac:dyDescent="0.3">
      <c r="A920" s="4" t="str">
        <f>TEXT(Append1[[#This Row],[dteday]],"MMMM")</f>
        <v>February</v>
      </c>
      <c r="B920" s="4">
        <v>2</v>
      </c>
      <c r="C920" s="4">
        <v>110</v>
      </c>
      <c r="D920" s="19">
        <v>112</v>
      </c>
    </row>
    <row r="921" spans="1:4" x14ac:dyDescent="0.3">
      <c r="A921" s="5" t="str">
        <f>TEXT(Append1[[#This Row],[dteday]],"MMMM")</f>
        <v>February</v>
      </c>
      <c r="B921" s="5">
        <v>4</v>
      </c>
      <c r="C921" s="5">
        <v>93</v>
      </c>
      <c r="D921" s="20">
        <v>97</v>
      </c>
    </row>
    <row r="922" spans="1:4" x14ac:dyDescent="0.3">
      <c r="A922" s="4" t="str">
        <f>TEXT(Append1[[#This Row],[dteday]],"MMMM")</f>
        <v>February</v>
      </c>
      <c r="B922" s="4">
        <v>2</v>
      </c>
      <c r="C922" s="4">
        <v>70</v>
      </c>
      <c r="D922" s="19">
        <v>72</v>
      </c>
    </row>
    <row r="923" spans="1:4" x14ac:dyDescent="0.3">
      <c r="A923" s="5" t="str">
        <f>TEXT(Append1[[#This Row],[dteday]],"MMMM")</f>
        <v>February</v>
      </c>
      <c r="B923" s="5">
        <v>4</v>
      </c>
      <c r="C923" s="5">
        <v>47</v>
      </c>
      <c r="D923" s="20">
        <v>51</v>
      </c>
    </row>
    <row r="924" spans="1:4" x14ac:dyDescent="0.3">
      <c r="A924" s="4" t="str">
        <f>TEXT(Append1[[#This Row],[dteday]],"MMMM")</f>
        <v>February</v>
      </c>
      <c r="B924" s="4">
        <v>1</v>
      </c>
      <c r="C924" s="4">
        <v>33</v>
      </c>
      <c r="D924" s="19">
        <v>34</v>
      </c>
    </row>
    <row r="925" spans="1:4" x14ac:dyDescent="0.3">
      <c r="A925" s="5" t="str">
        <f>TEXT(Append1[[#This Row],[dteday]],"MMMM")</f>
        <v>February</v>
      </c>
      <c r="B925" s="5">
        <v>2</v>
      </c>
      <c r="C925" s="5">
        <v>12</v>
      </c>
      <c r="D925" s="20">
        <v>14</v>
      </c>
    </row>
    <row r="926" spans="1:4" x14ac:dyDescent="0.3">
      <c r="A926" s="4" t="str">
        <f>TEXT(Append1[[#This Row],[dteday]],"MMMM")</f>
        <v>February</v>
      </c>
      <c r="B926" s="4">
        <v>1</v>
      </c>
      <c r="C926" s="4">
        <v>6</v>
      </c>
      <c r="D926" s="19">
        <v>7</v>
      </c>
    </row>
    <row r="927" spans="1:4" x14ac:dyDescent="0.3">
      <c r="A927" s="5" t="str">
        <f>TEXT(Append1[[#This Row],[dteday]],"MMMM")</f>
        <v>February</v>
      </c>
      <c r="B927" s="5">
        <v>0</v>
      </c>
      <c r="C927" s="5">
        <v>3</v>
      </c>
      <c r="D927" s="20">
        <v>3</v>
      </c>
    </row>
    <row r="928" spans="1:4" x14ac:dyDescent="0.3">
      <c r="A928" s="4" t="str">
        <f>TEXT(Append1[[#This Row],[dteday]],"MMMM")</f>
        <v>February</v>
      </c>
      <c r="B928" s="4">
        <v>0</v>
      </c>
      <c r="C928" s="4">
        <v>4</v>
      </c>
      <c r="D928" s="19">
        <v>4</v>
      </c>
    </row>
    <row r="929" spans="1:4" x14ac:dyDescent="0.3">
      <c r="A929" s="5" t="str">
        <f>TEXT(Append1[[#This Row],[dteday]],"MMMM")</f>
        <v>February</v>
      </c>
      <c r="B929" s="5">
        <v>1</v>
      </c>
      <c r="C929" s="5">
        <v>23</v>
      </c>
      <c r="D929" s="20">
        <v>24</v>
      </c>
    </row>
    <row r="930" spans="1:4" x14ac:dyDescent="0.3">
      <c r="A930" s="4" t="str">
        <f>TEXT(Append1[[#This Row],[dteday]],"MMMM")</f>
        <v>February</v>
      </c>
      <c r="B930" s="4">
        <v>1</v>
      </c>
      <c r="C930" s="4">
        <v>73</v>
      </c>
      <c r="D930" s="19">
        <v>74</v>
      </c>
    </row>
    <row r="931" spans="1:4" x14ac:dyDescent="0.3">
      <c r="A931" s="5" t="str">
        <f>TEXT(Append1[[#This Row],[dteday]],"MMMM")</f>
        <v>February</v>
      </c>
      <c r="B931" s="5">
        <v>4</v>
      </c>
      <c r="C931" s="5">
        <v>212</v>
      </c>
      <c r="D931" s="20">
        <v>216</v>
      </c>
    </row>
    <row r="932" spans="1:4" x14ac:dyDescent="0.3">
      <c r="A932" s="4" t="str">
        <f>TEXT(Append1[[#This Row],[dteday]],"MMMM")</f>
        <v>February</v>
      </c>
      <c r="B932" s="4">
        <v>8</v>
      </c>
      <c r="C932" s="4">
        <v>132</v>
      </c>
      <c r="D932" s="19">
        <v>140</v>
      </c>
    </row>
    <row r="933" spans="1:4" x14ac:dyDescent="0.3">
      <c r="A933" s="5" t="str">
        <f>TEXT(Append1[[#This Row],[dteday]],"MMMM")</f>
        <v>February</v>
      </c>
      <c r="B933" s="5">
        <v>5</v>
      </c>
      <c r="C933" s="5">
        <v>39</v>
      </c>
      <c r="D933" s="20">
        <v>44</v>
      </c>
    </row>
    <row r="934" spans="1:4" x14ac:dyDescent="0.3">
      <c r="A934" s="4" t="str">
        <f>TEXT(Append1[[#This Row],[dteday]],"MMMM")</f>
        <v>February</v>
      </c>
      <c r="B934" s="4">
        <v>12</v>
      </c>
      <c r="C934" s="4">
        <v>52</v>
      </c>
      <c r="D934" s="19">
        <v>64</v>
      </c>
    </row>
    <row r="935" spans="1:4" x14ac:dyDescent="0.3">
      <c r="A935" s="5" t="str">
        <f>TEXT(Append1[[#This Row],[dteday]],"MMMM")</f>
        <v>February</v>
      </c>
      <c r="B935" s="5">
        <v>7</v>
      </c>
      <c r="C935" s="5">
        <v>64</v>
      </c>
      <c r="D935" s="20">
        <v>71</v>
      </c>
    </row>
    <row r="936" spans="1:4" x14ac:dyDescent="0.3">
      <c r="A936" s="4" t="str">
        <f>TEXT(Append1[[#This Row],[dteday]],"MMMM")</f>
        <v>February</v>
      </c>
      <c r="B936" s="4">
        <v>21</v>
      </c>
      <c r="C936" s="4">
        <v>89</v>
      </c>
      <c r="D936" s="19">
        <v>110</v>
      </c>
    </row>
    <row r="937" spans="1:4" x14ac:dyDescent="0.3">
      <c r="A937" s="5" t="str">
        <f>TEXT(Append1[[#This Row],[dteday]],"MMMM")</f>
        <v>February</v>
      </c>
      <c r="B937" s="5">
        <v>17</v>
      </c>
      <c r="C937" s="5">
        <v>67</v>
      </c>
      <c r="D937" s="20">
        <v>84</v>
      </c>
    </row>
    <row r="938" spans="1:4" x14ac:dyDescent="0.3">
      <c r="A938" s="4" t="str">
        <f>TEXT(Append1[[#This Row],[dteday]],"MMMM")</f>
        <v>February</v>
      </c>
      <c r="B938" s="4">
        <v>12</v>
      </c>
      <c r="C938" s="4">
        <v>62</v>
      </c>
      <c r="D938" s="19">
        <v>74</v>
      </c>
    </row>
    <row r="939" spans="1:4" x14ac:dyDescent="0.3">
      <c r="A939" s="5" t="str">
        <f>TEXT(Append1[[#This Row],[dteday]],"MMMM")</f>
        <v>February</v>
      </c>
      <c r="B939" s="5">
        <v>14</v>
      </c>
      <c r="C939" s="5">
        <v>111</v>
      </c>
      <c r="D939" s="20">
        <v>125</v>
      </c>
    </row>
    <row r="940" spans="1:4" x14ac:dyDescent="0.3">
      <c r="A940" s="4" t="str">
        <f>TEXT(Append1[[#This Row],[dteday]],"MMMM")</f>
        <v>February</v>
      </c>
      <c r="B940" s="4">
        <v>18</v>
      </c>
      <c r="C940" s="4">
        <v>193</v>
      </c>
      <c r="D940" s="19">
        <v>211</v>
      </c>
    </row>
    <row r="941" spans="1:4" x14ac:dyDescent="0.3">
      <c r="A941" s="5" t="str">
        <f>TEXT(Append1[[#This Row],[dteday]],"MMMM")</f>
        <v>February</v>
      </c>
      <c r="B941" s="5">
        <v>9</v>
      </c>
      <c r="C941" s="5">
        <v>165</v>
      </c>
      <c r="D941" s="20">
        <v>174</v>
      </c>
    </row>
    <row r="942" spans="1:4" x14ac:dyDescent="0.3">
      <c r="A942" s="4" t="str">
        <f>TEXT(Append1[[#This Row],[dteday]],"MMMM")</f>
        <v>February</v>
      </c>
      <c r="B942" s="4">
        <v>7</v>
      </c>
      <c r="C942" s="4">
        <v>94</v>
      </c>
      <c r="D942" s="19">
        <v>101</v>
      </c>
    </row>
    <row r="943" spans="1:4" x14ac:dyDescent="0.3">
      <c r="A943" s="5" t="str">
        <f>TEXT(Append1[[#This Row],[dteday]],"MMMM")</f>
        <v>February</v>
      </c>
      <c r="B943" s="5">
        <v>2</v>
      </c>
      <c r="C943" s="5">
        <v>61</v>
      </c>
      <c r="D943" s="20">
        <v>63</v>
      </c>
    </row>
    <row r="944" spans="1:4" x14ac:dyDescent="0.3">
      <c r="A944" s="4" t="str">
        <f>TEXT(Append1[[#This Row],[dteday]],"MMMM")</f>
        <v>February</v>
      </c>
      <c r="B944" s="4">
        <v>1</v>
      </c>
      <c r="C944" s="4">
        <v>46</v>
      </c>
      <c r="D944" s="19">
        <v>47</v>
      </c>
    </row>
    <row r="945" spans="1:4" x14ac:dyDescent="0.3">
      <c r="A945" s="5" t="str">
        <f>TEXT(Append1[[#This Row],[dteday]],"MMMM")</f>
        <v>February</v>
      </c>
      <c r="B945" s="5">
        <v>2</v>
      </c>
      <c r="C945" s="5">
        <v>41</v>
      </c>
      <c r="D945" s="20">
        <v>43</v>
      </c>
    </row>
    <row r="946" spans="1:4" x14ac:dyDescent="0.3">
      <c r="A946" s="4" t="str">
        <f>TEXT(Append1[[#This Row],[dteday]],"MMMM")</f>
        <v>February</v>
      </c>
      <c r="B946" s="4">
        <v>5</v>
      </c>
      <c r="C946" s="4">
        <v>48</v>
      </c>
      <c r="D946" s="19">
        <v>53</v>
      </c>
    </row>
    <row r="947" spans="1:4" x14ac:dyDescent="0.3">
      <c r="A947" s="5" t="str">
        <f>TEXT(Append1[[#This Row],[dteday]],"MMMM")</f>
        <v>February</v>
      </c>
      <c r="B947" s="5">
        <v>3</v>
      </c>
      <c r="C947" s="5">
        <v>27</v>
      </c>
      <c r="D947" s="20">
        <v>30</v>
      </c>
    </row>
    <row r="948" spans="1:4" x14ac:dyDescent="0.3">
      <c r="A948" s="4" t="str">
        <f>TEXT(Append1[[#This Row],[dteday]],"MMMM")</f>
        <v>February</v>
      </c>
      <c r="B948" s="4">
        <v>2</v>
      </c>
      <c r="C948" s="4">
        <v>22</v>
      </c>
      <c r="D948" s="19">
        <v>24</v>
      </c>
    </row>
    <row r="949" spans="1:4" x14ac:dyDescent="0.3">
      <c r="A949" s="5" t="str">
        <f>TEXT(Append1[[#This Row],[dteday]],"MMMM")</f>
        <v>February</v>
      </c>
      <c r="B949" s="5">
        <v>2</v>
      </c>
      <c r="C949" s="5">
        <v>13</v>
      </c>
      <c r="D949" s="20">
        <v>15</v>
      </c>
    </row>
    <row r="950" spans="1:4" x14ac:dyDescent="0.3">
      <c r="A950" s="4" t="str">
        <f>TEXT(Append1[[#This Row],[dteday]],"MMMM")</f>
        <v>February</v>
      </c>
      <c r="B950" s="4">
        <v>3</v>
      </c>
      <c r="C950" s="4">
        <v>7</v>
      </c>
      <c r="D950" s="19">
        <v>10</v>
      </c>
    </row>
    <row r="951" spans="1:4" x14ac:dyDescent="0.3">
      <c r="A951" s="5" t="str">
        <f>TEXT(Append1[[#This Row],[dteday]],"MMMM")</f>
        <v>February</v>
      </c>
      <c r="B951" s="5">
        <v>0</v>
      </c>
      <c r="C951" s="5">
        <v>4</v>
      </c>
      <c r="D951" s="20">
        <v>4</v>
      </c>
    </row>
    <row r="952" spans="1:4" x14ac:dyDescent="0.3">
      <c r="A952" s="4" t="str">
        <f>TEXT(Append1[[#This Row],[dteday]],"MMMM")</f>
        <v>February</v>
      </c>
      <c r="B952" s="4">
        <v>0</v>
      </c>
      <c r="C952" s="4">
        <v>1</v>
      </c>
      <c r="D952" s="19">
        <v>1</v>
      </c>
    </row>
    <row r="953" spans="1:4" x14ac:dyDescent="0.3">
      <c r="A953" s="5" t="str">
        <f>TEXT(Append1[[#This Row],[dteday]],"MMMM")</f>
        <v>February</v>
      </c>
      <c r="B953" s="5">
        <v>1</v>
      </c>
      <c r="C953" s="5">
        <v>1</v>
      </c>
      <c r="D953" s="20">
        <v>2</v>
      </c>
    </row>
    <row r="954" spans="1:4" x14ac:dyDescent="0.3">
      <c r="A954" s="4" t="str">
        <f>TEXT(Append1[[#This Row],[dteday]],"MMMM")</f>
        <v>February</v>
      </c>
      <c r="B954" s="4">
        <v>2</v>
      </c>
      <c r="C954" s="4">
        <v>9</v>
      </c>
      <c r="D954" s="19">
        <v>11</v>
      </c>
    </row>
    <row r="955" spans="1:4" x14ac:dyDescent="0.3">
      <c r="A955" s="5" t="str">
        <f>TEXT(Append1[[#This Row],[dteday]],"MMMM")</f>
        <v>February</v>
      </c>
      <c r="B955" s="5">
        <v>2</v>
      </c>
      <c r="C955" s="5">
        <v>28</v>
      </c>
      <c r="D955" s="20">
        <v>30</v>
      </c>
    </row>
    <row r="956" spans="1:4" x14ac:dyDescent="0.3">
      <c r="A956" s="4" t="str">
        <f>TEXT(Append1[[#This Row],[dteday]],"MMMM")</f>
        <v>February</v>
      </c>
      <c r="B956" s="4">
        <v>5</v>
      </c>
      <c r="C956" s="4">
        <v>38</v>
      </c>
      <c r="D956" s="19">
        <v>43</v>
      </c>
    </row>
    <row r="957" spans="1:4" x14ac:dyDescent="0.3">
      <c r="A957" s="5" t="str">
        <f>TEXT(Append1[[#This Row],[dteday]],"MMMM")</f>
        <v>February</v>
      </c>
      <c r="B957" s="5">
        <v>13</v>
      </c>
      <c r="C957" s="5">
        <v>71</v>
      </c>
      <c r="D957" s="20">
        <v>84</v>
      </c>
    </row>
    <row r="958" spans="1:4" x14ac:dyDescent="0.3">
      <c r="A958" s="4" t="str">
        <f>TEXT(Append1[[#This Row],[dteday]],"MMMM")</f>
        <v>February</v>
      </c>
      <c r="B958" s="4">
        <v>30</v>
      </c>
      <c r="C958" s="4">
        <v>84</v>
      </c>
      <c r="D958" s="19">
        <v>114</v>
      </c>
    </row>
    <row r="959" spans="1:4" x14ac:dyDescent="0.3">
      <c r="A959" s="5" t="str">
        <f>TEXT(Append1[[#This Row],[dteday]],"MMMM")</f>
        <v>February</v>
      </c>
      <c r="B959" s="5">
        <v>27</v>
      </c>
      <c r="C959" s="5">
        <v>93</v>
      </c>
      <c r="D959" s="20">
        <v>120</v>
      </c>
    </row>
    <row r="960" spans="1:4" x14ac:dyDescent="0.3">
      <c r="A960" s="4" t="str">
        <f>TEXT(Append1[[#This Row],[dteday]],"MMMM")</f>
        <v>February</v>
      </c>
      <c r="B960" s="4">
        <v>32</v>
      </c>
      <c r="C960" s="4">
        <v>103</v>
      </c>
      <c r="D960" s="19">
        <v>135</v>
      </c>
    </row>
    <row r="961" spans="1:4" x14ac:dyDescent="0.3">
      <c r="A961" s="5" t="str">
        <f>TEXT(Append1[[#This Row],[dteday]],"MMMM")</f>
        <v>February</v>
      </c>
      <c r="B961" s="5">
        <v>30</v>
      </c>
      <c r="C961" s="5">
        <v>90</v>
      </c>
      <c r="D961" s="20">
        <v>120</v>
      </c>
    </row>
    <row r="962" spans="1:4" x14ac:dyDescent="0.3">
      <c r="A962" s="4" t="str">
        <f>TEXT(Append1[[#This Row],[dteday]],"MMMM")</f>
        <v>February</v>
      </c>
      <c r="B962" s="4">
        <v>47</v>
      </c>
      <c r="C962" s="4">
        <v>127</v>
      </c>
      <c r="D962" s="19">
        <v>174</v>
      </c>
    </row>
    <row r="963" spans="1:4" x14ac:dyDescent="0.3">
      <c r="A963" s="5" t="str">
        <f>TEXT(Append1[[#This Row],[dteday]],"MMMM")</f>
        <v>February</v>
      </c>
      <c r="B963" s="5">
        <v>42</v>
      </c>
      <c r="C963" s="5">
        <v>103</v>
      </c>
      <c r="D963" s="20">
        <v>145</v>
      </c>
    </row>
    <row r="964" spans="1:4" x14ac:dyDescent="0.3">
      <c r="A964" s="4" t="str">
        <f>TEXT(Append1[[#This Row],[dteday]],"MMMM")</f>
        <v>February</v>
      </c>
      <c r="B964" s="4">
        <v>24</v>
      </c>
      <c r="C964" s="4">
        <v>113</v>
      </c>
      <c r="D964" s="19">
        <v>137</v>
      </c>
    </row>
    <row r="965" spans="1:4" x14ac:dyDescent="0.3">
      <c r="A965" s="5" t="str">
        <f>TEXT(Append1[[#This Row],[dteday]],"MMMM")</f>
        <v>February</v>
      </c>
      <c r="B965" s="5">
        <v>4</v>
      </c>
      <c r="C965" s="5">
        <v>60</v>
      </c>
      <c r="D965" s="20">
        <v>64</v>
      </c>
    </row>
    <row r="966" spans="1:4" x14ac:dyDescent="0.3">
      <c r="A966" s="4" t="str">
        <f>TEXT(Append1[[#This Row],[dteday]],"MMMM")</f>
        <v>February</v>
      </c>
      <c r="B966" s="4">
        <v>2</v>
      </c>
      <c r="C966" s="4">
        <v>39</v>
      </c>
      <c r="D966" s="19">
        <v>41</v>
      </c>
    </row>
    <row r="967" spans="1:4" x14ac:dyDescent="0.3">
      <c r="A967" s="5" t="str">
        <f>TEXT(Append1[[#This Row],[dteday]],"MMMM")</f>
        <v>February</v>
      </c>
      <c r="B967" s="5">
        <v>1</v>
      </c>
      <c r="C967" s="5">
        <v>39</v>
      </c>
      <c r="D967" s="20">
        <v>40</v>
      </c>
    </row>
    <row r="968" spans="1:4" x14ac:dyDescent="0.3">
      <c r="A968" s="4" t="str">
        <f>TEXT(Append1[[#This Row],[dteday]],"MMMM")</f>
        <v>February</v>
      </c>
      <c r="B968" s="4">
        <v>9</v>
      </c>
      <c r="C968" s="4">
        <v>42</v>
      </c>
      <c r="D968" s="19">
        <v>51</v>
      </c>
    </row>
    <row r="969" spans="1:4" x14ac:dyDescent="0.3">
      <c r="A969" s="5" t="str">
        <f>TEXT(Append1[[#This Row],[dteday]],"MMMM")</f>
        <v>February</v>
      </c>
      <c r="B969" s="5">
        <v>6</v>
      </c>
      <c r="C969" s="5">
        <v>39</v>
      </c>
      <c r="D969" s="20">
        <v>45</v>
      </c>
    </row>
    <row r="970" spans="1:4" x14ac:dyDescent="0.3">
      <c r="A970" s="4" t="str">
        <f>TEXT(Append1[[#This Row],[dteday]],"MMMM")</f>
        <v>February</v>
      </c>
      <c r="B970" s="4">
        <v>1</v>
      </c>
      <c r="C970" s="4">
        <v>31</v>
      </c>
      <c r="D970" s="19">
        <v>32</v>
      </c>
    </row>
    <row r="971" spans="1:4" x14ac:dyDescent="0.3">
      <c r="A971" s="5" t="str">
        <f>TEXT(Append1[[#This Row],[dteday]],"MMMM")</f>
        <v>February</v>
      </c>
      <c r="B971" s="5">
        <v>5</v>
      </c>
      <c r="C971" s="5">
        <v>34</v>
      </c>
      <c r="D971" s="20">
        <v>39</v>
      </c>
    </row>
    <row r="972" spans="1:4" x14ac:dyDescent="0.3">
      <c r="A972" s="4" t="str">
        <f>TEXT(Append1[[#This Row],[dteday]],"MMMM")</f>
        <v>February</v>
      </c>
      <c r="B972" s="4">
        <v>1</v>
      </c>
      <c r="C972" s="4">
        <v>23</v>
      </c>
      <c r="D972" s="19">
        <v>24</v>
      </c>
    </row>
    <row r="973" spans="1:4" x14ac:dyDescent="0.3">
      <c r="A973" s="5" t="str">
        <f>TEXT(Append1[[#This Row],[dteday]],"MMMM")</f>
        <v>February</v>
      </c>
      <c r="B973" s="5">
        <v>1</v>
      </c>
      <c r="C973" s="5">
        <v>19</v>
      </c>
      <c r="D973" s="20">
        <v>20</v>
      </c>
    </row>
    <row r="974" spans="1:4" x14ac:dyDescent="0.3">
      <c r="A974" s="4" t="str">
        <f>TEXT(Append1[[#This Row],[dteday]],"MMMM")</f>
        <v>February</v>
      </c>
      <c r="B974" s="4">
        <v>4</v>
      </c>
      <c r="C974" s="4">
        <v>8</v>
      </c>
      <c r="D974" s="19">
        <v>12</v>
      </c>
    </row>
    <row r="975" spans="1:4" x14ac:dyDescent="0.3">
      <c r="A975" s="5" t="str">
        <f>TEXT(Append1[[#This Row],[dteday]],"MMMM")</f>
        <v>February</v>
      </c>
      <c r="B975" s="5">
        <v>0</v>
      </c>
      <c r="C975" s="5">
        <v>2</v>
      </c>
      <c r="D975" s="20">
        <v>2</v>
      </c>
    </row>
    <row r="976" spans="1:4" x14ac:dyDescent="0.3">
      <c r="A976" s="4" t="str">
        <f>TEXT(Append1[[#This Row],[dteday]],"MMMM")</f>
        <v>February</v>
      </c>
      <c r="B976" s="4">
        <v>2</v>
      </c>
      <c r="C976" s="4">
        <v>3</v>
      </c>
      <c r="D976" s="19">
        <v>5</v>
      </c>
    </row>
    <row r="977" spans="1:4" x14ac:dyDescent="0.3">
      <c r="A977" s="5" t="str">
        <f>TEXT(Append1[[#This Row],[dteday]],"MMMM")</f>
        <v>February</v>
      </c>
      <c r="B977" s="5">
        <v>0</v>
      </c>
      <c r="C977" s="5">
        <v>3</v>
      </c>
      <c r="D977" s="20">
        <v>3</v>
      </c>
    </row>
    <row r="978" spans="1:4" x14ac:dyDescent="0.3">
      <c r="A978" s="4" t="str">
        <f>TEXT(Append1[[#This Row],[dteday]],"MMMM")</f>
        <v>February</v>
      </c>
      <c r="B978" s="4">
        <v>1</v>
      </c>
      <c r="C978" s="4">
        <v>11</v>
      </c>
      <c r="D978" s="19">
        <v>12</v>
      </c>
    </row>
    <row r="979" spans="1:4" x14ac:dyDescent="0.3">
      <c r="A979" s="5" t="str">
        <f>TEXT(Append1[[#This Row],[dteday]],"MMMM")</f>
        <v>February</v>
      </c>
      <c r="B979" s="5">
        <v>12</v>
      </c>
      <c r="C979" s="5">
        <v>35</v>
      </c>
      <c r="D979" s="20">
        <v>47</v>
      </c>
    </row>
    <row r="980" spans="1:4" x14ac:dyDescent="0.3">
      <c r="A980" s="4" t="str">
        <f>TEXT(Append1[[#This Row],[dteday]],"MMMM")</f>
        <v>February</v>
      </c>
      <c r="B980" s="4">
        <v>19</v>
      </c>
      <c r="C980" s="4">
        <v>86</v>
      </c>
      <c r="D980" s="19">
        <v>105</v>
      </c>
    </row>
    <row r="981" spans="1:4" x14ac:dyDescent="0.3">
      <c r="A981" s="5" t="str">
        <f>TEXT(Append1[[#This Row],[dteday]],"MMMM")</f>
        <v>February</v>
      </c>
      <c r="B981" s="5">
        <v>26</v>
      </c>
      <c r="C981" s="5">
        <v>86</v>
      </c>
      <c r="D981" s="20">
        <v>112</v>
      </c>
    </row>
    <row r="982" spans="1:4" x14ac:dyDescent="0.3">
      <c r="A982" s="4" t="str">
        <f>TEXT(Append1[[#This Row],[dteday]],"MMMM")</f>
        <v>February</v>
      </c>
      <c r="B982" s="4">
        <v>58</v>
      </c>
      <c r="C982" s="4">
        <v>94</v>
      </c>
      <c r="D982" s="19">
        <v>152</v>
      </c>
    </row>
    <row r="983" spans="1:4" x14ac:dyDescent="0.3">
      <c r="A983" s="5" t="str">
        <f>TEXT(Append1[[#This Row],[dteday]],"MMMM")</f>
        <v>February</v>
      </c>
      <c r="B983" s="5">
        <v>62</v>
      </c>
      <c r="C983" s="5">
        <v>92</v>
      </c>
      <c r="D983" s="20">
        <v>154</v>
      </c>
    </row>
    <row r="984" spans="1:4" x14ac:dyDescent="0.3">
      <c r="A984" s="4" t="str">
        <f>TEXT(Append1[[#This Row],[dteday]],"MMMM")</f>
        <v>February</v>
      </c>
      <c r="B984" s="4">
        <v>51</v>
      </c>
      <c r="C984" s="4">
        <v>110</v>
      </c>
      <c r="D984" s="19">
        <v>161</v>
      </c>
    </row>
    <row r="985" spans="1:4" x14ac:dyDescent="0.3">
      <c r="A985" s="5" t="str">
        <f>TEXT(Append1[[#This Row],[dteday]],"MMMM")</f>
        <v>February</v>
      </c>
      <c r="B985" s="5">
        <v>40</v>
      </c>
      <c r="C985" s="5">
        <v>122</v>
      </c>
      <c r="D985" s="20">
        <v>162</v>
      </c>
    </row>
    <row r="986" spans="1:4" x14ac:dyDescent="0.3">
      <c r="A986" s="4" t="str">
        <f>TEXT(Append1[[#This Row],[dteday]],"MMMM")</f>
        <v>February</v>
      </c>
      <c r="B986" s="4">
        <v>28</v>
      </c>
      <c r="C986" s="4">
        <v>106</v>
      </c>
      <c r="D986" s="19">
        <v>134</v>
      </c>
    </row>
    <row r="987" spans="1:4" x14ac:dyDescent="0.3">
      <c r="A987" s="5" t="str">
        <f>TEXT(Append1[[#This Row],[dteday]],"MMMM")</f>
        <v>February</v>
      </c>
      <c r="B987" s="5">
        <v>30</v>
      </c>
      <c r="C987" s="5">
        <v>95</v>
      </c>
      <c r="D987" s="20">
        <v>125</v>
      </c>
    </row>
    <row r="988" spans="1:4" x14ac:dyDescent="0.3">
      <c r="A988" s="4" t="str">
        <f>TEXT(Append1[[#This Row],[dteday]],"MMMM")</f>
        <v>February</v>
      </c>
      <c r="B988" s="4">
        <v>17</v>
      </c>
      <c r="C988" s="4">
        <v>78</v>
      </c>
      <c r="D988" s="19">
        <v>95</v>
      </c>
    </row>
    <row r="989" spans="1:4" x14ac:dyDescent="0.3">
      <c r="A989" s="5" t="str">
        <f>TEXT(Append1[[#This Row],[dteday]],"MMMM")</f>
        <v>February</v>
      </c>
      <c r="B989" s="5">
        <v>11</v>
      </c>
      <c r="C989" s="5">
        <v>50</v>
      </c>
      <c r="D989" s="20">
        <v>61</v>
      </c>
    </row>
    <row r="990" spans="1:4" x14ac:dyDescent="0.3">
      <c r="A990" s="4" t="str">
        <f>TEXT(Append1[[#This Row],[dteday]],"MMMM")</f>
        <v>February</v>
      </c>
      <c r="B990" s="4">
        <v>15</v>
      </c>
      <c r="C990" s="4">
        <v>32</v>
      </c>
      <c r="D990" s="19">
        <v>47</v>
      </c>
    </row>
    <row r="991" spans="1:4" x14ac:dyDescent="0.3">
      <c r="A991" s="5" t="str">
        <f>TEXT(Append1[[#This Row],[dteday]],"MMMM")</f>
        <v>February</v>
      </c>
      <c r="B991" s="5">
        <v>6</v>
      </c>
      <c r="C991" s="5">
        <v>45</v>
      </c>
      <c r="D991" s="20">
        <v>51</v>
      </c>
    </row>
    <row r="992" spans="1:4" x14ac:dyDescent="0.3">
      <c r="A992" s="4" t="str">
        <f>TEXT(Append1[[#This Row],[dteday]],"MMMM")</f>
        <v>February</v>
      </c>
      <c r="B992" s="4">
        <v>5</v>
      </c>
      <c r="C992" s="4">
        <v>31</v>
      </c>
      <c r="D992" s="19">
        <v>36</v>
      </c>
    </row>
    <row r="993" spans="1:4" x14ac:dyDescent="0.3">
      <c r="A993" s="5" t="str">
        <f>TEXT(Append1[[#This Row],[dteday]],"MMMM")</f>
        <v>February</v>
      </c>
      <c r="B993" s="5">
        <v>3</v>
      </c>
      <c r="C993" s="5">
        <v>27</v>
      </c>
      <c r="D993" s="20">
        <v>30</v>
      </c>
    </row>
    <row r="994" spans="1:4" x14ac:dyDescent="0.3">
      <c r="A994" s="4" t="str">
        <f>TEXT(Append1[[#This Row],[dteday]],"MMMM")</f>
        <v>February</v>
      </c>
      <c r="B994" s="4">
        <v>3</v>
      </c>
      <c r="C994" s="4">
        <v>8</v>
      </c>
      <c r="D994" s="19">
        <v>11</v>
      </c>
    </row>
    <row r="995" spans="1:4" x14ac:dyDescent="0.3">
      <c r="A995" s="5" t="str">
        <f>TEXT(Append1[[#This Row],[dteday]],"MMMM")</f>
        <v>February</v>
      </c>
      <c r="B995" s="5">
        <v>1</v>
      </c>
      <c r="C995" s="5">
        <v>6</v>
      </c>
      <c r="D995" s="20">
        <v>7</v>
      </c>
    </row>
    <row r="996" spans="1:4" x14ac:dyDescent="0.3">
      <c r="A996" s="4" t="str">
        <f>TEXT(Append1[[#This Row],[dteday]],"MMMM")</f>
        <v>February</v>
      </c>
      <c r="B996" s="4">
        <v>0</v>
      </c>
      <c r="C996" s="4">
        <v>2</v>
      </c>
      <c r="D996" s="19">
        <v>2</v>
      </c>
    </row>
    <row r="997" spans="1:4" x14ac:dyDescent="0.3">
      <c r="A997" s="5" t="str">
        <f>TEXT(Append1[[#This Row],[dteday]],"MMMM")</f>
        <v>February</v>
      </c>
      <c r="B997" s="5">
        <v>1</v>
      </c>
      <c r="C997" s="5">
        <v>1</v>
      </c>
      <c r="D997" s="20">
        <v>2</v>
      </c>
    </row>
    <row r="998" spans="1:4" x14ac:dyDescent="0.3">
      <c r="A998" s="4" t="str">
        <f>TEXT(Append1[[#This Row],[dteday]],"MMMM")</f>
        <v>February</v>
      </c>
      <c r="B998" s="4">
        <v>0</v>
      </c>
      <c r="C998" s="4">
        <v>2</v>
      </c>
      <c r="D998" s="19">
        <v>2</v>
      </c>
    </row>
    <row r="999" spans="1:4" x14ac:dyDescent="0.3">
      <c r="A999" s="5" t="str">
        <f>TEXT(Append1[[#This Row],[dteday]],"MMMM")</f>
        <v>February</v>
      </c>
      <c r="B999" s="5">
        <v>0</v>
      </c>
      <c r="C999" s="5">
        <v>3</v>
      </c>
      <c r="D999" s="20">
        <v>3</v>
      </c>
    </row>
    <row r="1000" spans="1:4" x14ac:dyDescent="0.3">
      <c r="A1000" s="4" t="str">
        <f>TEXT(Append1[[#This Row],[dteday]],"MMMM")</f>
        <v>February</v>
      </c>
      <c r="B1000" s="4">
        <v>1</v>
      </c>
      <c r="C1000" s="4">
        <v>25</v>
      </c>
      <c r="D1000" s="19">
        <v>26</v>
      </c>
    </row>
    <row r="1001" spans="1:4" x14ac:dyDescent="0.3">
      <c r="A1001" s="5" t="str">
        <f>TEXT(Append1[[#This Row],[dteday]],"MMMM")</f>
        <v>February</v>
      </c>
      <c r="B1001" s="5">
        <v>2</v>
      </c>
      <c r="C1001" s="5">
        <v>96</v>
      </c>
      <c r="D1001" s="20">
        <v>98</v>
      </c>
    </row>
  </sheetData>
  <mergeCells count="3">
    <mergeCell ref="F2:G2"/>
    <mergeCell ref="F9:G9"/>
    <mergeCell ref="F16:G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18B57-80A1-424A-B4A3-9E3C566E5A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dataset_3</vt:lpstr>
      <vt:lpstr>dataset_2</vt:lpstr>
      <vt:lpstr>dataset_1</vt:lpstr>
      <vt:lpstr>Merge_Dataset_4</vt:lpstr>
      <vt:lpstr>Append_Dataset_5</vt:lpstr>
      <vt:lpstr>STDEV</vt:lpstr>
      <vt:lpstr>CORREL</vt:lpstr>
      <vt:lpstr>Rentals on Weekday &amp; Weekend</vt:lpstr>
      <vt:lpstr>Rentals in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Gayattre, Kondepudi</dc:creator>
  <cp:lastModifiedBy>Gayattre, Kondepudi</cp:lastModifiedBy>
  <dcterms:created xsi:type="dcterms:W3CDTF">2026-03-11T07:31:42Z</dcterms:created>
  <dcterms:modified xsi:type="dcterms:W3CDTF">2026-03-25T04:49:43Z</dcterms:modified>
</cp:coreProperties>
</file>